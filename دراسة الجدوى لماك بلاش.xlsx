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/>
  <xr:revisionPtr revIDLastSave="0" documentId="8_{6BBC5966-98D2-41EB-99DF-FD42A12DAC26}" xr6:coauthVersionLast="47" xr6:coauthVersionMax="47" xr10:uidLastSave="{00000000-0000-0000-0000-000000000000}"/>
  <bookViews>
    <workbookView xWindow="4905" yWindow="2430" windowWidth="28800" windowHeight="11295" tabRatio="839" firstSheet="6" activeTab="13" xr2:uid="{00000000-000D-0000-FFFF-FFFF00000000}"/>
  </bookViews>
  <sheets>
    <sheet name="تحليل التعادل " sheetId="11" r:id="rId1"/>
    <sheet name="قائمة الدخل التقديرية" sheetId="6" r:id="rId2"/>
    <sheet name="مؤشرات التقييم المسبح" sheetId="12" r:id="rId3"/>
    <sheet name="مؤشرات التقييم البادل" sheetId="13" r:id="rId4"/>
    <sheet name="مؤشرات التقييم الملعب" sheetId="14" r:id="rId5"/>
    <sheet name="مؤشرات التقييم الصالة الرياضية" sheetId="15" r:id="rId6"/>
    <sheet name="فترة الاسترداد" sheetId="7" r:id="rId7"/>
    <sheet name="مؤشرات تقييم المشروع " sheetId="8" r:id="rId8"/>
    <sheet name="اسعار الخدمات " sheetId="28" r:id="rId9"/>
    <sheet name="الدراسة المالية" sheetId="5" r:id="rId10"/>
    <sheet name="الدراسة الفنية " sheetId="4" r:id="rId11"/>
    <sheet name="تقدير الإيرادات " sheetId="3" r:id="rId12"/>
    <sheet name="اسعار الخدمات" sheetId="26" r:id="rId13"/>
    <sheet name="الدراسة القانونية " sheetId="25" r:id="rId14"/>
    <sheet name="دراسة الموارد البشرية " sheetId="24" r:id="rId15"/>
    <sheet name="دراسة الموارد التقنية " sheetId="16" r:id="rId16"/>
    <sheet name="دراسة الموارد اللوجستية  " sheetId="22" r:id="rId17"/>
    <sheet name="دراسة الموارد الإدارية  " sheetId="18" r:id="rId18"/>
    <sheet name="الدراسة التسويقية   " sheetId="23" r:id="rId19"/>
  </sheets>
  <definedNames>
    <definedName name="CIQWBGuid" hidden="1">"2cd8126d-26c3-430c-b7fa-a069e3a1fc62"</definedName>
    <definedName name="ColumnTitle1" localSheetId="0">#REF!</definedName>
    <definedName name="ColumnTitle1" localSheetId="3">#REF!</definedName>
    <definedName name="ColumnTitle1" localSheetId="5">#REF!</definedName>
    <definedName name="ColumnTitle1" localSheetId="2">#REF!</definedName>
    <definedName name="ColumnTitle1" localSheetId="4">#REF!</definedName>
    <definedName name="ColumnTitle1">#REF!</definedName>
    <definedName name="Con_OnOff">#REF!</definedName>
    <definedName name="CONTENT" localSheetId="0">#REF!</definedName>
    <definedName name="CONTENT" localSheetId="3">#REF!</definedName>
    <definedName name="CONTENT" localSheetId="5">#REF!</definedName>
    <definedName name="CONTENT" localSheetId="2">#REF!</definedName>
    <definedName name="CONTENT" localSheetId="4">#REF!</definedName>
    <definedName name="CONTENT">#REF!</definedName>
    <definedName name="Currency_Symbol">#REF!</definedName>
    <definedName name="DD_TS_Denom">#REF!</definedName>
    <definedName name="Denomination_Selected">#REF!</definedName>
    <definedName name="EndingBalance" localSheetId="12">-FV(InterestRate/12,'اسعار الخدمات'!PaymentNumber,-'اسعار الخدمات'!MonthlyPayment,LoanAmount)</definedName>
    <definedName name="EndingBalance" localSheetId="8">-FV([0]!InterestRate/12,'اسعار الخدمات '!PaymentNumber,-'اسعار الخدمات '!MonthlyPayment,[0]!LoanAmount)</definedName>
    <definedName name="EndingBalance" localSheetId="0">-FV(InterestRate/12,'تحليل التعادل '!PaymentNumber,-'تحليل التعادل '!MonthlyPayment,LoanAmount)</definedName>
    <definedName name="EndingBalance">-FV(InterestRate/12,PaymentNumber,-MonthlyPayment,LoanAmount)</definedName>
    <definedName name="Gov_OnOff">#REF!</definedName>
    <definedName name="HeaderRow" localSheetId="0">ROW(#REF!)</definedName>
    <definedName name="HeaderRow">ROW(#REF!)</definedName>
    <definedName name="InterestAmt" localSheetId="12">-IPMT(InterestRate/12,'اسعار الخدمات'!PaymentNumber,NumberOfPayments,LoanAmount)</definedName>
    <definedName name="InterestAmt" localSheetId="8">-IPMT([0]!InterestRate/12,'اسعار الخدمات '!PaymentNumber,[0]!NumberOfPayments,[0]!LoanAmount)</definedName>
    <definedName name="InterestAmt" localSheetId="0">-IPMT(InterestRate/12,'تحليل التعادل '!PaymentNumber,NumberOfPayments,LoanAmount)</definedName>
    <definedName name="InterestAmt">-IPMT(InterestRate/12,PaymentNumber,NumberOfPayments,LoanAmount)</definedName>
    <definedName name="InterestRate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"10/01/2018 15:52:08"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astCol" localSheetId="0">COUNTA(#REF!)</definedName>
    <definedName name="LastCol">COUNTA(#REF!)</definedName>
    <definedName name="LastRow" localSheetId="0">MATCH(9.99E+307,#REF!)</definedName>
    <definedName name="LastRow">MATCH(9.99E+307,#REF!)</definedName>
    <definedName name="LoanAmount">#REF!</definedName>
    <definedName name="LoanIsGood" localSheetId="12">IF(LoanAmount*InterestRate*LoanYears*LoanStartDate&gt;0,1,0)</definedName>
    <definedName name="LoanIsGood" localSheetId="8">IF([0]!LoanAmount*[0]!InterestRate*[0]!LoanYears*[0]!LoanStartDate&gt;0,1,0)</definedName>
    <definedName name="LoanIsGood" localSheetId="0">IF(LoanAmount*InterestRate*LoanYears*LoanStartDate&gt;0,1,0)</definedName>
    <definedName name="LoanIsGood">IF(LoanAmount*InterestRate*LoanYears*LoanStartDate&gt;0,1,0)</definedName>
    <definedName name="LoanIsNotPaid" localSheetId="12">IF('اسعار الخدمات'!PaymentNumber&lt;=NumberOfPayments,1,0)</definedName>
    <definedName name="LoanIsNotPaid" localSheetId="8">IF('اسعار الخدمات '!PaymentNumber&lt;=[0]!NumberOfPayments,1,0)</definedName>
    <definedName name="LoanIsNotPaid" localSheetId="0">IF('تحليل التعادل '!PaymentNumber&lt;=NumberOfPayments,1,0)</definedName>
    <definedName name="LoanIsNotPaid">IF(PaymentNumber&lt;=NumberOfPayments,1,0)</definedName>
    <definedName name="LoanStartDate">#REF!</definedName>
    <definedName name="LoanValue" localSheetId="12">-FV(InterestRate/12,'اسعار الخدمات'!PaymentNumber-1,-'اسعار الخدمات'!MonthlyPayment,LoanAmount)</definedName>
    <definedName name="LoanValue" localSheetId="8">-FV([0]!InterestRate/12,'اسعار الخدمات '!PaymentNumber-1,-'اسعار الخدمات '!MonthlyPayment,[0]!LoanAmount)</definedName>
    <definedName name="LoanValue" localSheetId="0">-FV(InterestRate/12,'تحليل التعادل '!PaymentNumber-1,-'تحليل التعادل '!MonthlyPayment,LoanAmount)</definedName>
    <definedName name="LoanValue">-FV(InterestRate/12,PaymentNumber-1,-MonthlyPayment,LoanAmount)</definedName>
    <definedName name="LoanYears">#REF!</definedName>
    <definedName name="LU_Debt_type">#REF!</definedName>
    <definedName name="LU_Exp_Type">#REF!</definedName>
    <definedName name="LU_FS_Sum_First_Disp_Per">#REF!</definedName>
    <definedName name="LU_Launch_Dev_Exp">#REF!</definedName>
    <definedName name="LU_OnOff">#REF!</definedName>
    <definedName name="LU_Salary">#REF!</definedName>
    <definedName name="LU_Top_Exp_Dis_Pers">#REF!</definedName>
    <definedName name="LU_Top_Exp_First_Disp_Per">#REF!</definedName>
    <definedName name="LU_Top_Rev_Dis_Pers">#REF!</definedName>
    <definedName name="LU_Top_Rev_First_Disp_Per">#REF!</definedName>
    <definedName name="LU_TS_Denom">#REF!</definedName>
    <definedName name="LU_TS_Denom_Conv">#REF!</definedName>
    <definedName name="LU_TS_Mth_Names">#REF!</definedName>
    <definedName name="Model_Name">#REF!</definedName>
    <definedName name="MonthlyPayment" localSheetId="12">-PMT(InterestRate/12,NumberOfPayments,LoanAmount)</definedName>
    <definedName name="MonthlyPayment" localSheetId="8">-PMT([0]!InterestRate/12,[0]!NumberOfPayments,[0]!LoanAmount)</definedName>
    <definedName name="MonthlyPayment" localSheetId="0">-PMT(InterestRate/12,NumberOfPayments,LoanAmount)</definedName>
    <definedName name="MonthlyPayment">-PMT(InterestRate/12,NumberOfPayments,LoanAmount)</definedName>
    <definedName name="NumberOfPayments">#REF!</definedName>
    <definedName name="PaymentDate" localSheetId="12">DATE(YEAR(LoanStartDate),MONTH(LoanStartDate)+'اسعار الخدمات'!PaymentNumber,DAY(LoanStartDate))</definedName>
    <definedName name="PaymentDate" localSheetId="8">DATE(YEAR([0]!LoanStartDate),MONTH([0]!LoanStartDate)+'اسعار الخدمات '!PaymentNumber,DAY([0]!LoanStartDate))</definedName>
    <definedName name="PaymentDate" localSheetId="0">DATE(YEAR(LoanStartDate),MONTH(LoanStartDate)+'تحليل التعادل '!PaymentNumber,DAY(LoanStartDate))</definedName>
    <definedName name="PaymentDate">DATE(YEAR(LoanStartDate),MONTH(LoanStartDate)+PaymentNumber,DAY(LoanStartDate))</definedName>
    <definedName name="PaymentNumber" localSheetId="12">ROW()-HeaderRow</definedName>
    <definedName name="PaymentNumber" localSheetId="8">ROW()-[0]!HeaderRow</definedName>
    <definedName name="PaymentNumber" localSheetId="0">ROW()-'تحليل التعادل '!HeaderRow</definedName>
    <definedName name="PaymentNumber">ROW()-HeaderRow</definedName>
    <definedName name="Principal" localSheetId="12">-PPMT(InterestRate/12,'اسعار الخدمات'!PaymentNumber,NumberOfPayments,LoanAmount)</definedName>
    <definedName name="Principal" localSheetId="8">-PPMT([0]!InterestRate/12,'اسعار الخدمات '!PaymentNumber,[0]!NumberOfPayments,[0]!LoanAmount)</definedName>
    <definedName name="Principal" localSheetId="0">-PPMT(InterestRate/12,'تحليل التعادل '!PaymentNumber,NumberOfPayments,LoanAmount)</definedName>
    <definedName name="Principal">-PPMT(InterestRate/12,PaymentNumber,NumberOfPayments,LoanAmount)</definedName>
    <definedName name="Print_Area_Reset" localSheetId="12">OFFSET(Full_Print,0,0,Last_Row)</definedName>
    <definedName name="Print_Area_Reset" localSheetId="8">OFFSET(Full_Print,0,0,Last_Row)</definedName>
    <definedName name="Print_Area_Reset" localSheetId="18">OFFSET(Full_Print,0,0,Last_Row)</definedName>
    <definedName name="Print_Area_Reset" localSheetId="13">OFFSET(Full_Print,0,0,Last_Row)</definedName>
    <definedName name="Print_Area_Reset" localSheetId="0">OFFSET(Full_Print,0,0,Last_Row)</definedName>
    <definedName name="Print_Area_Reset" localSheetId="14">OFFSET(Full_Print,0,0,Last_Row)</definedName>
    <definedName name="Print_Area_Reset" localSheetId="16">OFFSET(Full_Print,0,0,Last_Row)</definedName>
    <definedName name="Print_Area_Reset" localSheetId="1">OFFSET(Full_Print,0,0,Last_Row)</definedName>
    <definedName name="Print_Area_Reset" localSheetId="3">OFFSET(Full_Print,0,0,Last_Row)</definedName>
    <definedName name="Print_Area_Reset" localSheetId="5">OFFSET(Full_Print,0,0,Last_Row)</definedName>
    <definedName name="Print_Area_Reset" localSheetId="2">OFFSET(Full_Print,0,0,Last_Row)</definedName>
    <definedName name="Print_Area_Reset" localSheetId="4">OFFSET(Full_Print,0,0,Last_Row)</definedName>
    <definedName name="Print_Area_Reset">OFFSET(Full_Print,0,0,Last_Row)</definedName>
    <definedName name="PrintArea_SET" localSheetId="12">OFFSET(#REF!,,,LastRow,LastCol)</definedName>
    <definedName name="PrintArea_SET" localSheetId="8">OFFSET(#REF!,,,[0]!LastRow,[0]!LastCol)</definedName>
    <definedName name="PrintArea_SET" localSheetId="0">OFFSET(#REF!,,,'تحليل التعادل '!LastRow,'تحليل التعادل '!LastCol)</definedName>
    <definedName name="PrintArea_SET">OFFSET(#REF!,,,LastRow,LastCol)</definedName>
    <definedName name="Prod_Types" localSheetId="0">#REF!</definedName>
    <definedName name="Prod_Types" localSheetId="3">#REF!</definedName>
    <definedName name="Prod_Types" localSheetId="5">#REF!</definedName>
    <definedName name="Prod_Types" localSheetId="2">#REF!</definedName>
    <definedName name="Prod_Types" localSheetId="4">#REF!</definedName>
    <definedName name="Prod_Types">#REF!</definedName>
    <definedName name="SUN">OFFSET(#REF!,,,COUNTIF(#REF!,"&gt;0"),)</definedName>
    <definedName name="SUV">OFFSET(#REF!,,,COUNTIF(#REF!,"&gt;0"),)</definedName>
    <definedName name="TotalLoanCost">#REF!</definedName>
    <definedName name="إجمالي_الدفع" localSheetId="0">#REF!</definedName>
    <definedName name="إجمالي_الدفع" localSheetId="3">#REF!</definedName>
    <definedName name="إجمالي_الدفع" localSheetId="5">#REF!</definedName>
    <definedName name="إجمالي_الدفع" localSheetId="2">#REF!</definedName>
    <definedName name="إجمالي_الدفع" localSheetId="4">#REF!</definedName>
    <definedName name="إجمالي_الدفع">#REF!</definedName>
    <definedName name="إجمالي_الفائدة" localSheetId="0">#REF!</definedName>
    <definedName name="إجمالي_الفائدة" localSheetId="3">#REF!</definedName>
    <definedName name="إجمالي_الفائدة" localSheetId="5">#REF!</definedName>
    <definedName name="إجمالي_الفائدة" localSheetId="2">#REF!</definedName>
    <definedName name="إجمالي_الفائدة" localSheetId="4">#REF!</definedName>
    <definedName name="إجمالي_الفائدة">#REF!</definedName>
    <definedName name="إعادة_تعيين_ناحية_الطباعة" localSheetId="12">OFFSET(طباعة_كاملة,0,0,'اسعار الخدمات'!الصف_الأخير)</definedName>
    <definedName name="إعادة_تعيين_ناحية_الطباعة" localSheetId="8">OFFSET([0]!طباعة_كاملة,0,0,'اسعار الخدمات '!الصف_الأخير)</definedName>
    <definedName name="إعادة_تعيين_ناحية_الطباعة" localSheetId="0">OFFSET('تحليل التعادل '!طباعة_كاملة,0,0,'تحليل التعادل '!الصف_الأخير)</definedName>
    <definedName name="إعادة_تعيين_ناحية_الطباعة" localSheetId="3">OFFSET('مؤشرات التقييم البادل'!طباعة_كاملة,0,0,'مؤشرات التقييم البادل'!الصف_الأخير)</definedName>
    <definedName name="إعادة_تعيين_ناحية_الطباعة" localSheetId="5">OFFSET('مؤشرات التقييم الصالة الرياضية'!طباعة_كاملة,0,0,'مؤشرات التقييم الصالة الرياضية'!الصف_الأخير)</definedName>
    <definedName name="إعادة_تعيين_ناحية_الطباعة" localSheetId="2">OFFSET('مؤشرات التقييم المسبح'!طباعة_كاملة,0,0,'مؤشرات التقييم المسبح'!الصف_الأخير)</definedName>
    <definedName name="إعادة_تعيين_ناحية_الطباعة" localSheetId="4">OFFSET('مؤشرات التقييم الملعب'!طباعة_كاملة,0,0,'مؤشرات التقييم الملعب'!الصف_الأخير)</definedName>
    <definedName name="إعادة_تعيين_ناحية_الطباعة">OFFSET(طباعة_كاملة,0,0,الصف_الأخير)</definedName>
    <definedName name="البيانات" localSheetId="0">#REF!</definedName>
    <definedName name="البيانات" localSheetId="3">#REF!</definedName>
    <definedName name="البيانات" localSheetId="5">#REF!</definedName>
    <definedName name="البيانات" localSheetId="2">#REF!</definedName>
    <definedName name="البيانات" localSheetId="4">#REF!</definedName>
    <definedName name="البيانات">#REF!</definedName>
    <definedName name="الدفع_الشهري_المجدول" localSheetId="0">#REF!</definedName>
    <definedName name="الدفع_الشهري_المجدول" localSheetId="3">#REF!</definedName>
    <definedName name="الدفع_الشهري_المجدول" localSheetId="5">#REF!</definedName>
    <definedName name="الدفع_الشهري_المجدول" localSheetId="2">#REF!</definedName>
    <definedName name="الدفع_الشهري_المجدول" localSheetId="4">#REF!</definedName>
    <definedName name="الدفع_الشهري_المجدول">#REF!</definedName>
    <definedName name="الصف_الأخير" localSheetId="12">IF('اسعار الخدمات'!القيم_المدخلة,صف_الرأس+'اسعار الخدمات'!عدد_المدفوعات,صف_الرأس)</definedName>
    <definedName name="الصف_الأخير" localSheetId="8">IF('اسعار الخدمات '!القيم_المدخلة,[0]!صف_الرأس+'اسعار الخدمات '!عدد_المدفوعات,[0]!صف_الرأس)</definedName>
    <definedName name="الصف_الأخير" localSheetId="0">IF('تحليل التعادل '!القيم_المدخلة,صف_الرأس+'تحليل التعادل '!عدد_المدفوعات,صف_الرأس)</definedName>
    <definedName name="الصف_الأخير" localSheetId="3">IF('مؤشرات التقييم البادل'!القيم_المدخلة,'مؤشرات التقييم البادل'!صف_الرأس+'مؤشرات التقييم البادل'!عدد_المدفوعات,'مؤشرات التقييم البادل'!صف_الرأس)</definedName>
    <definedName name="الصف_الأخير" localSheetId="5">IF('مؤشرات التقييم الصالة الرياضية'!القيم_المدخلة,'مؤشرات التقييم الصالة الرياضية'!صف_الرأس+'مؤشرات التقييم الصالة الرياضية'!عدد_المدفوعات,'مؤشرات التقييم الصالة الرياضية'!صف_الرأس)</definedName>
    <definedName name="الصف_الأخير" localSheetId="2">IF('مؤشرات التقييم المسبح'!القيم_المدخلة,'مؤشرات التقييم المسبح'!صف_الرأس+'مؤشرات التقييم المسبح'!عدد_المدفوعات,'مؤشرات التقييم المسبح'!صف_الرأس)</definedName>
    <definedName name="الصف_الأخير" localSheetId="4">IF('مؤشرات التقييم الملعب'!القيم_المدخلة,'مؤشرات التقييم الملعب'!صف_الرأس+'مؤشرات التقييم الملعب'!عدد_المدفوعات,'مؤشرات التقييم الملعب'!صف_الرأس)</definedName>
    <definedName name="الصف_الأخير">IF(القيم_المدخلة,صف_الرأس+عدد_المدفوعات,صف_الرأس)</definedName>
    <definedName name="الفائدة" localSheetId="0">#REF!</definedName>
    <definedName name="الفائدة" localSheetId="3">#REF!</definedName>
    <definedName name="الفائدة" localSheetId="5">#REF!</definedName>
    <definedName name="الفائدة" localSheetId="2">#REF!</definedName>
    <definedName name="الفائدة" localSheetId="4">#REF!</definedName>
    <definedName name="الفائدة">#REF!</definedName>
    <definedName name="القيم_المدخلة" localSheetId="12">IF(مبلغ_القرض*معدل_الفائدة*سنوات_القرض*تاريخ_بدء_القرض&gt;0,1,0)</definedName>
    <definedName name="القيم_المدخلة" localSheetId="8">IF([0]!مبلغ_القرض*[0]!معدل_الفائدة*[0]!سنوات_القرض*[0]!تاريخ_بدء_القرض&gt;0,1,0)</definedName>
    <definedName name="القيم_المدخلة" localSheetId="0">IF('تحليل التعادل '!مبلغ_القرض*'تحليل التعادل '!معدل_الفائدة*'تحليل التعادل '!سنوات_القرض*'تحليل التعادل '!تاريخ_بدء_القرض&gt;0,1,0)</definedName>
    <definedName name="القيم_المدخلة" localSheetId="3">IF('مؤشرات التقييم البادل'!مبلغ_القرض*'مؤشرات التقييم البادل'!معدل_الفائدة*'مؤشرات التقييم البادل'!سنوات_القرض*'مؤشرات التقييم البادل'!تاريخ_بدء_القرض&gt;0,1,0)</definedName>
    <definedName name="القيم_المدخلة" localSheetId="5">IF('مؤشرات التقييم الصالة الرياضية'!مبلغ_القرض*'مؤشرات التقييم الصالة الرياضية'!معدل_الفائدة*'مؤشرات التقييم الصالة الرياضية'!سنوات_القرض*'مؤشرات التقييم الصالة الرياضية'!تاريخ_بدء_القرض&gt;0,1,0)</definedName>
    <definedName name="القيم_المدخلة" localSheetId="2">IF('مؤشرات التقييم المسبح'!مبلغ_القرض*'مؤشرات التقييم المسبح'!معدل_الفائدة*'مؤشرات التقييم المسبح'!سنوات_القرض*'مؤشرات التقييم المسبح'!تاريخ_بدء_القرض&gt;0,1,0)</definedName>
    <definedName name="القيم_المدخلة" localSheetId="4">IF('مؤشرات التقييم الملعب'!مبلغ_القرض*'مؤشرات التقييم الملعب'!معدل_الفائدة*'مؤشرات التقييم الملعب'!سنوات_القرض*'مؤشرات التقييم الملعب'!تاريخ_بدء_القرض&gt;0,1,0)</definedName>
    <definedName name="القيم_المدخلة">IF(مبلغ_القرض*معدل_الفائدة*سنوات_القرض*تاريخ_بدء_القرض&gt;0,1,0)</definedName>
    <definedName name="المدفوعات_الإضافية_المجدولة" localSheetId="0">#REF!</definedName>
    <definedName name="المدفوعات_الإضافية_المجدولة" localSheetId="3">#REF!</definedName>
    <definedName name="المدفوعات_الإضافية_المجدولة" localSheetId="5">#REF!</definedName>
    <definedName name="المدفوعات_الإضافية_المجدولة" localSheetId="2">#REF!</definedName>
    <definedName name="المدفوعات_الإضافية_المجدولة" localSheetId="4">#REF!</definedName>
    <definedName name="المدفوعات_الإضافية_المجدولة">#REF!</definedName>
    <definedName name="الميزانية_الأولية" localSheetId="0">#REF!</definedName>
    <definedName name="الميزانية_الأولية" localSheetId="3">#REF!</definedName>
    <definedName name="الميزانية_الأولية" localSheetId="5">#REF!</definedName>
    <definedName name="الميزانية_الأولية" localSheetId="2">#REF!</definedName>
    <definedName name="الميزانية_الأولية" localSheetId="4">#REF!</definedName>
    <definedName name="الميزانية_الأولية">#REF!</definedName>
    <definedName name="الميزانية_النهائية" localSheetId="0">#REF!</definedName>
    <definedName name="الميزانية_النهائية" localSheetId="3">#REF!</definedName>
    <definedName name="الميزانية_النهائية" localSheetId="5">#REF!</definedName>
    <definedName name="الميزانية_النهائية" localSheetId="2">#REF!</definedName>
    <definedName name="الميزانية_النهائية" localSheetId="4">#REF!</definedName>
    <definedName name="الميزانية_النهائية">#REF!</definedName>
    <definedName name="تاريخ_الدفع" localSheetId="0">#REF!</definedName>
    <definedName name="تاريخ_الدفع" localSheetId="3">#REF!</definedName>
    <definedName name="تاريخ_الدفع" localSheetId="5">#REF!</definedName>
    <definedName name="تاريخ_الدفع" localSheetId="2">#REF!</definedName>
    <definedName name="تاريخ_الدفع" localSheetId="4">#REF!</definedName>
    <definedName name="تاريخ_الدفع">#REF!</definedName>
    <definedName name="تاريخ_السداد" localSheetId="12">DATE(YEAR(تاريخ_بدء_القرض),MONTH(تاريخ_بدء_القرض)+Payment_Number,DAY(تاريخ_بدء_القرض))</definedName>
    <definedName name="تاريخ_السداد" localSheetId="8">DATE(YEAR([0]!تاريخ_بدء_القرض),MONTH([0]!تاريخ_بدء_القرض)+Payment_Number,DAY([0]!تاريخ_بدء_القرض))</definedName>
    <definedName name="تاريخ_السداد" localSheetId="18">DATE(YEAR([0]!تاريخ_بدء_القرض),MONTH([0]!تاريخ_بدء_القرض)+Payment_Number,DAY([0]!تاريخ_بدء_القرض))</definedName>
    <definedName name="تاريخ_السداد" localSheetId="13">DATE(YEAR([0]!تاريخ_بدء_القرض),MONTH([0]!تاريخ_بدء_القرض)+Payment_Number,DAY([0]!تاريخ_بدء_القرض))</definedName>
    <definedName name="تاريخ_السداد" localSheetId="0">DATE(YEAR('تحليل التعادل '!تاريخ_بدء_القرض),MONTH('تحليل التعادل '!تاريخ_بدء_القرض)+Payment_Number,DAY('تحليل التعادل '!تاريخ_بدء_القرض))</definedName>
    <definedName name="تاريخ_السداد" localSheetId="14">DATE(YEAR([0]!تاريخ_بدء_القرض),MONTH([0]!تاريخ_بدء_القرض)+Payment_Number,DAY([0]!تاريخ_بدء_القرض))</definedName>
    <definedName name="تاريخ_السداد" localSheetId="16">DATE(YEAR([0]!تاريخ_بدء_القرض),MONTH([0]!تاريخ_بدء_القرض)+Payment_Number,DAY([0]!تاريخ_بدء_القرض))</definedName>
    <definedName name="تاريخ_السداد" localSheetId="1">DATE(YEAR([0]!تاريخ_بدء_القرض),MONTH([0]!تاريخ_بدء_القرض)+Payment_Number,DAY([0]!تاريخ_بدء_القرض))</definedName>
    <definedName name="تاريخ_السداد" localSheetId="3">DATE(YEAR('مؤشرات التقييم البادل'!تاريخ_بدء_القرض),MONTH('مؤشرات التقييم البادل'!تاريخ_بدء_القرض)+Payment_Number,DAY('مؤشرات التقييم البادل'!تاريخ_بدء_القرض))</definedName>
    <definedName name="تاريخ_السداد" localSheetId="5">DATE(YEAR('مؤشرات التقييم الصالة الرياضية'!تاريخ_بدء_القرض),MONTH('مؤشرات التقييم الصالة الرياضية'!تاريخ_بدء_القرض)+Payment_Number,DAY('مؤشرات التقييم الصالة الرياضية'!تاريخ_بدء_القرض))</definedName>
    <definedName name="تاريخ_السداد" localSheetId="2">DATE(YEAR('مؤشرات التقييم المسبح'!تاريخ_بدء_القرض),MONTH('مؤشرات التقييم المسبح'!تاريخ_بدء_القرض)+Payment_Number,DAY('مؤشرات التقييم المسبح'!تاريخ_بدء_القرض))</definedName>
    <definedName name="تاريخ_السداد" localSheetId="4">DATE(YEAR('مؤشرات التقييم الملعب'!تاريخ_بدء_القرض),MONTH('مؤشرات التقييم الملعب'!تاريخ_بدء_القرض)+Payment_Number,DAY('مؤشرات التقييم الملعب'!تاريخ_بدء_القرض))</definedName>
    <definedName name="تاريخ_السداد">DATE(YEAR(تاريخ_بدء_القرض),MONTH(تاريخ_بدء_القرض)+Payment_Number,DAY(تاريخ_بدء_القرض))</definedName>
    <definedName name="تاريخ_بدء_القرض" localSheetId="0">#REF!</definedName>
    <definedName name="تاريخ_بدء_القرض" localSheetId="3">#REF!</definedName>
    <definedName name="تاريخ_بدء_القرض" localSheetId="5">#REF!</definedName>
    <definedName name="تاريخ_بدء_القرض" localSheetId="2">#REF!</definedName>
    <definedName name="تاريخ_بدء_القرض" localSheetId="4">#REF!</definedName>
    <definedName name="تاريخ_بدء_القرض">#REF!</definedName>
    <definedName name="جدولة_الدفع" localSheetId="0">#REF!</definedName>
    <definedName name="جدولة_الدفع" localSheetId="3">#REF!</definedName>
    <definedName name="جدولة_الدفع" localSheetId="5">#REF!</definedName>
    <definedName name="جدولة_الدفع" localSheetId="2">#REF!</definedName>
    <definedName name="جدولة_الدفع" localSheetId="4">#REF!</definedName>
    <definedName name="جدولة_الدفع">#REF!</definedName>
    <definedName name="دراسة_قانونية" localSheetId="12">OFFSET(Full_Print,0,0,Last_Row)</definedName>
    <definedName name="دراسة_قانونية" localSheetId="8">OFFSET(Full_Print,0,0,Last_Row)</definedName>
    <definedName name="دراسة_قانونية">OFFSET(Full_Print,0,0,Last_Row)</definedName>
    <definedName name="دفع_إضافي" localSheetId="0">#REF!</definedName>
    <definedName name="دفع_إضافي" localSheetId="3">#REF!</definedName>
    <definedName name="دفع_إضافي" localSheetId="5">#REF!</definedName>
    <definedName name="دفع_إضافي" localSheetId="2">#REF!</definedName>
    <definedName name="دفع_إضافي" localSheetId="4">#REF!</definedName>
    <definedName name="دفع_إضافي">#REF!</definedName>
    <definedName name="رأس_المال" localSheetId="0">#REF!</definedName>
    <definedName name="رأس_المال" localSheetId="3">#REF!</definedName>
    <definedName name="رأس_المال" localSheetId="5">#REF!</definedName>
    <definedName name="رأس_المال" localSheetId="2">#REF!</definedName>
    <definedName name="رأس_المال" localSheetId="4">#REF!</definedName>
    <definedName name="رأس_المال">#REF!</definedName>
    <definedName name="رقم_الدفع" localSheetId="0">#REF!</definedName>
    <definedName name="رقم_الدفع" localSheetId="3">#REF!</definedName>
    <definedName name="رقم_الدفع" localSheetId="5">#REF!</definedName>
    <definedName name="رقم_الدفع" localSheetId="2">#REF!</definedName>
    <definedName name="رقم_الدفع" localSheetId="4">#REF!</definedName>
    <definedName name="رقم_الدفع">#REF!</definedName>
    <definedName name="سنوات_القرض" localSheetId="0">#REF!</definedName>
    <definedName name="سنوات_القرض" localSheetId="3">#REF!</definedName>
    <definedName name="سنوات_القرض" localSheetId="5">#REF!</definedName>
    <definedName name="سنوات_القرض" localSheetId="2">#REF!</definedName>
    <definedName name="سنوات_القرض" localSheetId="4">#REF!</definedName>
    <definedName name="سنوات_القرض">#REF!</definedName>
    <definedName name="صف_الرأس" localSheetId="3">ROW(#REF!)</definedName>
    <definedName name="صف_الرأس" localSheetId="5">ROW(#REF!)</definedName>
    <definedName name="صف_الرأس" localSheetId="2">ROW(#REF!)</definedName>
    <definedName name="صف_الرأس" localSheetId="4">ROW(#REF!)</definedName>
    <definedName name="صف_الرأس">ROW(#REF!)</definedName>
    <definedName name="طباعة_كاملة" localSheetId="0">#REF!</definedName>
    <definedName name="طباعة_كاملة" localSheetId="3">#REF!</definedName>
    <definedName name="طباعة_كاملة" localSheetId="5">#REF!</definedName>
    <definedName name="طباعة_كاملة" localSheetId="2">#REF!</definedName>
    <definedName name="طباعة_كاملة" localSheetId="4">#REF!</definedName>
    <definedName name="طباعة_كاملة">#REF!</definedName>
    <definedName name="عدد_المدفوعات" localSheetId="12">MATCH(0.01,الميزانية_النهائية,-1)+1</definedName>
    <definedName name="عدد_المدفوعات" localSheetId="8">MATCH(0.01,[0]!الميزانية_النهائية,-1)+1</definedName>
    <definedName name="عدد_المدفوعات" localSheetId="0">MATCH(0.01,'تحليل التعادل '!الميزانية_النهائية,-1)+1</definedName>
    <definedName name="عدد_المدفوعات" localSheetId="3">MATCH(0.01,'مؤشرات التقييم البادل'!الميزانية_النهائية,-1)+1</definedName>
    <definedName name="عدد_المدفوعات" localSheetId="5">MATCH(0.01,'مؤشرات التقييم الصالة الرياضية'!الميزانية_النهائية,-1)+1</definedName>
    <definedName name="عدد_المدفوعات" localSheetId="2">MATCH(0.01,'مؤشرات التقييم المسبح'!الميزانية_النهائية,-1)+1</definedName>
    <definedName name="عدد_المدفوعات" localSheetId="4">MATCH(0.01,'مؤشرات التقييم الملعب'!الميزانية_النهائية,-1)+1</definedName>
    <definedName name="عدد_المدفوعات">MATCH(0.01,الميزانية_النهائية,-1)+1</definedName>
    <definedName name="عدد_المدفوعات_في_السنة" localSheetId="3">#REF!</definedName>
    <definedName name="عدد_المدفوعات_في_السنة" localSheetId="5">#REF!</definedName>
    <definedName name="عدد_المدفوعات_في_السنة" localSheetId="2">#REF!</definedName>
    <definedName name="عدد_المدفوعات_في_السنة" localSheetId="4">#REF!</definedName>
    <definedName name="عدد_المدفوعات_في_السنة">#REF!</definedName>
    <definedName name="فائدة_تراكمية" localSheetId="0">#REF!</definedName>
    <definedName name="فائدة_تراكمية" localSheetId="3">#REF!</definedName>
    <definedName name="فائدة_تراكمية" localSheetId="5">#REF!</definedName>
    <definedName name="فائدة_تراكمية" localSheetId="2">#REF!</definedName>
    <definedName name="فائدة_تراكمية" localSheetId="4">#REF!</definedName>
    <definedName name="فائدة_تراكمية">#REF!</definedName>
    <definedName name="مبلغ_القرض" localSheetId="0">#REF!</definedName>
    <definedName name="مبلغ_القرض" localSheetId="3">#REF!</definedName>
    <definedName name="مبلغ_القرض" localSheetId="5">#REF!</definedName>
    <definedName name="مبلغ_القرض" localSheetId="2">#REF!</definedName>
    <definedName name="مبلغ_القرض" localSheetId="4">#REF!</definedName>
    <definedName name="مبلغ_القرض">#REF!</definedName>
    <definedName name="معدل_الفائدة" localSheetId="0">#REF!</definedName>
    <definedName name="معدل_الفائدة" localSheetId="3">#REF!</definedName>
    <definedName name="معدل_الفائدة" localSheetId="5">#REF!</definedName>
    <definedName name="معدل_الفائدة" localSheetId="2">#REF!</definedName>
    <definedName name="معدل_الفائدة" localSheetId="4">#REF!</definedName>
    <definedName name="معدل_الفائدة">#REF!</definedName>
    <definedName name="معدل_الفائدة_المجدول" localSheetId="0">#REF!</definedName>
    <definedName name="معدل_الفائدة_المجدول" localSheetId="3">#REF!</definedName>
    <definedName name="معدل_الفائدة_المجدول" localSheetId="5">#REF!</definedName>
    <definedName name="معدل_الفائدة_المجدول" localSheetId="2">#REF!</definedName>
    <definedName name="معدل_الفائدة_المجدول" localSheetId="4">#REF!</definedName>
    <definedName name="معدل_الفائدة_المجدول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28" l="1"/>
  <c r="B8" i="28"/>
  <c r="B9" i="28"/>
  <c r="B10" i="28"/>
  <c r="B11" i="28"/>
  <c r="B12" i="28"/>
  <c r="B13" i="28"/>
  <c r="B14" i="28"/>
  <c r="B15" i="28"/>
  <c r="B16" i="28"/>
  <c r="B17" i="28"/>
  <c r="B18" i="28"/>
  <c r="B19" i="28"/>
  <c r="B20" i="28"/>
  <c r="B21" i="28" s="1"/>
  <c r="B22" i="28" s="1"/>
  <c r="B23" i="28" s="1"/>
  <c r="B24" i="28" s="1"/>
  <c r="B25" i="28" s="1"/>
  <c r="B26" i="28" s="1"/>
  <c r="B27" i="28" s="1"/>
  <c r="B28" i="28" s="1"/>
  <c r="B29" i="28" s="1"/>
  <c r="B30" i="28" s="1"/>
  <c r="B31" i="28" s="1"/>
  <c r="B32" i="28" s="1"/>
  <c r="B33" i="28" s="1"/>
  <c r="B34" i="28" s="1"/>
  <c r="B35" i="28" s="1"/>
  <c r="B36" i="28" s="1"/>
  <c r="B37" i="28" s="1"/>
  <c r="B38" i="28" s="1"/>
  <c r="B39" i="28" s="1"/>
  <c r="B40" i="28" s="1"/>
  <c r="B41" i="28" s="1"/>
  <c r="B42" i="28" s="1"/>
  <c r="B43" i="28" s="1"/>
  <c r="B44" i="28" s="1"/>
  <c r="B45" i="28" s="1"/>
  <c r="B46" i="28" s="1"/>
  <c r="B47" i="28" s="1"/>
  <c r="B48" i="28" s="1"/>
  <c r="B49" i="28" s="1"/>
  <c r="B50" i="28" s="1"/>
  <c r="B51" i="28" s="1"/>
  <c r="B52" i="28" s="1"/>
  <c r="B53" i="28" s="1"/>
  <c r="B54" i="28" s="1"/>
  <c r="B55" i="28" s="1"/>
  <c r="B56" i="28" s="1"/>
  <c r="B57" i="28" s="1"/>
  <c r="B58" i="28" s="1"/>
  <c r="B59" i="28" s="1"/>
  <c r="B60" i="28" s="1"/>
  <c r="B61" i="28" s="1"/>
  <c r="B62" i="28" s="1"/>
  <c r="B63" i="28" s="1"/>
  <c r="B64" i="28" s="1"/>
  <c r="B65" i="28" s="1"/>
  <c r="B66" i="28" s="1"/>
  <c r="B67" i="28" s="1"/>
  <c r="B68" i="28" s="1"/>
  <c r="B69" i="28" s="1"/>
  <c r="B70" i="28" s="1"/>
  <c r="B71" i="28" s="1"/>
  <c r="B72" i="28" s="1"/>
  <c r="B73" i="28" s="1"/>
  <c r="B74" i="28" s="1"/>
  <c r="B75" i="28" s="1"/>
  <c r="B76" i="28" s="1"/>
  <c r="B77" i="28" s="1"/>
  <c r="B78" i="28" s="1"/>
  <c r="B79" i="28" s="1"/>
  <c r="B80" i="28" s="1"/>
  <c r="B81" i="28" s="1"/>
  <c r="B82" i="28" s="1"/>
  <c r="B83" i="28" s="1"/>
  <c r="B84" i="28" s="1"/>
  <c r="B85" i="28" s="1"/>
  <c r="B86" i="28" s="1"/>
  <c r="B87" i="28" s="1"/>
  <c r="B88" i="28" s="1"/>
  <c r="B89" i="28" s="1"/>
  <c r="B90" i="28" s="1"/>
  <c r="B91" i="28" s="1"/>
  <c r="B92" i="28" s="1"/>
  <c r="B93" i="28" s="1"/>
  <c r="B94" i="28" s="1"/>
  <c r="B95" i="28" s="1"/>
  <c r="B96" i="28" s="1"/>
  <c r="B97" i="28" s="1"/>
  <c r="B98" i="28" s="1"/>
  <c r="B99" i="28" s="1"/>
  <c r="B100" i="28" s="1"/>
  <c r="B101" i="28" s="1"/>
  <c r="B102" i="28" s="1"/>
  <c r="B103" i="28" s="1"/>
  <c r="B104" i="28" s="1"/>
  <c r="B105" i="28" s="1"/>
  <c r="B106" i="28" s="1"/>
  <c r="B107" i="28" s="1"/>
  <c r="B108" i="28" s="1"/>
  <c r="B109" i="28" s="1"/>
  <c r="B110" i="28" s="1"/>
  <c r="B111" i="28" s="1"/>
  <c r="B112" i="28" s="1"/>
  <c r="B113" i="28" s="1"/>
  <c r="B114" i="28" s="1"/>
  <c r="B115" i="28" s="1"/>
  <c r="B116" i="28" s="1"/>
  <c r="B117" i="28" s="1"/>
  <c r="B118" i="28" s="1"/>
  <c r="B119" i="28" s="1"/>
  <c r="B120" i="28" s="1"/>
  <c r="B121" i="28" s="1"/>
  <c r="B122" i="28" s="1"/>
  <c r="B123" i="28" s="1"/>
  <c r="B124" i="28" s="1"/>
  <c r="B125" i="28" s="1"/>
  <c r="B126" i="28" s="1"/>
  <c r="B127" i="28" s="1"/>
  <c r="B128" i="28" s="1"/>
  <c r="B129" i="28" s="1"/>
  <c r="B130" i="28" s="1"/>
  <c r="B131" i="28" s="1"/>
  <c r="B132" i="28" s="1"/>
  <c r="B133" i="28" s="1"/>
  <c r="B134" i="28" s="1"/>
  <c r="B135" i="28" s="1"/>
  <c r="B136" i="28" s="1"/>
  <c r="B137" i="28" s="1"/>
  <c r="B138" i="28" s="1"/>
  <c r="B139" i="28" s="1"/>
  <c r="B140" i="28" s="1"/>
  <c r="B141" i="28" s="1"/>
  <c r="B142" i="28" s="1"/>
  <c r="B143" i="28" s="1"/>
  <c r="B144" i="28" s="1"/>
  <c r="B145" i="28" s="1"/>
  <c r="B146" i="28" s="1"/>
  <c r="B6" i="28"/>
  <c r="I154" i="28"/>
  <c r="I160" i="28" s="1"/>
  <c r="I155" i="28"/>
  <c r="I172" i="28"/>
  <c r="I183" i="28"/>
  <c r="I154" i="26"/>
  <c r="I155" i="26"/>
  <c r="I160" i="26"/>
  <c r="I172" i="26"/>
  <c r="I183" i="26"/>
  <c r="F13" i="25"/>
  <c r="F14" i="25"/>
  <c r="F12" i="25"/>
  <c r="F11" i="25"/>
  <c r="F16" i="16"/>
  <c r="F17" i="16"/>
  <c r="F18" i="16"/>
  <c r="F19" i="16"/>
  <c r="F20" i="16"/>
  <c r="F21" i="16"/>
  <c r="F8" i="22"/>
  <c r="F9" i="22"/>
  <c r="F10" i="22"/>
  <c r="F19" i="18"/>
  <c r="F18" i="18"/>
  <c r="F17" i="18"/>
  <c r="F16" i="18"/>
  <c r="F20" i="18"/>
  <c r="F26" i="23"/>
  <c r="F25" i="23"/>
  <c r="F24" i="23"/>
  <c r="F23" i="23"/>
  <c r="F22" i="23"/>
  <c r="F27" i="23"/>
  <c r="F8" i="23"/>
  <c r="H6" i="24"/>
  <c r="H7" i="24"/>
  <c r="I7" i="24" s="1"/>
  <c r="I8" i="24"/>
  <c r="H9" i="24"/>
  <c r="I9" i="24" s="1"/>
  <c r="I10" i="24"/>
  <c r="H5" i="24"/>
  <c r="I6" i="24"/>
  <c r="I13" i="24"/>
  <c r="I14" i="24"/>
  <c r="I15" i="24"/>
  <c r="I16" i="24"/>
  <c r="I17" i="24"/>
  <c r="I19" i="24"/>
  <c r="I20" i="24"/>
  <c r="I21" i="24"/>
  <c r="I22" i="24"/>
  <c r="I23" i="24"/>
  <c r="I24" i="24"/>
  <c r="I25" i="24"/>
  <c r="I5" i="24"/>
  <c r="H11" i="24"/>
  <c r="I11" i="24" s="1"/>
  <c r="H12" i="24"/>
  <c r="I12" i="24" s="1"/>
  <c r="H13" i="24"/>
  <c r="H14" i="24"/>
  <c r="H15" i="24"/>
  <c r="H16" i="24"/>
  <c r="I18" i="24"/>
  <c r="G6" i="24"/>
  <c r="G7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5" i="24"/>
  <c r="F6" i="16"/>
  <c r="F12" i="18"/>
  <c r="F9" i="18"/>
  <c r="F8" i="18"/>
  <c r="F7" i="23"/>
  <c r="F7" i="18"/>
  <c r="F15" i="16"/>
  <c r="F68" i="25"/>
  <c r="F67" i="25"/>
  <c r="F66" i="25"/>
  <c r="F65" i="25"/>
  <c r="F64" i="25"/>
  <c r="F63" i="25"/>
  <c r="F62" i="25"/>
  <c r="F61" i="25"/>
  <c r="F60" i="25"/>
  <c r="F59" i="25"/>
  <c r="F10" i="25"/>
  <c r="F9" i="25"/>
  <c r="F8" i="25"/>
  <c r="F7" i="25"/>
  <c r="F6" i="25"/>
  <c r="F5" i="25"/>
  <c r="G80" i="24"/>
  <c r="G79" i="24"/>
  <c r="G78" i="24"/>
  <c r="G77" i="24"/>
  <c r="G76" i="24"/>
  <c r="G75" i="24"/>
  <c r="G74" i="24"/>
  <c r="G73" i="24"/>
  <c r="G72" i="24"/>
  <c r="G71" i="24"/>
  <c r="G60" i="24"/>
  <c r="G59" i="24"/>
  <c r="G58" i="24"/>
  <c r="G57" i="24"/>
  <c r="G56" i="24"/>
  <c r="G55" i="24"/>
  <c r="G54" i="24"/>
  <c r="G53" i="24"/>
  <c r="G52" i="24"/>
  <c r="G51" i="24"/>
  <c r="F5" i="18"/>
  <c r="F9" i="23"/>
  <c r="F17" i="23"/>
  <c r="F18" i="23"/>
  <c r="F19" i="23"/>
  <c r="F20" i="23"/>
  <c r="F21" i="23"/>
  <c r="F62" i="23"/>
  <c r="F61" i="23"/>
  <c r="F60" i="23"/>
  <c r="F50" i="23"/>
  <c r="F49" i="23"/>
  <c r="F48" i="23"/>
  <c r="F40" i="23"/>
  <c r="F39" i="23"/>
  <c r="F38" i="23"/>
  <c r="F37" i="23"/>
  <c r="F36" i="23"/>
  <c r="F35" i="23"/>
  <c r="F34" i="23"/>
  <c r="F16" i="23"/>
  <c r="F15" i="23"/>
  <c r="F14" i="23"/>
  <c r="F13" i="23"/>
  <c r="F12" i="23"/>
  <c r="F11" i="23"/>
  <c r="F10" i="23"/>
  <c r="F64" i="22"/>
  <c r="F63" i="22"/>
  <c r="F62" i="22"/>
  <c r="F61" i="22"/>
  <c r="F60" i="22"/>
  <c r="F59" i="22"/>
  <c r="F58" i="22"/>
  <c r="F57" i="22"/>
  <c r="F56" i="22"/>
  <c r="F55" i="22"/>
  <c r="F44" i="22"/>
  <c r="F43" i="22"/>
  <c r="F42" i="22"/>
  <c r="F41" i="22"/>
  <c r="F40" i="22"/>
  <c r="F39" i="22"/>
  <c r="F38" i="22"/>
  <c r="F37" i="22"/>
  <c r="F36" i="22"/>
  <c r="F35" i="22"/>
  <c r="F7" i="22"/>
  <c r="F6" i="22"/>
  <c r="F11" i="22" s="1"/>
  <c r="F5" i="22"/>
  <c r="F5" i="16"/>
  <c r="F7" i="16"/>
  <c r="F8" i="16"/>
  <c r="F9" i="16"/>
  <c r="F10" i="16"/>
  <c r="F11" i="16"/>
  <c r="F12" i="16"/>
  <c r="F13" i="16"/>
  <c r="F14" i="16"/>
  <c r="G6" i="4"/>
  <c r="G7" i="4"/>
  <c r="G8" i="4"/>
  <c r="G9" i="4"/>
  <c r="G14" i="4"/>
  <c r="G15" i="4"/>
  <c r="G16" i="4"/>
  <c r="G17" i="4"/>
  <c r="G18" i="4"/>
  <c r="G20" i="4" s="1"/>
  <c r="G22" i="4"/>
  <c r="G23" i="4"/>
  <c r="G24" i="4"/>
  <c r="G25" i="4"/>
  <c r="G30" i="4"/>
  <c r="G31" i="4"/>
  <c r="G32" i="4"/>
  <c r="G36" i="4" s="1"/>
  <c r="G33" i="4"/>
  <c r="F10" i="18"/>
  <c r="F15" i="18"/>
  <c r="F14" i="18"/>
  <c r="F13" i="18"/>
  <c r="F11" i="18"/>
  <c r="F6" i="18"/>
  <c r="H8" i="3"/>
  <c r="F76" i="16"/>
  <c r="F75" i="16"/>
  <c r="F74" i="16"/>
  <c r="F73" i="16"/>
  <c r="F72" i="16"/>
  <c r="F71" i="16"/>
  <c r="F70" i="16"/>
  <c r="F69" i="16"/>
  <c r="F68" i="16"/>
  <c r="F67" i="16"/>
  <c r="F56" i="16"/>
  <c r="F55" i="16"/>
  <c r="F54" i="16"/>
  <c r="F53" i="16"/>
  <c r="F52" i="16"/>
  <c r="F51" i="16"/>
  <c r="F50" i="16"/>
  <c r="F49" i="16"/>
  <c r="F48" i="16"/>
  <c r="F47" i="16"/>
  <c r="C121" i="4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F118" i="4"/>
  <c r="F117" i="4"/>
  <c r="F116" i="4"/>
  <c r="G131" i="4"/>
  <c r="G130" i="4"/>
  <c r="G129" i="4"/>
  <c r="I129" i="4" s="1"/>
  <c r="J129" i="4" s="1"/>
  <c r="G128" i="4"/>
  <c r="G127" i="4"/>
  <c r="I127" i="4" s="1"/>
  <c r="J127" i="4" s="1"/>
  <c r="G126" i="4"/>
  <c r="G125" i="4"/>
  <c r="G124" i="4"/>
  <c r="G123" i="4"/>
  <c r="G122" i="4"/>
  <c r="G121" i="4"/>
  <c r="G120" i="4"/>
  <c r="F94" i="4"/>
  <c r="F93" i="4"/>
  <c r="F92" i="4"/>
  <c r="F95" i="4"/>
  <c r="G76" i="4"/>
  <c r="I76" i="4" s="1"/>
  <c r="G75" i="4"/>
  <c r="G74" i="4"/>
  <c r="G73" i="4"/>
  <c r="G72" i="4"/>
  <c r="G69" i="4"/>
  <c r="G68" i="4"/>
  <c r="G67" i="4"/>
  <c r="G66" i="4"/>
  <c r="G65" i="4"/>
  <c r="G64" i="4"/>
  <c r="F63" i="4"/>
  <c r="G63" i="4"/>
  <c r="G62" i="4"/>
  <c r="G61" i="4"/>
  <c r="G60" i="4"/>
  <c r="G145" i="4"/>
  <c r="G146" i="4"/>
  <c r="H146" i="4" s="1"/>
  <c r="AA41" i="6" s="1"/>
  <c r="G147" i="4"/>
  <c r="H147" i="4" s="1"/>
  <c r="AB41" i="6" s="1"/>
  <c r="G148" i="4"/>
  <c r="H148" i="4" s="1"/>
  <c r="G149" i="4"/>
  <c r="H149" i="4" s="1"/>
  <c r="E2" i="15"/>
  <c r="E2" i="14"/>
  <c r="E2" i="13"/>
  <c r="E2" i="12"/>
  <c r="AJ42" i="6"/>
  <c r="AC42" i="6"/>
  <c r="V42" i="6"/>
  <c r="H6" i="3" l="1"/>
  <c r="F15" i="25"/>
  <c r="F16" i="25" s="1"/>
  <c r="F18" i="25" s="1"/>
  <c r="F28" i="23"/>
  <c r="F29" i="23" s="1"/>
  <c r="I26" i="24"/>
  <c r="I27" i="24" s="1"/>
  <c r="I28" i="24" s="1"/>
  <c r="F47" i="22"/>
  <c r="F48" i="22" s="1"/>
  <c r="F49" i="22" s="1"/>
  <c r="G44" i="24"/>
  <c r="G45" i="24" s="1"/>
  <c r="G46" i="24" s="1"/>
  <c r="G63" i="24"/>
  <c r="G64" i="24" s="1"/>
  <c r="G65" i="24" s="1"/>
  <c r="G12" i="4"/>
  <c r="F67" i="22"/>
  <c r="F68" i="22" s="1"/>
  <c r="F69" i="22" s="1"/>
  <c r="G83" i="24"/>
  <c r="G84" i="24" s="1"/>
  <c r="G85" i="24" s="1"/>
  <c r="G26" i="24"/>
  <c r="G27" i="24" s="1"/>
  <c r="G28" i="24" s="1"/>
  <c r="G28" i="4"/>
  <c r="G38" i="4" s="1"/>
  <c r="F28" i="22"/>
  <c r="F29" i="22" s="1"/>
  <c r="F30" i="22" s="1"/>
  <c r="F32" i="25"/>
  <c r="F33" i="25" s="1"/>
  <c r="F34" i="25" s="1"/>
  <c r="F51" i="25"/>
  <c r="F52" i="25" s="1"/>
  <c r="F53" i="25" s="1"/>
  <c r="F71" i="25"/>
  <c r="F72" i="25" s="1"/>
  <c r="F73" i="25" s="1"/>
  <c r="F12" i="22"/>
  <c r="F42" i="23"/>
  <c r="F43" i="23" s="1"/>
  <c r="F64" i="23"/>
  <c r="F65" i="23" s="1"/>
  <c r="F53" i="23"/>
  <c r="F54" i="23" s="1"/>
  <c r="F46" i="18"/>
  <c r="F47" i="18" s="1"/>
  <c r="F57" i="18"/>
  <c r="F58" i="18" s="1"/>
  <c r="F35" i="18"/>
  <c r="F21" i="18"/>
  <c r="H7" i="3"/>
  <c r="U41" i="6"/>
  <c r="T41" i="6"/>
  <c r="H5" i="3"/>
  <c r="F59" i="16"/>
  <c r="F79" i="16"/>
  <c r="F80" i="16" s="1"/>
  <c r="F81" i="16" s="1"/>
  <c r="G47" i="4" s="1"/>
  <c r="F40" i="16"/>
  <c r="F23" i="16"/>
  <c r="F24" i="16" s="1"/>
  <c r="I131" i="4"/>
  <c r="J131" i="4" s="1"/>
  <c r="I130" i="4"/>
  <c r="J130" i="4" s="1"/>
  <c r="I128" i="4"/>
  <c r="J128" i="4" s="1"/>
  <c r="I126" i="4"/>
  <c r="J126" i="4" s="1"/>
  <c r="I124" i="4"/>
  <c r="J124" i="4" s="1"/>
  <c r="I125" i="4"/>
  <c r="J125" i="4" s="1"/>
  <c r="I123" i="4"/>
  <c r="J123" i="4" s="1"/>
  <c r="I122" i="4"/>
  <c r="J122" i="4" s="1"/>
  <c r="I120" i="4"/>
  <c r="J120" i="4" s="1"/>
  <c r="I121" i="4"/>
  <c r="J121" i="4" s="1"/>
  <c r="J23" i="5"/>
  <c r="H145" i="4"/>
  <c r="G144" i="4"/>
  <c r="H144" i="4" s="1"/>
  <c r="G30" i="24" l="1"/>
  <c r="F14" i="22"/>
  <c r="F22" i="18"/>
  <c r="F36" i="18"/>
  <c r="G22" i="5"/>
  <c r="Z41" i="6"/>
  <c r="S41" i="6"/>
  <c r="Y41" i="6"/>
  <c r="R41" i="6"/>
  <c r="F60" i="16"/>
  <c r="F61" i="16" s="1"/>
  <c r="G46" i="4" s="1"/>
  <c r="F41" i="16"/>
  <c r="F42" i="16" s="1"/>
  <c r="G48" i="4" s="1"/>
  <c r="I23" i="5"/>
  <c r="H23" i="5"/>
  <c r="H22" i="5"/>
  <c r="G23" i="5"/>
  <c r="E39" i="6"/>
  <c r="H150" i="4"/>
  <c r="D39" i="6"/>
  <c r="D40" i="6"/>
  <c r="K40" i="6" s="1"/>
  <c r="G150" i="4"/>
  <c r="E40" i="6"/>
  <c r="L40" i="6" s="1"/>
  <c r="S40" i="6" s="1"/>
  <c r="E48" i="6"/>
  <c r="F48" i="6"/>
  <c r="G48" i="6"/>
  <c r="D48" i="6"/>
  <c r="C53" i="6"/>
  <c r="C50" i="6"/>
  <c r="C51" i="6"/>
  <c r="C52" i="6"/>
  <c r="C49" i="6"/>
  <c r="G71" i="4" l="1"/>
  <c r="G70" i="4"/>
  <c r="F26" i="16"/>
  <c r="I46" i="4"/>
  <c r="G21" i="5" s="1"/>
  <c r="G49" i="4"/>
  <c r="K23" i="5"/>
  <c r="E10" i="13"/>
  <c r="E9" i="13"/>
  <c r="E8" i="13"/>
  <c r="E7" i="13"/>
  <c r="E6" i="13"/>
  <c r="L39" i="6"/>
  <c r="S39" i="6" s="1"/>
  <c r="Z40" i="6"/>
  <c r="AG40" i="6" s="1"/>
  <c r="R40" i="6"/>
  <c r="Y40" i="6" s="1"/>
  <c r="E7" i="12"/>
  <c r="E8" i="12"/>
  <c r="E9" i="12"/>
  <c r="E10" i="12"/>
  <c r="E6" i="12"/>
  <c r="K39" i="6"/>
  <c r="AH41" i="6"/>
  <c r="AG41" i="6"/>
  <c r="AF41" i="6"/>
  <c r="G17" i="6"/>
  <c r="F17" i="6"/>
  <c r="H17" i="6"/>
  <c r="E2" i="8"/>
  <c r="G39" i="6" l="1"/>
  <c r="E10" i="15" s="1"/>
  <c r="G40" i="6"/>
  <c r="N40" i="6" s="1"/>
  <c r="U40" i="6" s="1"/>
  <c r="AB40" i="6" s="1"/>
  <c r="AI40" i="6" s="1"/>
  <c r="J22" i="5"/>
  <c r="I22" i="5"/>
  <c r="R39" i="6"/>
  <c r="Y39" i="6" s="1"/>
  <c r="AF40" i="6"/>
  <c r="V41" i="6"/>
  <c r="Z39" i="6"/>
  <c r="AG39" i="6" s="1"/>
  <c r="K22" i="5" l="1"/>
  <c r="E6" i="15"/>
  <c r="E7" i="15"/>
  <c r="E9" i="15"/>
  <c r="N39" i="6"/>
  <c r="U39" i="6" s="1"/>
  <c r="AB39" i="6" s="1"/>
  <c r="AI39" i="6" s="1"/>
  <c r="E8" i="15"/>
  <c r="F40" i="6"/>
  <c r="F39" i="6"/>
  <c r="AC41" i="6"/>
  <c r="AI41" i="6"/>
  <c r="AJ41" i="6" s="1"/>
  <c r="AF39" i="6"/>
  <c r="E6" i="14" l="1"/>
  <c r="M39" i="6"/>
  <c r="E8" i="14"/>
  <c r="E7" i="14"/>
  <c r="E10" i="14"/>
  <c r="E9" i="14"/>
  <c r="H40" i="6"/>
  <c r="M40" i="6"/>
  <c r="G118" i="4"/>
  <c r="F137" i="4"/>
  <c r="G119" i="4"/>
  <c r="G117" i="4"/>
  <c r="G116" i="4"/>
  <c r="G115" i="4"/>
  <c r="G114" i="4"/>
  <c r="G113" i="4"/>
  <c r="G112" i="4"/>
  <c r="G111" i="4"/>
  <c r="G110" i="4"/>
  <c r="G109" i="4"/>
  <c r="T40" i="6" l="1"/>
  <c r="O40" i="6"/>
  <c r="T39" i="6"/>
  <c r="O39" i="6"/>
  <c r="I119" i="4"/>
  <c r="J119" i="4" s="1"/>
  <c r="I110" i="4"/>
  <c r="J110" i="4" s="1"/>
  <c r="I113" i="4"/>
  <c r="J113" i="4" s="1"/>
  <c r="I118" i="4"/>
  <c r="J118" i="4" s="1"/>
  <c r="I116" i="4"/>
  <c r="J116" i="4" s="1"/>
  <c r="I111" i="4"/>
  <c r="J111" i="4" s="1"/>
  <c r="I114" i="4"/>
  <c r="J114" i="4" s="1"/>
  <c r="I109" i="4"/>
  <c r="J109" i="4" s="1"/>
  <c r="I117" i="4"/>
  <c r="J117" i="4" s="1"/>
  <c r="I112" i="4"/>
  <c r="J112" i="4" s="1"/>
  <c r="I115" i="4"/>
  <c r="J115" i="4" s="1"/>
  <c r="G136" i="4"/>
  <c r="AA39" i="6" l="1"/>
  <c r="V39" i="6"/>
  <c r="V40" i="6"/>
  <c r="AA40" i="6"/>
  <c r="I136" i="4"/>
  <c r="I137" i="4" s="1"/>
  <c r="G137" i="4"/>
  <c r="H5" i="5" s="1"/>
  <c r="I5" i="5" s="1"/>
  <c r="AC40" i="6" l="1"/>
  <c r="AH40" i="6"/>
  <c r="AJ40" i="6" s="1"/>
  <c r="AH39" i="6"/>
  <c r="AJ39" i="6" s="1"/>
  <c r="AC39" i="6"/>
  <c r="K33" i="6"/>
  <c r="N33" i="6"/>
  <c r="U33" i="6" s="1"/>
  <c r="AB33" i="6" s="1"/>
  <c r="AI33" i="6" s="1"/>
  <c r="M33" i="6"/>
  <c r="T33" i="6" s="1"/>
  <c r="AA33" i="6" s="1"/>
  <c r="AH33" i="6" s="1"/>
  <c r="L33" i="6"/>
  <c r="S33" i="6" s="1"/>
  <c r="Z33" i="6" s="1"/>
  <c r="J136" i="4"/>
  <c r="J137" i="4" s="1"/>
  <c r="E33" i="6"/>
  <c r="D33" i="6"/>
  <c r="F33" i="6"/>
  <c r="D9" i="6"/>
  <c r="E9" i="6" s="1"/>
  <c r="F9" i="6" s="1"/>
  <c r="G9" i="6" s="1"/>
  <c r="H9" i="6" s="1"/>
  <c r="G33" i="6"/>
  <c r="AG33" i="6" l="1"/>
  <c r="O33" i="6"/>
  <c r="R33" i="6"/>
  <c r="E38" i="6"/>
  <c r="L38" i="6" s="1"/>
  <c r="D14" i="6"/>
  <c r="E14" i="6" s="1"/>
  <c r="F14" i="6" s="1"/>
  <c r="G14" i="6" s="1"/>
  <c r="H14" i="6" s="1"/>
  <c r="F38" i="6"/>
  <c r="M38" i="6" s="1"/>
  <c r="T38" i="6" s="1"/>
  <c r="AA38" i="6" s="1"/>
  <c r="AH38" i="6" s="1"/>
  <c r="D38" i="6"/>
  <c r="K38" i="6" s="1"/>
  <c r="R38" i="6" s="1"/>
  <c r="Y38" i="6" s="1"/>
  <c r="AF38" i="6" s="1"/>
  <c r="G38" i="6"/>
  <c r="N38" i="6" s="1"/>
  <c r="H33" i="6"/>
  <c r="U38" i="6" l="1"/>
  <c r="AB38" i="6" s="1"/>
  <c r="AI38" i="6" s="1"/>
  <c r="O38" i="6"/>
  <c r="S38" i="6"/>
  <c r="V33" i="6"/>
  <c r="Y33" i="6"/>
  <c r="H38" i="6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75" i="4"/>
  <c r="I74" i="4"/>
  <c r="I73" i="4"/>
  <c r="I71" i="4"/>
  <c r="I70" i="4"/>
  <c r="I67" i="4"/>
  <c r="I66" i="4"/>
  <c r="I65" i="4"/>
  <c r="I72" i="4"/>
  <c r="I69" i="4"/>
  <c r="I68" i="4"/>
  <c r="I64" i="4"/>
  <c r="I63" i="4"/>
  <c r="I61" i="4"/>
  <c r="I62" i="4"/>
  <c r="I60" i="4"/>
  <c r="AF33" i="6" l="1"/>
  <c r="AJ33" i="6" s="1"/>
  <c r="AC33" i="6"/>
  <c r="V38" i="6"/>
  <c r="Z38" i="6"/>
  <c r="I77" i="4"/>
  <c r="I78" i="4" s="1"/>
  <c r="I79" i="4"/>
  <c r="I102" i="4"/>
  <c r="I100" i="4"/>
  <c r="I101" i="4" s="1"/>
  <c r="I49" i="4"/>
  <c r="J21" i="5" s="1"/>
  <c r="I48" i="4"/>
  <c r="I21" i="5" s="1"/>
  <c r="I47" i="4"/>
  <c r="H21" i="5" s="1"/>
  <c r="I50" i="4"/>
  <c r="K21" i="5" l="1"/>
  <c r="AC38" i="6"/>
  <c r="AG38" i="6"/>
  <c r="AJ38" i="6" s="1"/>
  <c r="I53" i="4"/>
  <c r="I106" i="4" s="1"/>
  <c r="I51" i="4"/>
  <c r="I52" i="4" s="1"/>
  <c r="I80" i="4"/>
  <c r="G12" i="5"/>
  <c r="G13" i="5"/>
  <c r="K37" i="6"/>
  <c r="D15" i="6" l="1"/>
  <c r="E6" i="8" s="1"/>
  <c r="K32" i="6"/>
  <c r="K34" i="6" s="1"/>
  <c r="R37" i="6"/>
  <c r="G11" i="5"/>
  <c r="I105" i="4"/>
  <c r="G37" i="6"/>
  <c r="N37" i="6" s="1"/>
  <c r="I103" i="4"/>
  <c r="E37" i="6"/>
  <c r="L37" i="6" s="1"/>
  <c r="E32" i="6"/>
  <c r="D37" i="6"/>
  <c r="D13" i="6"/>
  <c r="G32" i="6"/>
  <c r="F37" i="6"/>
  <c r="M37" i="6" s="1"/>
  <c r="D32" i="6"/>
  <c r="D8" i="6"/>
  <c r="F32" i="6"/>
  <c r="I54" i="4"/>
  <c r="I8" i="3"/>
  <c r="I7" i="3"/>
  <c r="I6" i="3"/>
  <c r="E29" i="6" s="1"/>
  <c r="I5" i="3"/>
  <c r="G15" i="5"/>
  <c r="E15" i="6" l="1"/>
  <c r="F15" i="6" s="1"/>
  <c r="H6" i="5"/>
  <c r="I6" i="5" s="1"/>
  <c r="I7" i="5" s="1"/>
  <c r="G26" i="5" s="1"/>
  <c r="R32" i="6"/>
  <c r="R34" i="6" s="1"/>
  <c r="D16" i="6"/>
  <c r="E16" i="6" s="1"/>
  <c r="F16" i="6" s="1"/>
  <c r="G16" i="6" s="1"/>
  <c r="G34" i="6"/>
  <c r="G50" i="6" s="1"/>
  <c r="N32" i="6"/>
  <c r="E34" i="6"/>
  <c r="E50" i="6" s="1"/>
  <c r="L32" i="6"/>
  <c r="U37" i="6"/>
  <c r="F34" i="6"/>
  <c r="F50" i="6" s="1"/>
  <c r="M32" i="6"/>
  <c r="E30" i="6"/>
  <c r="E49" i="6"/>
  <c r="F14" i="3"/>
  <c r="S37" i="6"/>
  <c r="Y32" i="6"/>
  <c r="T37" i="6"/>
  <c r="O37" i="6"/>
  <c r="Y37" i="6"/>
  <c r="R43" i="6"/>
  <c r="N41" i="6"/>
  <c r="L41" i="6"/>
  <c r="M41" i="6"/>
  <c r="K41" i="6"/>
  <c r="G14" i="5"/>
  <c r="F41" i="6"/>
  <c r="D18" i="6"/>
  <c r="E41" i="6"/>
  <c r="G41" i="6"/>
  <c r="D41" i="6"/>
  <c r="E18" i="6"/>
  <c r="M42" i="6"/>
  <c r="N42" i="6"/>
  <c r="K42" i="6"/>
  <c r="L42" i="6"/>
  <c r="E42" i="6"/>
  <c r="G42" i="6"/>
  <c r="F42" i="6"/>
  <c r="E19" i="6"/>
  <c r="D42" i="6"/>
  <c r="D19" i="6"/>
  <c r="E13" i="6"/>
  <c r="F13" i="6" s="1"/>
  <c r="G13" i="6" s="1"/>
  <c r="H13" i="6" s="1"/>
  <c r="E8" i="6"/>
  <c r="D10" i="6"/>
  <c r="F10" i="11" s="1"/>
  <c r="H37" i="6"/>
  <c r="D34" i="6"/>
  <c r="D50" i="6" s="1"/>
  <c r="H32" i="6"/>
  <c r="H34" i="6" s="1"/>
  <c r="F16" i="3"/>
  <c r="G29" i="6"/>
  <c r="F15" i="3"/>
  <c r="F29" i="6"/>
  <c r="F13" i="3"/>
  <c r="D29" i="6"/>
  <c r="D49" i="6" s="1"/>
  <c r="I9" i="3"/>
  <c r="D5" i="6" s="1"/>
  <c r="D6" i="6" s="1"/>
  <c r="K43" i="6" l="1"/>
  <c r="N43" i="6"/>
  <c r="E43" i="6"/>
  <c r="E51" i="6" s="1"/>
  <c r="M43" i="6"/>
  <c r="E7" i="8"/>
  <c r="H41" i="6"/>
  <c r="O41" i="6"/>
  <c r="E35" i="6"/>
  <c r="D20" i="6"/>
  <c r="F11" i="11" s="1"/>
  <c r="J26" i="5"/>
  <c r="H26" i="5"/>
  <c r="G16" i="5"/>
  <c r="G17" i="5" s="1"/>
  <c r="C7" i="7" s="1"/>
  <c r="C8" i="7" s="1"/>
  <c r="C9" i="7" s="1"/>
  <c r="C10" i="7" s="1"/>
  <c r="C11" i="7" s="1"/>
  <c r="C12" i="7" s="1"/>
  <c r="I26" i="5"/>
  <c r="K26" i="5" s="1"/>
  <c r="V37" i="6"/>
  <c r="V43" i="6" s="1"/>
  <c r="G43" i="6"/>
  <c r="G51" i="6" s="1"/>
  <c r="F43" i="6"/>
  <c r="F51" i="6" s="1"/>
  <c r="E52" i="6"/>
  <c r="AF37" i="6"/>
  <c r="Y43" i="6"/>
  <c r="AA37" i="6"/>
  <c r="T43" i="6"/>
  <c r="S32" i="6"/>
  <c r="L34" i="6"/>
  <c r="O32" i="6"/>
  <c r="O34" i="6" s="1"/>
  <c r="T32" i="6"/>
  <c r="M34" i="6"/>
  <c r="O42" i="6"/>
  <c r="Y34" i="6"/>
  <c r="AF32" i="6"/>
  <c r="J25" i="5"/>
  <c r="H25" i="5"/>
  <c r="G25" i="5"/>
  <c r="I25" i="5"/>
  <c r="G16" i="3"/>
  <c r="N29" i="6"/>
  <c r="N30" i="6" s="1"/>
  <c r="G13" i="3"/>
  <c r="K29" i="6"/>
  <c r="L43" i="6"/>
  <c r="Z37" i="6"/>
  <c r="S43" i="6"/>
  <c r="N34" i="6"/>
  <c r="U32" i="6"/>
  <c r="U43" i="6"/>
  <c r="AB37" i="6"/>
  <c r="G15" i="3"/>
  <c r="M29" i="6"/>
  <c r="M30" i="6" s="1"/>
  <c r="H42" i="6"/>
  <c r="J24" i="5"/>
  <c r="J27" i="5" s="1"/>
  <c r="F5" i="15" s="1"/>
  <c r="I24" i="5"/>
  <c r="H24" i="5"/>
  <c r="G24" i="5"/>
  <c r="G14" i="3"/>
  <c r="L29" i="6"/>
  <c r="L30" i="6" s="1"/>
  <c r="E20" i="6"/>
  <c r="G11" i="11" s="1"/>
  <c r="F20" i="6"/>
  <c r="H11" i="11" s="1"/>
  <c r="F30" i="6"/>
  <c r="F49" i="6"/>
  <c r="F52" i="6" s="1"/>
  <c r="D52" i="6"/>
  <c r="G30" i="6"/>
  <c r="G49" i="6"/>
  <c r="G52" i="6" s="1"/>
  <c r="F8" i="6"/>
  <c r="E10" i="6"/>
  <c r="G10" i="11" s="1"/>
  <c r="F17" i="3"/>
  <c r="E5" i="6" s="1"/>
  <c r="E6" i="6" s="1"/>
  <c r="G9" i="11" s="1"/>
  <c r="F9" i="11"/>
  <c r="F12" i="11" s="1"/>
  <c r="D11" i="6"/>
  <c r="D30" i="6"/>
  <c r="H29" i="6"/>
  <c r="H30" i="6" s="1"/>
  <c r="G15" i="6"/>
  <c r="G20" i="6" s="1"/>
  <c r="I11" i="11" s="1"/>
  <c r="E8" i="8"/>
  <c r="H16" i="6"/>
  <c r="E53" i="6" l="1"/>
  <c r="E44" i="6"/>
  <c r="E45" i="6" s="1"/>
  <c r="E46" i="6" s="1"/>
  <c r="D6" i="13" s="1"/>
  <c r="F6" i="13" s="1"/>
  <c r="H6" i="13" s="1"/>
  <c r="O43" i="6"/>
  <c r="H27" i="5"/>
  <c r="F5" i="13" s="1"/>
  <c r="H5" i="13" s="1"/>
  <c r="I27" i="5"/>
  <c r="F5" i="14" s="1"/>
  <c r="E17" i="14" s="1"/>
  <c r="E18" i="14" s="1"/>
  <c r="E19" i="14" s="1"/>
  <c r="E20" i="14" s="1"/>
  <c r="E21" i="14" s="1"/>
  <c r="E22" i="14" s="1"/>
  <c r="D21" i="6"/>
  <c r="D22" i="6" s="1"/>
  <c r="F53" i="6"/>
  <c r="G53" i="6"/>
  <c r="G17" i="3"/>
  <c r="F5" i="6" s="1"/>
  <c r="F6" i="6" s="1"/>
  <c r="H9" i="11" s="1"/>
  <c r="AC37" i="6"/>
  <c r="AC43" i="6" s="1"/>
  <c r="H14" i="3"/>
  <c r="S29" i="6"/>
  <c r="S30" i="6" s="1"/>
  <c r="K24" i="5"/>
  <c r="G27" i="5"/>
  <c r="F5" i="12" s="1"/>
  <c r="AF34" i="6"/>
  <c r="L31" i="6"/>
  <c r="L35" i="6"/>
  <c r="L44" i="6" s="1"/>
  <c r="H12" i="5"/>
  <c r="U34" i="6"/>
  <c r="AB32" i="6"/>
  <c r="AG37" i="6"/>
  <c r="AG43" i="6" s="1"/>
  <c r="Z43" i="6"/>
  <c r="T34" i="6"/>
  <c r="AA32" i="6"/>
  <c r="H13" i="3"/>
  <c r="R29" i="6"/>
  <c r="S34" i="6"/>
  <c r="Z32" i="6"/>
  <c r="V32" i="6"/>
  <c r="V34" i="6" s="1"/>
  <c r="N35" i="6"/>
  <c r="N44" i="6" s="1"/>
  <c r="N45" i="6" s="1"/>
  <c r="N46" i="6" s="1"/>
  <c r="D7" i="15" s="1"/>
  <c r="F7" i="15" s="1"/>
  <c r="H7" i="15" s="1"/>
  <c r="N31" i="6"/>
  <c r="H16" i="3"/>
  <c r="U29" i="6"/>
  <c r="U30" i="6" s="1"/>
  <c r="E17" i="15"/>
  <c r="E18" i="15" s="1"/>
  <c r="E19" i="15" s="1"/>
  <c r="E20" i="15" s="1"/>
  <c r="E21" i="15" s="1"/>
  <c r="E22" i="15" s="1"/>
  <c r="H5" i="15"/>
  <c r="G5" i="15"/>
  <c r="M35" i="6"/>
  <c r="M44" i="6" s="1"/>
  <c r="M45" i="6" s="1"/>
  <c r="M46" i="6" s="1"/>
  <c r="D7" i="14" s="1"/>
  <c r="F7" i="14" s="1"/>
  <c r="H7" i="14" s="1"/>
  <c r="M31" i="6"/>
  <c r="K30" i="6"/>
  <c r="O29" i="6"/>
  <c r="O30" i="6" s="1"/>
  <c r="F5" i="8"/>
  <c r="H5" i="8" s="1"/>
  <c r="H13" i="5"/>
  <c r="K25" i="5"/>
  <c r="H16" i="5"/>
  <c r="H15" i="3"/>
  <c r="T29" i="6"/>
  <c r="T30" i="6" s="1"/>
  <c r="AF43" i="6"/>
  <c r="H15" i="5"/>
  <c r="H17" i="5"/>
  <c r="AH37" i="6"/>
  <c r="AH43" i="6" s="1"/>
  <c r="AA43" i="6"/>
  <c r="H14" i="5"/>
  <c r="H11" i="5"/>
  <c r="AI37" i="6"/>
  <c r="AI43" i="6" s="1"/>
  <c r="AB43" i="6"/>
  <c r="G35" i="6"/>
  <c r="G44" i="6" s="1"/>
  <c r="G45" i="6" s="1"/>
  <c r="G46" i="6" s="1"/>
  <c r="D6" i="15" s="1"/>
  <c r="F6" i="15" s="1"/>
  <c r="G31" i="6"/>
  <c r="F13" i="11"/>
  <c r="F35" i="6"/>
  <c r="F44" i="6" s="1"/>
  <c r="F45" i="6" s="1"/>
  <c r="F46" i="6" s="1"/>
  <c r="D6" i="14" s="1"/>
  <c r="F6" i="14" s="1"/>
  <c r="F31" i="6"/>
  <c r="H35" i="6"/>
  <c r="H31" i="6"/>
  <c r="E31" i="6"/>
  <c r="D35" i="6"/>
  <c r="D31" i="6"/>
  <c r="G12" i="11"/>
  <c r="G13" i="11" s="1"/>
  <c r="G8" i="6"/>
  <c r="F10" i="6"/>
  <c r="H10" i="11" s="1"/>
  <c r="E11" i="6"/>
  <c r="E21" i="6" s="1"/>
  <c r="E22" i="6" s="1"/>
  <c r="H15" i="6"/>
  <c r="E10" i="8" s="1"/>
  <c r="E9" i="8"/>
  <c r="F18" i="13" l="1"/>
  <c r="G5" i="14"/>
  <c r="G6" i="14" s="1"/>
  <c r="G7" i="14" s="1"/>
  <c r="H5" i="14"/>
  <c r="E17" i="13"/>
  <c r="E18" i="13" s="1"/>
  <c r="E19" i="13" s="1"/>
  <c r="E20" i="13" s="1"/>
  <c r="E21" i="13" s="1"/>
  <c r="E22" i="13" s="1"/>
  <c r="G5" i="13"/>
  <c r="G6" i="13" s="1"/>
  <c r="G5" i="8"/>
  <c r="I15" i="3"/>
  <c r="AH29" i="6" s="1"/>
  <c r="AH30" i="6" s="1"/>
  <c r="AA29" i="6"/>
  <c r="AA30" i="6" s="1"/>
  <c r="L45" i="6"/>
  <c r="L46" i="6" s="1"/>
  <c r="D7" i="13" s="1"/>
  <c r="F7" i="13" s="1"/>
  <c r="F18" i="14"/>
  <c r="F19" i="14" s="1"/>
  <c r="H6" i="14"/>
  <c r="G6" i="15"/>
  <c r="G7" i="15" s="1"/>
  <c r="H6" i="15"/>
  <c r="F18" i="15"/>
  <c r="F19" i="15" s="1"/>
  <c r="I16" i="3"/>
  <c r="AI29" i="6" s="1"/>
  <c r="AI30" i="6" s="1"/>
  <c r="AB29" i="6"/>
  <c r="AB30" i="6" s="1"/>
  <c r="AJ37" i="6"/>
  <c r="AJ43" i="6" s="1"/>
  <c r="AI32" i="6"/>
  <c r="AI34" i="6" s="1"/>
  <c r="AB34" i="6"/>
  <c r="T31" i="6"/>
  <c r="T35" i="6"/>
  <c r="T44" i="6" s="1"/>
  <c r="T45" i="6" s="1"/>
  <c r="T46" i="6" s="1"/>
  <c r="D8" i="14" s="1"/>
  <c r="F8" i="14" s="1"/>
  <c r="U35" i="6"/>
  <c r="U44" i="6" s="1"/>
  <c r="U45" i="6" s="1"/>
  <c r="U46" i="6" s="1"/>
  <c r="D8" i="15" s="1"/>
  <c r="F8" i="15" s="1"/>
  <c r="U31" i="6"/>
  <c r="H5" i="12"/>
  <c r="G5" i="12"/>
  <c r="E17" i="12"/>
  <c r="E18" i="12" s="1"/>
  <c r="E19" i="12" s="1"/>
  <c r="E20" i="12" s="1"/>
  <c r="E21" i="12" s="1"/>
  <c r="E22" i="12" s="1"/>
  <c r="AG32" i="6"/>
  <c r="Z34" i="6"/>
  <c r="AC32" i="6"/>
  <c r="AC34" i="6" s="1"/>
  <c r="V29" i="6"/>
  <c r="V30" i="6" s="1"/>
  <c r="V31" i="6" s="1"/>
  <c r="R30" i="6"/>
  <c r="K27" i="5"/>
  <c r="O31" i="6"/>
  <c r="O35" i="6"/>
  <c r="O44" i="6" s="1"/>
  <c r="Y29" i="6"/>
  <c r="H17" i="3"/>
  <c r="G5" i="6" s="1"/>
  <c r="G6" i="6" s="1"/>
  <c r="I9" i="11" s="1"/>
  <c r="I13" i="3"/>
  <c r="S31" i="6"/>
  <c r="S35" i="6"/>
  <c r="S44" i="6" s="1"/>
  <c r="S45" i="6" s="1"/>
  <c r="S46" i="6" s="1"/>
  <c r="D8" i="13" s="1"/>
  <c r="F8" i="13" s="1"/>
  <c r="H8" i="13" s="1"/>
  <c r="K31" i="6"/>
  <c r="K35" i="6"/>
  <c r="K44" i="6" s="1"/>
  <c r="K45" i="6" s="1"/>
  <c r="AH32" i="6"/>
  <c r="AH34" i="6" s="1"/>
  <c r="AA34" i="6"/>
  <c r="I14" i="3"/>
  <c r="AG29" i="6" s="1"/>
  <c r="AG30" i="6" s="1"/>
  <c r="Z29" i="6"/>
  <c r="Z30" i="6" s="1"/>
  <c r="F11" i="6"/>
  <c r="F21" i="6" s="1"/>
  <c r="F22" i="6" s="1"/>
  <c r="H12" i="11"/>
  <c r="H13" i="11" s="1"/>
  <c r="H8" i="6"/>
  <c r="H10" i="6" s="1"/>
  <c r="G10" i="6"/>
  <c r="H20" i="6"/>
  <c r="J11" i="11" s="1"/>
  <c r="F20" i="15" l="1"/>
  <c r="G7" i="13"/>
  <c r="V35" i="6"/>
  <c r="V44" i="6" s="1"/>
  <c r="G8" i="15"/>
  <c r="G8" i="14"/>
  <c r="F20" i="14"/>
  <c r="Y30" i="6"/>
  <c r="AC29" i="6"/>
  <c r="AC30" i="6" s="1"/>
  <c r="AI35" i="6"/>
  <c r="AI44" i="6" s="1"/>
  <c r="AI45" i="6" s="1"/>
  <c r="AI46" i="6" s="1"/>
  <c r="D10" i="15" s="1"/>
  <c r="F10" i="15" s="1"/>
  <c r="H10" i="15" s="1"/>
  <c r="AI31" i="6"/>
  <c r="I17" i="3"/>
  <c r="H5" i="6" s="1"/>
  <c r="H6" i="6" s="1"/>
  <c r="J9" i="11" s="1"/>
  <c r="AF29" i="6"/>
  <c r="H8" i="15"/>
  <c r="K46" i="6"/>
  <c r="D7" i="12" s="1"/>
  <c r="F7" i="12" s="1"/>
  <c r="H7" i="12" s="1"/>
  <c r="O45" i="6"/>
  <c r="O46" i="6" s="1"/>
  <c r="E23" i="6" s="1"/>
  <c r="D7" i="8" s="1"/>
  <c r="F7" i="8" s="1"/>
  <c r="H7" i="8" s="1"/>
  <c r="AB35" i="6"/>
  <c r="AB44" i="6" s="1"/>
  <c r="AB45" i="6" s="1"/>
  <c r="AB46" i="6" s="1"/>
  <c r="D9" i="15" s="1"/>
  <c r="F9" i="15" s="1"/>
  <c r="H9" i="15" s="1"/>
  <c r="AB31" i="6"/>
  <c r="H7" i="13"/>
  <c r="Z31" i="6"/>
  <c r="Z35" i="6"/>
  <c r="Z44" i="6" s="1"/>
  <c r="Z45" i="6" s="1"/>
  <c r="Z46" i="6" s="1"/>
  <c r="D9" i="13" s="1"/>
  <c r="F9" i="13" s="1"/>
  <c r="AG31" i="6"/>
  <c r="R35" i="6"/>
  <c r="R44" i="6" s="1"/>
  <c r="R31" i="6"/>
  <c r="F19" i="13"/>
  <c r="F20" i="13" s="1"/>
  <c r="AA35" i="6"/>
  <c r="AA44" i="6" s="1"/>
  <c r="AA31" i="6"/>
  <c r="H8" i="14"/>
  <c r="AH31" i="6"/>
  <c r="AH35" i="6"/>
  <c r="AH44" i="6" s="1"/>
  <c r="AH45" i="6" s="1"/>
  <c r="AH46" i="6" s="1"/>
  <c r="D10" i="14" s="1"/>
  <c r="F10" i="14" s="1"/>
  <c r="H10" i="14" s="1"/>
  <c r="AG34" i="6"/>
  <c r="AG35" i="6" s="1"/>
  <c r="AG44" i="6" s="1"/>
  <c r="AG45" i="6" s="1"/>
  <c r="AG46" i="6" s="1"/>
  <c r="D10" i="13" s="1"/>
  <c r="F10" i="13" s="1"/>
  <c r="H10" i="13" s="1"/>
  <c r="AJ32" i="6"/>
  <c r="AJ34" i="6" s="1"/>
  <c r="I10" i="11"/>
  <c r="I12" i="11" s="1"/>
  <c r="I13" i="11" s="1"/>
  <c r="G11" i="6"/>
  <c r="G21" i="6" s="1"/>
  <c r="G22" i="6" s="1"/>
  <c r="J10" i="11"/>
  <c r="G8" i="13" l="1"/>
  <c r="G9" i="13" s="1"/>
  <c r="G10" i="13" s="1"/>
  <c r="H11" i="6"/>
  <c r="H21" i="6" s="1"/>
  <c r="H22" i="6" s="1"/>
  <c r="J12" i="11"/>
  <c r="J13" i="11" s="1"/>
  <c r="H12" i="15"/>
  <c r="G9" i="15"/>
  <c r="G10" i="15" s="1"/>
  <c r="H13" i="15" s="1"/>
  <c r="H11" i="15"/>
  <c r="F21" i="13"/>
  <c r="F22" i="13" s="1"/>
  <c r="AA45" i="6"/>
  <c r="AA46" i="6" s="1"/>
  <c r="D9" i="14" s="1"/>
  <c r="F9" i="14" s="1"/>
  <c r="H9" i="13"/>
  <c r="H11" i="13"/>
  <c r="H12" i="13"/>
  <c r="R45" i="6"/>
  <c r="V45" i="6" s="1"/>
  <c r="V46" i="6" s="1"/>
  <c r="F23" i="6" s="1"/>
  <c r="D8" i="8" s="1"/>
  <c r="F8" i="8" s="1"/>
  <c r="H8" i="8" s="1"/>
  <c r="F21" i="15"/>
  <c r="F22" i="15" s="1"/>
  <c r="AF30" i="6"/>
  <c r="AJ29" i="6"/>
  <c r="AJ30" i="6" s="1"/>
  <c r="AC31" i="6"/>
  <c r="AC35" i="6"/>
  <c r="AC44" i="6" s="1"/>
  <c r="Y31" i="6"/>
  <c r="Y35" i="6"/>
  <c r="Y44" i="6" s="1"/>
  <c r="Y45" i="6" s="1"/>
  <c r="H13" i="13" l="1" a="1"/>
  <c r="H13" i="13" s="1"/>
  <c r="R46" i="6"/>
  <c r="D8" i="12" s="1"/>
  <c r="F8" i="12" s="1"/>
  <c r="H8" i="12" s="1"/>
  <c r="Y46" i="6"/>
  <c r="D9" i="12" s="1"/>
  <c r="F9" i="12" s="1"/>
  <c r="H9" i="12" s="1"/>
  <c r="AC45" i="6"/>
  <c r="AC46" i="6" s="1"/>
  <c r="G23" i="6" s="1"/>
  <c r="D9" i="8" s="1"/>
  <c r="F9" i="8" s="1"/>
  <c r="H9" i="8" s="1"/>
  <c r="AF31" i="6"/>
  <c r="AF35" i="6"/>
  <c r="AF44" i="6" s="1"/>
  <c r="AF45" i="6" s="1"/>
  <c r="H9" i="14"/>
  <c r="H11" i="14"/>
  <c r="G9" i="14"/>
  <c r="H12" i="14"/>
  <c r="F21" i="14"/>
  <c r="F22" i="14" s="1"/>
  <c r="AJ31" i="6"/>
  <c r="AJ35" i="6"/>
  <c r="AJ44" i="6" s="1"/>
  <c r="G10" i="14" l="1"/>
  <c r="H13" i="14" s="1"/>
  <c r="AF46" i="6"/>
  <c r="D10" i="12" s="1"/>
  <c r="F10" i="12" s="1"/>
  <c r="H10" i="12" s="1"/>
  <c r="AJ45" i="6"/>
  <c r="AJ46" i="6" s="1"/>
  <c r="H23" i="6" s="1"/>
  <c r="D10" i="8" s="1"/>
  <c r="F10" i="8" s="1"/>
  <c r="H10" i="8" s="1"/>
  <c r="H39" i="6"/>
  <c r="D43" i="6"/>
  <c r="H43" i="6" l="1"/>
  <c r="D51" i="6"/>
  <c r="D53" i="6" s="1"/>
  <c r="D44" i="6"/>
  <c r="H44" i="6" l="1"/>
  <c r="D45" i="6"/>
  <c r="H45" i="6" s="1"/>
  <c r="H46" i="6" l="1"/>
  <c r="D23" i="6" s="1"/>
  <c r="D6" i="8" s="1"/>
  <c r="F6" i="8" s="1"/>
  <c r="D46" i="6"/>
  <c r="D6" i="12" s="1"/>
  <c r="F6" i="12" s="1"/>
  <c r="D8" i="7" l="1"/>
  <c r="D9" i="7" s="1"/>
  <c r="D10" i="7" s="1"/>
  <c r="D11" i="7" s="1"/>
  <c r="D12" i="7" s="1"/>
  <c r="G6" i="8"/>
  <c r="G7" i="8" s="1"/>
  <c r="G8" i="8" s="1"/>
  <c r="G9" i="8" s="1"/>
  <c r="G10" i="8" s="1"/>
  <c r="H13" i="8" s="1"/>
  <c r="H6" i="8"/>
  <c r="H12" i="8"/>
  <c r="H11" i="8"/>
  <c r="F18" i="12"/>
  <c r="F19" i="12" s="1"/>
  <c r="F20" i="12" s="1"/>
  <c r="F21" i="12" s="1"/>
  <c r="F22" i="12" s="1"/>
  <c r="H6" i="12"/>
  <c r="H12" i="12"/>
  <c r="G6" i="12"/>
  <c r="G7" i="12" s="1"/>
  <c r="G8" i="12" s="1"/>
  <c r="G9" i="12" s="1"/>
  <c r="G10" i="12" s="1"/>
  <c r="H11" i="12"/>
  <c r="H13" i="12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<sst xmlns="http://schemas.openxmlformats.org/spreadsheetml/2006/main" count="2961" uniqueCount="1190">
  <si>
    <t>#</t>
  </si>
  <si>
    <t>الغرض</t>
  </si>
  <si>
    <t>مصاريف استخراج سجل تجاري</t>
  </si>
  <si>
    <t xml:space="preserve">رسوم التسجيل في الغرفة التجارية </t>
  </si>
  <si>
    <t>بوسترات ومطبوعات </t>
  </si>
  <si>
    <t>السنة 1</t>
  </si>
  <si>
    <t>السنة 2</t>
  </si>
  <si>
    <t>السنة 3</t>
  </si>
  <si>
    <t>السنة 4</t>
  </si>
  <si>
    <t>السنة 5</t>
  </si>
  <si>
    <t xml:space="preserve">المسبح </t>
  </si>
  <si>
    <t xml:space="preserve">البادل </t>
  </si>
  <si>
    <t xml:space="preserve">ملعب متعدد الأغراض </t>
  </si>
  <si>
    <t xml:space="preserve">الصالة الرياضية </t>
  </si>
  <si>
    <t xml:space="preserve">الخدمات </t>
  </si>
  <si>
    <t xml:space="preserve">شهري </t>
  </si>
  <si>
    <t xml:space="preserve">معدل النمو السنوي </t>
  </si>
  <si>
    <t xml:space="preserve">اعداد العملاء المتوقع </t>
  </si>
  <si>
    <t xml:space="preserve">موظف صيانة ونظافة </t>
  </si>
  <si>
    <t xml:space="preserve">موظف مبيعات وتسويق </t>
  </si>
  <si>
    <t xml:space="preserve">نوع الوظيفة </t>
  </si>
  <si>
    <t xml:space="preserve">العدد </t>
  </si>
  <si>
    <t>الراتب المتوقع</t>
  </si>
  <si>
    <t xml:space="preserve">معدل التضخم السنوي </t>
  </si>
  <si>
    <t xml:space="preserve">مدرب ومشرف الموقع </t>
  </si>
  <si>
    <t>الإجمالي  للسنة 1</t>
  </si>
  <si>
    <t>إجمالي رواتب الملعب</t>
  </si>
  <si>
    <t xml:space="preserve">إجمالي رواتب  البادل </t>
  </si>
  <si>
    <t xml:space="preserve">إجمالي رواتب  المسبح </t>
  </si>
  <si>
    <t xml:space="preserve">إجمالي رواتب الصالة الرياضية </t>
  </si>
  <si>
    <t xml:space="preserve">إجمالي رواتب النادي للسنة الأولى </t>
  </si>
  <si>
    <t xml:space="preserve">البيان </t>
  </si>
  <si>
    <t>المساحة
متر/مربع</t>
  </si>
  <si>
    <t xml:space="preserve">% الاستهلاك </t>
  </si>
  <si>
    <t xml:space="preserve">تكاليف غير منظورة </t>
  </si>
  <si>
    <t>%</t>
  </si>
  <si>
    <t>تكلفة التشطيب</t>
  </si>
  <si>
    <t xml:space="preserve">إجمالي تكاليف المباني والإنشاءات </t>
  </si>
  <si>
    <t xml:space="preserve">إجمالي م استهلاك المباني والإنشاءات  </t>
  </si>
  <si>
    <t xml:space="preserve">إجمالي الصيانة السنوية المباني والإنشاءات   </t>
  </si>
  <si>
    <t xml:space="preserve">تكلفة المتر/ريال </t>
  </si>
  <si>
    <t xml:space="preserve">إجمالي التكلفة /ريال </t>
  </si>
  <si>
    <t xml:space="preserve">مساحة المسبح </t>
  </si>
  <si>
    <t xml:space="preserve">مساحة البادل </t>
  </si>
  <si>
    <t>مساحة الملعب متعدد الأغراض</t>
  </si>
  <si>
    <t xml:space="preserve">مساحة الصالة الرياضة </t>
  </si>
  <si>
    <t>العدد</t>
  </si>
  <si>
    <t xml:space="preserve">التكلفة/ريال </t>
  </si>
  <si>
    <t xml:space="preserve">إجمالي تكاليف المعدات والأجهزة الرياضية </t>
  </si>
  <si>
    <t xml:space="preserve">إجمالي م.استهلاك االمعدات والأجهزة الرياضية </t>
  </si>
  <si>
    <t xml:space="preserve">إجمالي الصيانة السنوية للمعدات والأجهزة الرياضية </t>
  </si>
  <si>
    <t xml:space="preserve">القسم </t>
  </si>
  <si>
    <t xml:space="preserve">مضخة لتدوير المياه </t>
  </si>
  <si>
    <t>الأرضية الصناعية شبكة و أعمدة البادل</t>
  </si>
  <si>
    <t>البادل</t>
  </si>
  <si>
    <t xml:space="preserve">الأرضية الرسوم متعددة </t>
  </si>
  <si>
    <t xml:space="preserve">أرضية صناعية قابلة لتحمل الصدمات </t>
  </si>
  <si>
    <t xml:space="preserve">فلتر تقنية المياه </t>
  </si>
  <si>
    <t xml:space="preserve">الإضاءة الخارجية للملعب + الداخلية </t>
  </si>
  <si>
    <t xml:space="preserve">خزان تحكم بالكيماويات </t>
  </si>
  <si>
    <t>معدات اللعب والتدريب  ( البادل)</t>
  </si>
  <si>
    <t>معدات اللعب والتدريب  ( ملعب متعدد الأغراض)</t>
  </si>
  <si>
    <t>معدات اللعب والتدريب ( الصالة الرياضة)</t>
  </si>
  <si>
    <t xml:space="preserve">أنظمة السلامة والأنذار والاسعافات وحواجز الحماية </t>
  </si>
  <si>
    <t xml:space="preserve">أجهزة الحاسوب </t>
  </si>
  <si>
    <t>الطابعات</t>
  </si>
  <si>
    <t xml:space="preserve">كراسي </t>
  </si>
  <si>
    <t xml:space="preserve">طاولة صغيرة </t>
  </si>
  <si>
    <t>المتغير %</t>
  </si>
  <si>
    <t xml:space="preserve">التكالف المتغيرة </t>
  </si>
  <si>
    <t xml:space="preserve">مصاريف التأمين </t>
  </si>
  <si>
    <t>تكلفة شهرية ريال</t>
  </si>
  <si>
    <t xml:space="preserve">تكلفة سنوية ريال </t>
  </si>
  <si>
    <t xml:space="preserve">رسوم بلدية </t>
  </si>
  <si>
    <t xml:space="preserve">رسوم الغرفة التجارية </t>
  </si>
  <si>
    <t xml:space="preserve">مدد </t>
  </si>
  <si>
    <t xml:space="preserve">قوى </t>
  </si>
  <si>
    <t xml:space="preserve">قرطاسية ومطبوعات </t>
  </si>
  <si>
    <t xml:space="preserve">رسوم اشتراكات متنوعة </t>
  </si>
  <si>
    <t xml:space="preserve">إجمالي المصاريف التشغيلية </t>
  </si>
  <si>
    <t>البيان</t>
  </si>
  <si>
    <t>الافتراض</t>
  </si>
  <si>
    <t xml:space="preserve">معدل التضخم في الأسعار </t>
  </si>
  <si>
    <t xml:space="preserve">معدل الضريبة </t>
  </si>
  <si>
    <t xml:space="preserve">معدل الخصم السائد </t>
  </si>
  <si>
    <t>رأس المال العامل الأولي</t>
  </si>
  <si>
    <t xml:space="preserve">عدد الأشهر </t>
  </si>
  <si>
    <t>التكلفة الشهرية (ريال)</t>
  </si>
  <si>
    <t>التكلفة السنوية (ريال)</t>
  </si>
  <si>
    <t xml:space="preserve">المصاريف التشغيلية </t>
  </si>
  <si>
    <t xml:space="preserve">الرواتب والأجور </t>
  </si>
  <si>
    <t>راس المال العامل الأولي المطلوب</t>
  </si>
  <si>
    <t>نسبة من الإجمالي</t>
  </si>
  <si>
    <t xml:space="preserve">إجمالي التكاليف الرأسمالية </t>
  </si>
  <si>
    <t xml:space="preserve">التكلفة ريال </t>
  </si>
  <si>
    <t xml:space="preserve">التجهيزات والأعمال الأنشائية </t>
  </si>
  <si>
    <t xml:space="preserve">الأجهزة  والمعدات الرياضية </t>
  </si>
  <si>
    <t xml:space="preserve">أجهزة الحاسوب والأثاث </t>
  </si>
  <si>
    <t xml:space="preserve">إجمالي تكاليف  أجهزة الحاسوب والأثاث </t>
  </si>
  <si>
    <t xml:space="preserve">إجمالي م.استهلاك  أجهزة الحاسوب والأثاث  </t>
  </si>
  <si>
    <t xml:space="preserve">إجمالي الصيانة السنوية  أجهزة الحاسوب والأثاث </t>
  </si>
  <si>
    <t xml:space="preserve">ملخص التكاليف الرأسمالية </t>
  </si>
  <si>
    <t xml:space="preserve">الرجوع إلى جدول المحتويات </t>
  </si>
  <si>
    <t xml:space="preserve">الإيرادات </t>
  </si>
  <si>
    <t xml:space="preserve">إجمالي الإيردات </t>
  </si>
  <si>
    <t xml:space="preserve">إجمالي تكلفة الإيرادات </t>
  </si>
  <si>
    <t xml:space="preserve">مجمل الربح </t>
  </si>
  <si>
    <t xml:space="preserve">رواتب الإداريين </t>
  </si>
  <si>
    <t xml:space="preserve">مصاريف الاستهلاك </t>
  </si>
  <si>
    <t xml:space="preserve">صافي الأرباح النهائية </t>
  </si>
  <si>
    <t xml:space="preserve">فترة الاسترداد </t>
  </si>
  <si>
    <t xml:space="preserve">التدفقات النقدية الخارجة </t>
  </si>
  <si>
    <t xml:space="preserve">التدفقات النقدية الداخلة </t>
  </si>
  <si>
    <t xml:space="preserve">معدل الخصم </t>
  </si>
  <si>
    <t xml:space="preserve">السنوات </t>
  </si>
  <si>
    <t xml:space="preserve">صافي الربح </t>
  </si>
  <si>
    <t xml:space="preserve">يضاف الاستهلاك </t>
  </si>
  <si>
    <t xml:space="preserve">صافي التدفقات النقدية </t>
  </si>
  <si>
    <t xml:space="preserve">القيمة الحالية للتدفقات النقدية </t>
  </si>
  <si>
    <t>صافي القيمة الحالية NPV</t>
  </si>
  <si>
    <t>معدل العائد الداخلي IRR</t>
  </si>
  <si>
    <t>فترة الاسترداد  Payback</t>
  </si>
  <si>
    <t>إيرادات خدمات النادي</t>
  </si>
  <si>
    <t>يطرح المصاريف المتغيرة</t>
  </si>
  <si>
    <t xml:space="preserve">مصاريف تشغيلية متغيرة </t>
  </si>
  <si>
    <t xml:space="preserve">يطرح المصاريف الأخرى الثابتة </t>
  </si>
  <si>
    <t xml:space="preserve">مصاريف الصيانة </t>
  </si>
  <si>
    <t xml:space="preserve">إجمالي المصاريف الأخرى الثابتة </t>
  </si>
  <si>
    <t xml:space="preserve">قائمة الدخل التقديرية </t>
  </si>
  <si>
    <t xml:space="preserve">صافي الأرباح قبل الضريبة </t>
  </si>
  <si>
    <t xml:space="preserve">مصروف الضريبة </t>
  </si>
  <si>
    <t xml:space="preserve">رواتب  المشرفين والمدربين  </t>
  </si>
  <si>
    <t xml:space="preserve">المصاريف التشغيلية الثابتة </t>
  </si>
  <si>
    <t xml:space="preserve">مصاريف التأسيس القانونية </t>
  </si>
  <si>
    <t xml:space="preserve">مصاريف الحملة التسويقية </t>
  </si>
  <si>
    <t xml:space="preserve">المصاريف القانونية </t>
  </si>
  <si>
    <t xml:space="preserve">مصاريف  الحملة التسويقية </t>
  </si>
  <si>
    <t>-</t>
  </si>
  <si>
    <t>الملعب متعدد الأغراض</t>
  </si>
  <si>
    <t xml:space="preserve">الإجمالي </t>
  </si>
  <si>
    <t xml:space="preserve">قائمة الدخل التقديرية وفقا لكل قسم </t>
  </si>
  <si>
    <t>الإيرادات</t>
  </si>
  <si>
    <t xml:space="preserve">التكاليف المتغيرة </t>
  </si>
  <si>
    <t xml:space="preserve">التكاليف الثابتة </t>
  </si>
  <si>
    <t xml:space="preserve">نسبة هامش المساهمة </t>
  </si>
  <si>
    <t xml:space="preserve">نقطة التعادل بالقيمة </t>
  </si>
  <si>
    <t>المرجع</t>
  </si>
  <si>
    <t>الدراسة الفنية</t>
  </si>
  <si>
    <t>الدراسة القانوينة</t>
  </si>
  <si>
    <t>الدراسة التسويقية</t>
  </si>
  <si>
    <t>الدراسة المالية</t>
  </si>
  <si>
    <t xml:space="preserve">المساحة </t>
  </si>
  <si>
    <t>المسبح</t>
  </si>
  <si>
    <t xml:space="preserve">الايجار السنوي </t>
  </si>
  <si>
    <t xml:space="preserve">إجمالي الايجار السنوي للنادي </t>
  </si>
  <si>
    <t xml:space="preserve">التكلفة الشهرية </t>
  </si>
  <si>
    <t>إجمالي الايجار الشهري</t>
  </si>
  <si>
    <t xml:space="preserve">مصاريف الايجار </t>
  </si>
  <si>
    <t xml:space="preserve"> السنة 3</t>
  </si>
  <si>
    <t>القسم</t>
  </si>
  <si>
    <t>الصالة الرياضية</t>
  </si>
  <si>
    <t>الملعب المتعدد الأغراض</t>
  </si>
  <si>
    <t>ملعب البادل</t>
  </si>
  <si>
    <t>استهلاك مياه للمسبح</t>
  </si>
  <si>
    <t>استهلاك كهرباء للمسبح</t>
  </si>
  <si>
    <t>استهلاك مياه لملعب البادل</t>
  </si>
  <si>
    <t>استهلاك كهرباء لملعب البادل</t>
  </si>
  <si>
    <t xml:space="preserve">استهلاك مياه للصالة الرياضية </t>
  </si>
  <si>
    <t xml:space="preserve">استهلاك كهرباء للصالة الرياضية </t>
  </si>
  <si>
    <t xml:space="preserve">استهلاك مياه للملعب متعدد الأغراض  </t>
  </si>
  <si>
    <t xml:space="preserve">استهلاك كهرباء ل للملعب متعدد الأغراض </t>
  </si>
  <si>
    <t>مصاريف الاتصالات للمسبح</t>
  </si>
  <si>
    <t xml:space="preserve">مصاريف النظافة للمسبح </t>
  </si>
  <si>
    <t>مصاريف الاتصالات للبادل</t>
  </si>
  <si>
    <t>مصاريف النظافة للبادل</t>
  </si>
  <si>
    <t>مصاريف الاتصالات للصالة المتعددة الأغراض</t>
  </si>
  <si>
    <t>مصاريف النظافة  للصالة المتعددة الأغراض</t>
  </si>
  <si>
    <t xml:space="preserve">مصاريف الاتصالات للصالة الرياضية </t>
  </si>
  <si>
    <t xml:space="preserve">مصاريف النظافة للصالة الرياضية </t>
  </si>
  <si>
    <t xml:space="preserve">التشطيب </t>
  </si>
  <si>
    <t>الموارد</t>
  </si>
  <si>
    <t>القيمة</t>
  </si>
  <si>
    <t>الإجمالي</t>
  </si>
  <si>
    <t xml:space="preserve">إجمالي التكاليف الإنشائية </t>
  </si>
  <si>
    <t>إجمالي تكاليف المتر الواحد</t>
  </si>
  <si>
    <t>تكاليف غير مذكورة 15%</t>
  </si>
  <si>
    <t>مستقبل العملاء ومحاسب</t>
  </si>
  <si>
    <t>مدير الصالة الرياضية  ومشرف على الموقع</t>
  </si>
  <si>
    <t>مدير الملعب ومشرف على الموقع</t>
  </si>
  <si>
    <t xml:space="preserve">مدير المسبح و مشرف السباحة </t>
  </si>
  <si>
    <t xml:space="preserve">مدير الموقع  و مشرف الموقع </t>
  </si>
  <si>
    <t xml:space="preserve">الملعب المتعدد الأغراض </t>
  </si>
  <si>
    <t>البند</t>
  </si>
  <si>
    <t xml:space="preserve">متوسط أسعار الخدمات </t>
  </si>
  <si>
    <t>https://elfaleh.sa</t>
  </si>
  <si>
    <t>https://champkit.sa/</t>
  </si>
  <si>
    <t>https://champkit.sa</t>
  </si>
  <si>
    <t xml:space="preserve"> المجموع مع التكاليف غير المذكورة 10%</t>
  </si>
  <si>
    <t>https://haraj.com.sa/11122823016/%D9%85%D8%AA%D8%AE%D8%B5%D8%B5%D9%88%D9%86_%D9%81%D9%8A_%D8%AA%D9%88%D8%B1%D9%8A%D8%AF_%D9%88%D8%AA%D8%B1%D9%83%D9%8A%D8%A8_%D8%A7%D8%B1%D8%B6%D9%8A%D8%A7%D8%AA_%D8%A7%D9%84%D8%B1%D8%A8%D8%B1_%D8%A7%D9%84%D8%B5%D8%A8_EPDM_%D9%88%D8%A7%D9%84%D8%A7%D9%83%D8%B1%D9%84%D9%8A%D9%83/</t>
  </si>
  <si>
    <t>https://www.amazon.sa/%D8%A7%D9%84%D8%A7%D8%AD%D8%AA%D8%B1%D8%A7%D9%81%D9%8A%D8%A9-%D8%A7%D9%84%D9%85%D8%AD%D9%85%D9%88%D9%84%D8%A9-%D8%A7%D9%84%D8%A7%D9%84%D9%88%D9%85%D9%86%D9%8A%D9%88%D9%85-%D9%84%D9%84%D8%AA%D8%B9%D8%AF%D9%8A%D9%84%D8%8C-%D8%A7%D9%84%D8%B1%D8%A7%D9%81%D8%B9%D8%A7%D8%AA%D8%8C/dp/B089CRL17J?th=1</t>
  </si>
  <si>
    <t>https://banassersport.com/products/Football-Flick-2</t>
  </si>
  <si>
    <t>https://mawa.com.sa/%D9%81%D9%84%D8%AA%D8%B1-%D9%85%D8%B3%D8%A8%D8%AD-36-%D8%A8%D9%88%D8%B5%D8%A9</t>
  </si>
  <si>
    <t>https://samnanstore.com/product/%D9%85%D8%B6%D8%AE%D9%87-%D9%85%D8%B3%D8%A8%D8%AD/</t>
  </si>
  <si>
    <t>https://souq-proyard.com/%D8%AA%D8%AC%D9%87%D9%8A%D8%B2-%D9%85%D9%84%D8%A7%D8%B9%D8%A8-%D8%A8%D8%A7%D8%AF%D9%84-47000%D8%A3%D9%84%D9%81-%D8%B1%D9%8A%D8%A7%D9%84-%D8%A8%D8%A7%D9%84%D8%B3%D8%B9%D9%88%D8%AF%D9%8A%D8%A9/p1360615739</t>
  </si>
  <si>
    <t>اشتراكات</t>
  </si>
  <si>
    <t xml:space="preserve">المنصة </t>
  </si>
  <si>
    <t>الإعلامي</t>
  </si>
  <si>
    <t>الإعلامي والفعاليات</t>
  </si>
  <si>
    <t>استديو التطوير</t>
  </si>
  <si>
    <t>مشاريع أخرى</t>
  </si>
  <si>
    <t xml:space="preserve">تسجيل العلامة التجارية </t>
  </si>
  <si>
    <t>اعداد اللوائح والإجراءات وأفضل الممارسات والمعايير</t>
  </si>
  <si>
    <t>استئجار المكتب</t>
  </si>
  <si>
    <t>أثاث مكتبي</t>
  </si>
  <si>
    <t xml:space="preserve">إشتراك موقع إدارة المشاريع </t>
  </si>
  <si>
    <t xml:space="preserve">استشارات تشغيلية </t>
  </si>
  <si>
    <t xml:space="preserve">إشتراك موقع إدارة المحاسبة  والمالية </t>
  </si>
  <si>
    <t>اشتراك موقع إدارة العملاء</t>
  </si>
  <si>
    <t>إعلانات رقمية</t>
  </si>
  <si>
    <t>صفحة تعريفية بالموقع</t>
  </si>
  <si>
    <t xml:space="preserve">بيانات صحفية </t>
  </si>
  <si>
    <t>خطط تسويقية</t>
  </si>
  <si>
    <t xml:space="preserve">محتوى مع المؤثرين </t>
  </si>
  <si>
    <t xml:space="preserve">رعايات </t>
  </si>
  <si>
    <t xml:space="preserve">تقارير انفوجرافيك دورية </t>
  </si>
  <si>
    <t>محتوى تفاعلي (اختبارات، مسابقات عبر الموقع وهدايا )</t>
  </si>
  <si>
    <t>إدارة حسابات رقمية مع الدعم الفني</t>
  </si>
  <si>
    <t xml:space="preserve"> فيديوهات اعلانية عالية الجودة</t>
  </si>
  <si>
    <t>المنصب</t>
  </si>
  <si>
    <t>الشهور</t>
  </si>
  <si>
    <t>الراتب الشهري</t>
  </si>
  <si>
    <t>سيرفرات استضافة</t>
  </si>
  <si>
    <t xml:space="preserve">برمجة الموقع </t>
  </si>
  <si>
    <t>نظام بث مباشر</t>
  </si>
  <si>
    <t>نظام دفع الكتروني</t>
  </si>
  <si>
    <t>تكامل API</t>
  </si>
  <si>
    <t>نظام إدارة محتوى (CMS)</t>
  </si>
  <si>
    <t>أدوات وأنظمة ضبط الجودة ومراقبتها واختبارها</t>
  </si>
  <si>
    <t>الكمية</t>
  </si>
  <si>
    <t>السعر</t>
  </si>
  <si>
    <t>المنصة</t>
  </si>
  <si>
    <t>الاستديو</t>
  </si>
  <si>
    <t>أخرى</t>
  </si>
  <si>
    <t>فعاليات مرافقة (Booths)</t>
  </si>
  <si>
    <t>دراسة تحليلية عن سوق العمل</t>
  </si>
  <si>
    <t>تصاميم هوية بصرية والهوية التجارية</t>
  </si>
  <si>
    <t>ألأجهزة والبرمجيات</t>
  </si>
  <si>
    <t>الاحتياجات المكتبية</t>
  </si>
  <si>
    <t>الخدمات العامة والتأمينات</t>
  </si>
  <si>
    <t>الموردين وشركاء النقل</t>
  </si>
  <si>
    <t>المخازن والشحنات</t>
  </si>
  <si>
    <t>وحدات للسيرفرات والشبكات والتخزينات السحابية</t>
  </si>
  <si>
    <t>الملاحظات</t>
  </si>
  <si>
    <t>برامج الأمن السيبراني</t>
  </si>
  <si>
    <t>سيرفرات داخلية ونظام تواصل</t>
  </si>
  <si>
    <t>مدير العمليات والتشغيل</t>
  </si>
  <si>
    <t xml:space="preserve">مدير الموارد البشرية </t>
  </si>
  <si>
    <t xml:space="preserve">مدير الإعلام والعلاقات </t>
  </si>
  <si>
    <t>مدير البحث والتطوير والابتكار</t>
  </si>
  <si>
    <t>مدير تقنية المعلومات وأمن البيانات</t>
  </si>
  <si>
    <t>محلل بيانات</t>
  </si>
  <si>
    <t>مستشار قانوني</t>
  </si>
  <si>
    <t>مدير المالية والمحاسبة والتسويق</t>
  </si>
  <si>
    <t xml:space="preserve">مطور واجهة المستخدم </t>
  </si>
  <si>
    <t xml:space="preserve">مطور خلفية </t>
  </si>
  <si>
    <t xml:space="preserve">مهندس قواعد البيانات </t>
  </si>
  <si>
    <t>مصمم جرافيكي</t>
  </si>
  <si>
    <t>مسؤول دعم فني</t>
  </si>
  <si>
    <t>مشرف تعاملات مالية</t>
  </si>
  <si>
    <t>مشرف الألعاب الإلكترونية</t>
  </si>
  <si>
    <t>مشرف أخبار ومؤتمرات</t>
  </si>
  <si>
    <t>مشرف التعليم والفعاليات</t>
  </si>
  <si>
    <t>مراقب تعاملات مالية</t>
  </si>
  <si>
    <t>مراقب الألعاب الإلكترونية</t>
  </si>
  <si>
    <t>مراقب أخبار ومؤتمرات</t>
  </si>
  <si>
    <t>مراقب التعليم والفعاليات</t>
  </si>
  <si>
    <t>الرواتب المتوقعة في بداية العمل</t>
  </si>
  <si>
    <t>الرواتب المتوقعة بعد الاستقرار</t>
  </si>
  <si>
    <t>دراسة الموارد الإدارية  - وإدارة المرافق</t>
  </si>
  <si>
    <t>تأجير النقل والتوصيل</t>
  </si>
  <si>
    <t>رسوم الاجتماعات التسويقية</t>
  </si>
  <si>
    <t>اشتراك في أدوات قياس الإعلانات وتحليل بيانات الزوار.</t>
  </si>
  <si>
    <t>بند</t>
  </si>
  <si>
    <t>تقرير متخصص لدراسة حجم السوق، المنافسين، وسلوك اللاعبين.</t>
  </si>
  <si>
    <t>تكاليف لوجستية لاجتماعات فرق التسويق والتخطيط.</t>
  </si>
  <si>
    <t>حملات عبر Google, Meta, TikTok لاستهداف اللاعبين محليًا ودوليًا.</t>
  </si>
  <si>
    <t>تصاميم وإنتاج مطبوعات دعائية (بنرات، رول أب، بروشورات).</t>
  </si>
  <si>
    <t>إعداد تقارير بصرية شهرية حول الأداء والنتائج التسويقية.</t>
  </si>
  <si>
    <t>تأجير وتجهيز منصات عرض في معارض وأحداث كبرى.</t>
  </si>
  <si>
    <t>تصميم شعار وهوية كاملة تناسب التوجه العالمي للمنصة.</t>
  </si>
  <si>
    <t>مسابقات واختبارات عبر الموقع مع جوائز لجذب التفاعل.</t>
  </si>
  <si>
    <t>صفحة تعرض تعريف الشركة، الأهداف والخدمات.</t>
  </si>
  <si>
    <t>نشر أخبار وإعلانات رسمية عبر الصحف والمنصات الإعلامية.</t>
  </si>
  <si>
    <t>تشغيل حسابات السوشيال ميديا مع الردود والدعم الفني لمدة سنة.</t>
  </si>
  <si>
    <t>إنتاج فيديوهات إعلانية احترافية (30–90 ثانية).</t>
  </si>
  <si>
    <t>تعاون مع مشاهير البثوث وصناع المحتوى للألعاب.</t>
  </si>
  <si>
    <t>رعاية أحداث ومسابقات إلكترونية للترويج للمنصة.</t>
  </si>
  <si>
    <t>إعداد خطة تسويقية متكاملة (حملات، قنوات، KPIs).</t>
  </si>
  <si>
    <t>اشتراكات في منصات تحليل بيانات الزوار والإعلانات.</t>
  </si>
  <si>
    <t>إنتاج بودكاست/برامج دورية عن الألعاب</t>
  </si>
  <si>
    <t>تسجيل ونشر حلقة شهرية (أو أسبوعية في موسم الذروة) عن أحدث الألعاب والاتجاهات.</t>
  </si>
  <si>
    <t>تحسين محركات البحث (SEO)</t>
  </si>
  <si>
    <t>تهيئة الموقع والمحتوى لنتائج البحث خلال 12 شهر.</t>
  </si>
  <si>
    <t>حملات علاقات عامة</t>
  </si>
  <si>
    <t>قصص نجاح وتغطيات إعلامية موسعة على قنوات التلفاز والصحف</t>
  </si>
  <si>
    <t xml:space="preserve">اختبارات وتجارب مستخدم </t>
  </si>
  <si>
    <t>جلسات تجريبية مع لاعبين فعليين واستخلاص ملاحظاتهم لتحسين المنصة.</t>
  </si>
  <si>
    <t>الشراكات الاستراتيجية مع مطوري الألعاب</t>
  </si>
  <si>
    <t xml:space="preserve">اختيار وتدريب لاعبين محليين كممثلين دائمين للمنصة. لتقديم محتوى حصري أو ألعاب مجانية  لفترة محدودة. </t>
  </si>
  <si>
    <t>اشتراكات تابعه للذكاء الصناعي</t>
  </si>
  <si>
    <t>قرطاسية، أدوات مكتبية، طابعات.</t>
  </si>
  <si>
    <t>مساحة مناسبة للفريق (10–30 شخص كبداية).</t>
  </si>
  <si>
    <t>مكاتب، كراسي، قواطع، غرفة اجتماعات.</t>
  </si>
  <si>
    <t>حواسب، شاشات</t>
  </si>
  <si>
    <t>كهرباء، ماء، إنترنت، خدمات حكومية وتعقيب .</t>
  </si>
  <si>
    <t>odoo</t>
  </si>
  <si>
    <t>وافق</t>
  </si>
  <si>
    <t>zoho crm</t>
  </si>
  <si>
    <t>خبراء إدارة وتشغيل لمتابعة الأداء الإداري.</t>
  </si>
  <si>
    <t>ChatGPT Enterprise, Jasper, MidJourney+n8n +hostniger</t>
  </si>
  <si>
    <t>التدريب الإداري</t>
  </si>
  <si>
    <t>إدارة الوثائق والأرشفة</t>
  </si>
  <si>
    <t>slack</t>
  </si>
  <si>
    <t>اشتراكات اتصالات موحدة</t>
  </si>
  <si>
    <t>رقام هواتف عمل، بريد إلكتروني رسمي (Microsoft 365 / Google Workspace).</t>
  </si>
  <si>
    <t>ورش عمل للموظفين على استخدام الأدوات (CRM, ERP).</t>
  </si>
  <si>
    <t>تجهيز وحدات خوادم (Servers) داخلية + شبكات إنترنت وشبكة داخلية (LAN/Wi-Fi) + ربط مع التخزين السحابي (Cloud Storage).</t>
  </si>
  <si>
    <t>خدمات التنظيف والصيانة الدورية للمكتب</t>
  </si>
  <si>
    <t>نظافة + صيانة أجهزة + أعمال مكتبية.</t>
  </si>
  <si>
    <t>الصندوق النثري (Petty Cash)</t>
  </si>
  <si>
    <t>مصاريف طارئة يومية (ضيافة، مستلزمات عاجلة، تصليحات).</t>
  </si>
  <si>
    <t>الخدمات الجمركية والتخليص</t>
  </si>
  <si>
    <t>بناء شبكة علاقات مع شركات النقل المحلية والدولية لضمان سرعة وكفاءة التوصيل.</t>
  </si>
  <si>
    <t>الملاحضات</t>
  </si>
  <si>
    <t>إيجار وتجهيز مساحات تخزين مؤقتة للأجهزة والمعدات الخاصة بالمنصة والفعاليات.</t>
  </si>
  <si>
    <t>استئجار سيارات نقل وتجهيزات لوجستية لدعم عمليات التوصيل محليًا.</t>
  </si>
  <si>
    <t>مصاريف التخليص الجمركي ورسوم الموانئ للمعدات المستوردة.</t>
  </si>
  <si>
    <t xml:space="preserve">لوجستيات الفعاليات والمعارض </t>
  </si>
  <si>
    <t xml:space="preserve">إدارة المخزون </t>
  </si>
  <si>
    <t xml:space="preserve">تجهيز ونقل المعدات والأجهزة للمعارض الكبرى مثل Gamers8 والفعاليات المحلية + تصميم وانشاء البوث </t>
  </si>
  <si>
    <t>البنية السحابية المرنة</t>
  </si>
  <si>
    <t>أمن البيانات والنسخ الاحتياطي</t>
  </si>
  <si>
    <t>تحليلات البيانات</t>
  </si>
  <si>
    <t>واجهة مستخدم وتجربة المستخدم</t>
  </si>
  <si>
    <t>التراخيص والاشتراكات البرمجية</t>
  </si>
  <si>
    <t>شراكة مع STC Cloud أو AWS لاستضافة مرنة تدعم مئات الآلاف من المستخدمين.</t>
  </si>
  <si>
    <t>حلول حماية متقدمة (Firewall, DDoS, SIEM) لضمان حماية المنصة.</t>
  </si>
  <si>
    <t>تطوير موقع متكامل (Marketplace + Gaming Hub + Streaming Integration</t>
  </si>
  <si>
    <t>أنظمة بث احترافية (Wowza, Agora) + دعم Live Events.</t>
  </si>
  <si>
    <t>تكامل مع مدى، STC Pay، HyperPay (رسوم سنوية + تكاليف الربط).</t>
  </si>
  <si>
    <t>ربط المنصة مع بوابات دفع، واتساب بزنس، منصات ألعاب.</t>
  </si>
  <si>
    <t>إدارة المقالات، الفيديوهات، أخبار الألعاب، صفحات خاصة.</t>
  </si>
  <si>
    <t>أنظمة لمراقبة الأخطاء (Sentry, JMeter, BrowserStack).</t>
  </si>
  <si>
    <t>استخدام ChatGPT API, BI Tools لتحليل البيانات وأتمتة العمليات</t>
  </si>
  <si>
    <t>شبكات داخلية، بريد إلكتروني رسمي، سيرفر داخلي للفريق.</t>
  </si>
  <si>
    <t>بوت محادثة متعدد اللغات (Zoho Desk / Intercom).</t>
  </si>
  <si>
    <t>تطبيق iOS + Android متكامل مع المنصة (إعلانات، بث، متجر).</t>
  </si>
  <si>
    <t>خدمات CDN, Auto-Scaling (Cloudflare, AWS CloudFront).</t>
  </si>
  <si>
    <t>تشفير بيانات المستخدمين + أنظمة Backup سحابي ويومي.</t>
  </si>
  <si>
    <t>أدوات BI مثل Tableau/PowerBI + Google Analytics 360.</t>
  </si>
  <si>
    <t>تصميم حديث وتجربة مستخدم للألعاب والهوية البصرية.</t>
  </si>
  <si>
    <t>تراخيص أدوات التطوير (Adobe, JetBrains, GitHub Enterprise).</t>
  </si>
  <si>
    <t xml:space="preserve">إنشاء تطبيقات </t>
  </si>
  <si>
    <t>دعم الذكاء الصناعي وأتمتة الأعمال</t>
  </si>
  <si>
    <t>دعم العملاء (Chatbot)</t>
  </si>
  <si>
    <t>نظام إلكتروني لإدارة وتتبع المخزون والموارد (برمجيات + تدريب الموظفين+ الاصول).</t>
  </si>
  <si>
    <t>سياسة حماية البيانات والخصوصية (GDPR/PDPL)</t>
  </si>
  <si>
    <t>أتعاب استشارات قانونية سنوية</t>
  </si>
  <si>
    <t>تشمل خدمات مكتب محاماة متخصص لتغطية صياغة عقود الرعايات، الشراكات، عقود الاستثمار، حماية الملكية الفكرية، مراجعة عقود المؤثرين، وتقديم استشارات قانونية دورية.</t>
  </si>
  <si>
    <t>رسوم تراخيص إعلامية (معلن/إعلامي)</t>
  </si>
  <si>
    <t>استخراج التراخيص الإعلامية والإعلانية من وزارة الإعلام والجهات المختصة لضمان استمرار النشاط وحمايته من الإيقاف.</t>
  </si>
  <si>
    <t>تسجيل الشركة بشكل رسمي في وزارة التجارة مع إمكانية توقيع العقود والتعاملات الرسمية مع الجهات الحكومية والخاصة.</t>
  </si>
  <si>
    <t>تسجيل وحماية اسم وهوية مشروع ماك بلاش لدى الهيئة السعودية للملكية الفكرية ضد التقليد أو السرقة.</t>
  </si>
  <si>
    <t>إعداد لوائح داخلية تحدد الحقوق والواجبات، صياغة إجراءات تشغيلية يومية، وضع أفضل الممارسات (Best Practices) وضبط المعايير المحلية والعالمية لضمان الجودة والامتثال.</t>
  </si>
  <si>
    <t>اشتراك سنوي إلزامي لجميع الشركات السعودية يتيح الدخول في المناقصات والتعاملات الرسمية.</t>
  </si>
  <si>
    <t>صياغة وتنفيذ سياسات حماية البيانات بما يتوافق مع نظام حماية البيانات الشخصية السعودي (PDPL) ومعايير GDPR الدولية.</t>
  </si>
  <si>
    <t>صياغة عقود عمل قانونية لجميع الموظفين، إعداد لائحة تنظيم العمل معتمدة من وزارة الموارد البشرية، وتسجيل الشركة في البرامج الحكومية (مدد – اعتماد).</t>
  </si>
  <si>
    <t>عقود عمل الموظفين واللائحة الداخلية</t>
  </si>
  <si>
    <t>إجراءات الامتثال الضريبي (ZATCA)</t>
  </si>
  <si>
    <t>تسجيل ضريبة القيمة المضافة (VAT).وإعداد نظام للفوترة الإلكترونية وفق متطلبات هيئة الزكاة.</t>
  </si>
  <si>
    <t xml:space="preserve">التكلفة </t>
  </si>
  <si>
    <t>لماذا تم اختيار القيمة ؟</t>
  </si>
  <si>
    <t>كيف تم احتساب التكلفة ؟</t>
  </si>
  <si>
    <t>الوصف</t>
  </si>
  <si>
    <t>القيمة (سعر البيع)</t>
  </si>
  <si>
    <t>لماذا تم اختيار القيمة؟</t>
  </si>
  <si>
    <t>التكلفة</t>
  </si>
  <si>
    <t>كيف تم احتساب التكلفة؟</t>
  </si>
  <si>
    <t>الربح المتوقع (ريال)</t>
  </si>
  <si>
    <t>30 ريال/شهر</t>
  </si>
  <si>
    <t>10 ريال/مستخدم</t>
  </si>
  <si>
    <t>20 ريال/مستخدم</t>
  </si>
  <si>
    <t>5 – 20 ريال</t>
  </si>
  <si>
    <t>20 – 50 ريال</t>
  </si>
  <si>
    <t>إعلانات ورعايات داخل المنصة</t>
  </si>
  <si>
    <t>50,000 – 150,000 ريال</t>
  </si>
  <si>
    <t>50,000 – 350,000 ريال</t>
  </si>
  <si>
    <t>30,000 – 80,000 ريال/فيديو</t>
  </si>
  <si>
    <t>15,000 – 40,000 ريال</t>
  </si>
  <si>
    <t>100,000 – 300,000 ريال</t>
  </si>
  <si>
    <t>60,000 – 150,000 ريال</t>
  </si>
  <si>
    <t>20,000 – 100,000 ريال/حملة</t>
  </si>
  <si>
    <t>10,000 – 50,000 ريال</t>
  </si>
  <si>
    <t>25,000 – 60,000 ريال</t>
  </si>
  <si>
    <t>اشتراكات مميزة (Premium)</t>
  </si>
  <si>
    <t>شراء عناصر رقمية</t>
  </si>
  <si>
    <t>20 – 100 ريال</t>
  </si>
  <si>
    <t>رسوم تطوير/ترخيص</t>
  </si>
  <si>
    <t>رسوم بطولات إلكترونية</t>
  </si>
  <si>
    <t>100 ريال/مشارك</t>
  </si>
  <si>
    <t>40 ريال</t>
  </si>
  <si>
    <t>بطاقات شحن الألعاب</t>
  </si>
  <si>
    <t>50 – 300 ريال</t>
  </si>
  <si>
    <t>45 – 280 ريال</t>
  </si>
  <si>
    <t>100 – 300 ريال</t>
  </si>
  <si>
    <t>80 – 250 ريال</t>
  </si>
  <si>
    <t>لعبة الشهر</t>
  </si>
  <si>
    <t>40 ريال/شهر</t>
  </si>
  <si>
    <t>20 ريال</t>
  </si>
  <si>
    <t>25 ريال/يوم</t>
  </si>
  <si>
    <t>10 ريال</t>
  </si>
  <si>
    <t>تدريب شخصي (Coaching)</t>
  </si>
  <si>
    <t>150 ريال/ساعة</t>
  </si>
  <si>
    <t>70 ريال</t>
  </si>
  <si>
    <t>ورش عمل مجتمعية</t>
  </si>
  <si>
    <t>200 ريال/ورشة</t>
  </si>
  <si>
    <t>100 ريال</t>
  </si>
  <si>
    <t>منصة + مدرب</t>
  </si>
  <si>
    <t>مزايا إضافية مثل محتوى حصري وإزالة إعلانات</t>
  </si>
  <si>
    <t>منافس لخدمات عالمية مثل Spotify Gaming</t>
  </si>
  <si>
    <t>استضافة + صيانة + دعم فني</t>
  </si>
  <si>
    <t>Skins وأدوات وبطاقات داخل الألعاب</t>
  </si>
  <si>
    <t>مشابه لأسعار Fortnite وPUBG</t>
  </si>
  <si>
    <t>15 – 80 ريال</t>
  </si>
  <si>
    <t>مشاركة في بطولات بجوائز</t>
  </si>
  <si>
    <t>سعر متوسط للبطولات المحلية</t>
  </si>
  <si>
    <t>تنظيم + جوائز</t>
  </si>
  <si>
    <t>60 ريال/مشارك</t>
  </si>
  <si>
    <t>بطاقات بلايستيشن، إكس بوكس، ستيم</t>
  </si>
  <si>
    <t>مطابق لأسعار السوق</t>
  </si>
  <si>
    <t>شراء جملة من الموردين</t>
  </si>
  <si>
    <t>متجر ألعاب رقمي</t>
  </si>
  <si>
    <t>شراء ألعاب مباشرة عبر المنصة</t>
  </si>
  <si>
    <t>مشابه لـ Steam وEpic</t>
  </si>
  <si>
    <t>تراخيص توزيع الألعاب</t>
  </si>
  <si>
    <t>اشتراك يمنح لعبة كل شهر</t>
  </si>
  <si>
    <t>مثل Xbox Game Pass مصغر</t>
  </si>
  <si>
    <t>تراخيص ألعاب</t>
  </si>
  <si>
    <t>تأجير حسابات ألعاب</t>
  </si>
  <si>
    <t>استئجار حسابات لتجربة ألعاب مميزة</t>
  </si>
  <si>
    <t>سعر جذاب للهواة</t>
  </si>
  <si>
    <t>صيانة الحساب + تراخيص</t>
  </si>
  <si>
    <t>15 ريال</t>
  </si>
  <si>
    <t>جلسة مع لاعب محترف</t>
  </si>
  <si>
    <t>سعر قريب من سوق التدريب المحلي</t>
  </si>
  <si>
    <t>أتعاب المدرب</t>
  </si>
  <si>
    <t>80 ريال</t>
  </si>
  <si>
    <t>ورش تعليم صناعة الألعاب أو البث</t>
  </si>
  <si>
    <t>مقبول كورش قصيرة</t>
  </si>
  <si>
    <t>مسابقات أسبوعية</t>
  </si>
  <si>
    <t>تحديات بجوائز رمزية</t>
  </si>
  <si>
    <t>20 ريال/مشارك</t>
  </si>
  <si>
    <t>لجذب التفاعل</t>
  </si>
  <si>
    <t>جوائز + استضافة</t>
  </si>
  <si>
    <t>خدمة إعادة البث (Replay)</t>
  </si>
  <si>
    <t>حفظ وإعادة لقطات اللعب</t>
  </si>
  <si>
    <t>15 ريال/شهر</t>
  </si>
  <si>
    <t>مشابه لخدمات Twitch Replay</t>
  </si>
  <si>
    <t>5 ريال</t>
  </si>
  <si>
    <t>سيرفر + تخزين</t>
  </si>
  <si>
    <t>عضوية عائلية</t>
  </si>
  <si>
    <t>اشتراك لعدة مستخدمين (Family Pack)</t>
  </si>
  <si>
    <t>100 ريال/شهر</t>
  </si>
  <si>
    <t>مشابه لخدمات Netflix Family</t>
  </si>
  <si>
    <t>استضافة + دعم</t>
  </si>
  <si>
    <t>60 ريال</t>
  </si>
  <si>
    <t>حجز أسماء مستخدمين</t>
  </si>
  <si>
    <t>شراء أسماء نادرة</t>
  </si>
  <si>
    <t>50 – 200 ريال</t>
  </si>
  <si>
    <t>سوق نشط للأسماء الرقمية</t>
  </si>
  <si>
    <t>نظام حفظ + إدارة</t>
  </si>
  <si>
    <t>40 – 190 ريال</t>
  </si>
  <si>
    <t>اختبار ألعاب جديدة</t>
  </si>
  <si>
    <t>دخول مبكر (Beta Access)</t>
  </si>
  <si>
    <t>30 ريال/لعبة</t>
  </si>
  <si>
    <t>سعر عالمي للألعاب التجريبية</t>
  </si>
  <si>
    <t>تراخيص + منصة</t>
  </si>
  <si>
    <t>نظام الولاء والنقاط</t>
  </si>
  <si>
    <t>نقاط تستبدل بمكافآت</t>
  </si>
  <si>
    <t>20 ريال/اشتراك</t>
  </si>
  <si>
    <t>يزيد التفاعل</t>
  </si>
  <si>
    <t>تطوير + إدارة</t>
  </si>
  <si>
    <t>الربح المتوقع بالريال</t>
  </si>
  <si>
    <t>إدارة الحملات التسويقية</t>
  </si>
  <si>
    <t>تنظيم حملات المؤثر مع الشركات</t>
  </si>
  <si>
    <t>منافس لسوق إدارة المؤثرين</t>
  </si>
  <si>
    <t>فريق إدارة + إعلانات</t>
  </si>
  <si>
    <t>إنتاج فيديوهات مخصصة</t>
  </si>
  <si>
    <t>مونتاج فيديوهات ترويجية للبثوص</t>
  </si>
  <si>
    <t>5,000 – 15,000 ريال/فيديو</t>
  </si>
  <si>
    <t>سعر سوقي لإنتاج المحتوى</t>
  </si>
  <si>
    <t>3,000 – 7,000 ريال</t>
  </si>
  <si>
    <t>تصوير + مونتاج</t>
  </si>
  <si>
    <t>2,000 – 8,000 ريال</t>
  </si>
  <si>
    <t>تصميم الهوية البصرية</t>
  </si>
  <si>
    <t>شعار + بانر + ثيمات للبث</t>
  </si>
  <si>
    <t>3,000 – 8,000 ريال</t>
  </si>
  <si>
    <t>متوافق مع أسعار المصممين</t>
  </si>
  <si>
    <t>1,500 – 4,000 ريال</t>
  </si>
  <si>
    <t>تصميم + مراجعات</t>
  </si>
  <si>
    <t>استوديو تصوير مؤقت</t>
  </si>
  <si>
    <t>تأجير استوديو مع معدات</t>
  </si>
  <si>
    <t>2,500 – 7,500 ريال/يوم</t>
  </si>
  <si>
    <t>مثل أسعار استوديوهات جدة/الرياض</t>
  </si>
  <si>
    <t>1,000 – 4,000 ريال</t>
  </si>
  <si>
    <t>تأجير معدات + مساحة</t>
  </si>
  <si>
    <t>1,500 – 3,500 ريال</t>
  </si>
  <si>
    <t>خدمة البث المباشر الاحترافي</t>
  </si>
  <si>
    <t>إعداد وإدارة بث مباشر</t>
  </si>
  <si>
    <t>10,000 – 25,000 ريال/فعالية</t>
  </si>
  <si>
    <t>مشابه لشركات البث</t>
  </si>
  <si>
    <t>5,000 – 12,000 ريال</t>
  </si>
  <si>
    <t>معدات + تقنيين</t>
  </si>
  <si>
    <t>5,000 – 13,000 ريال</t>
  </si>
  <si>
    <t>إدارة حسابات التواصل</t>
  </si>
  <si>
    <t>جدولة المحتوى + الردود</t>
  </si>
  <si>
    <t>3,000 – 10,000 ريال/شهر</t>
  </si>
  <si>
    <t>سعر السوق لإدارة الحسابات</t>
  </si>
  <si>
    <t>مدير حساب + أدوات</t>
  </si>
  <si>
    <t>1,500 – 6,000 ريال</t>
  </si>
  <si>
    <t>تحليلات أداء المحتوى</t>
  </si>
  <si>
    <t>تقارير أداء وتفاعل الجمهور</t>
  </si>
  <si>
    <t>2,000 – 5,000 ريال/تقرير</t>
  </si>
  <si>
    <t>قيمة عادلة مقابل البيانات</t>
  </si>
  <si>
    <t>800 – 2,000 ريال</t>
  </si>
  <si>
    <t>أدوات تحليل</t>
  </si>
  <si>
    <t>1,200 – 3,000 ريال</t>
  </si>
  <si>
    <t>عقود رعاية وشراكات</t>
  </si>
  <si>
    <t>صياغة عقود قانونية للمؤثرين</t>
  </si>
  <si>
    <t>4,000 – 12,000 ريال/عقد</t>
  </si>
  <si>
    <t>متوافق مع مكاتب المحاماة</t>
  </si>
  <si>
    <t>2,000 – 5,000 ريال</t>
  </si>
  <si>
    <t>استشارات قانونية</t>
  </si>
  <si>
    <t>2,000 – 7,000 ريال</t>
  </si>
  <si>
    <t>تدريب المؤثرين</t>
  </si>
  <si>
    <t>ورش تدريب على تحسين البث</t>
  </si>
  <si>
    <t>1,500 – 3,000 ريال/ورشة</t>
  </si>
  <si>
    <t>أسعار دورات تطوير المهارات</t>
  </si>
  <si>
    <t>700 – 1,500 ريال</t>
  </si>
  <si>
    <t>مدرب + منصة</t>
  </si>
  <si>
    <t>800 – 1,500 ريال</t>
  </si>
  <si>
    <t>متجر إلكتروني شخصي</t>
  </si>
  <si>
    <t>إنشاء متجر لبيع منتجات المؤثر</t>
  </si>
  <si>
    <t>8,000 – 20,000 ريال</t>
  </si>
  <si>
    <t>سعر شبيه بـ Shopify Solutions</t>
  </si>
  <si>
    <t>تطوير متجر + تصميم</t>
  </si>
  <si>
    <t>ربط مع شركات رعاية</t>
  </si>
  <si>
    <t>تقديم المؤثر لشركات مناسبة</t>
  </si>
  <si>
    <t>5,000 ريال/صفقة</t>
  </si>
  <si>
    <t>قيمة بسيطة لتحفيز الرعايات</t>
  </si>
  <si>
    <t>1,500 ريال</t>
  </si>
  <si>
    <t>علاقات + إدارة</t>
  </si>
  <si>
    <t>3,500 ريال</t>
  </si>
  <si>
    <t>خدمة الإنتاج الصوتي</t>
  </si>
  <si>
    <t>تسجيل وتعليق صوتي احترافي</t>
  </si>
  <si>
    <t>مطابق لسوق الإنتاج الصوتي</t>
  </si>
  <si>
    <t>700 – 1,800 ريال</t>
  </si>
  <si>
    <t>استوديو + معدات</t>
  </si>
  <si>
    <t>800 – 2,200 ريال</t>
  </si>
  <si>
    <t>إدارة حقوق المحتوى</t>
  </si>
  <si>
    <t>حماية الفيديوهات من السرقة</t>
  </si>
  <si>
    <t>4,000 – 10,000 ريال/شهر</t>
  </si>
  <si>
    <t>متوافق مع خدمات حماية المحتوى</t>
  </si>
  <si>
    <t>2,000 – 4,000 ريال</t>
  </si>
  <si>
    <t>نظام حماية + متابعة</t>
  </si>
  <si>
    <t>2,000 – 6,000 ريال</t>
  </si>
  <si>
    <t>خدمة الترويج المتبادل</t>
  </si>
  <si>
    <t>حملات مشتركة بين مؤثرين</t>
  </si>
  <si>
    <t>3,000 – 8,000 ريال/حملة</t>
  </si>
  <si>
    <t>قيمة عادلة للتعاونات</t>
  </si>
  <si>
    <t>1,500 – 3,000 ريال</t>
  </si>
  <si>
    <t>إدارة + تصميم</t>
  </si>
  <si>
    <t>1,500 – 5,000 ريال</t>
  </si>
  <si>
    <t>استضافة على منصة ماك بلاش</t>
  </si>
  <si>
    <t>مساحة مميزة للبث عبر المنصة</t>
  </si>
  <si>
    <t>2,000 – 6,000 ريال/شهر</t>
  </si>
  <si>
    <t>سعر مشابه للباقات المميزة في Twitch</t>
  </si>
  <si>
    <t>سيرفر + دعم فني</t>
  </si>
  <si>
    <t>1,200 – 4,000 ريال</t>
  </si>
  <si>
    <t>للمؤثرين</t>
  </si>
  <si>
    <t>حجز مساحات إعلانية داخل المنصة أو أثناء البث</t>
  </si>
  <si>
    <t>100,000 – 500,000 ريال/حملة</t>
  </si>
  <si>
    <t>منافس لمنصات مثل Twitch وYouTube Gaming</t>
  </si>
  <si>
    <t>إنتاج محتوى + إدارة الحملة</t>
  </si>
  <si>
    <t>رعاية البطولات الإلكترونية</t>
  </si>
  <si>
    <t>شراكة مع ماك بلاش لرعاية الفعاليات</t>
  </si>
  <si>
    <t>150,000 – 600,000 ريال/بطولة</t>
  </si>
  <si>
    <t>متوافق مع السوق السعودي (Gamers8)</t>
  </si>
  <si>
    <t>80,000 – 250,000 ريال</t>
  </si>
  <si>
    <t>تنظيم البطولة + الجوائز</t>
  </si>
  <si>
    <t>70,000 – 350,000 ريال</t>
  </si>
  <si>
    <t>إنتاج محتوى دعائي للشركات</t>
  </si>
  <si>
    <t>فيديوهات تسويقية للألعاب أو المنتجات</t>
  </si>
  <si>
    <t>سعر السوق للإنتاج الإعلامي</t>
  </si>
  <si>
    <t>تصوير + إخراج + مونتاج</t>
  </si>
  <si>
    <t>منصة إطلاق المنتجات (Product Launch)</t>
  </si>
  <si>
    <t>بث وإعلان عن منتجات جديدة عبر ماك بلاش</t>
  </si>
  <si>
    <t>50,000 – 200,000 ريال</t>
  </si>
  <si>
    <t>مشابه لسوق الإطلاقات الرقمية</t>
  </si>
  <si>
    <t>25,000 – 80,000 ريال</t>
  </si>
  <si>
    <t>تجهيز منصة + حملات</t>
  </si>
  <si>
    <t>25,000 – 120,000 ريال</t>
  </si>
  <si>
    <t>متجر إلكتروني مخصص</t>
  </si>
  <si>
    <t>إنشاء متجر للشركات لبيع منتجات ألعاب أو إكسسوارات</t>
  </si>
  <si>
    <t>40,000 – 120,000 ريال</t>
  </si>
  <si>
    <t>أسعار مقاربة لتصميم متاجر Shopify</t>
  </si>
  <si>
    <t>20,000 – 50,000 ريال</t>
  </si>
  <si>
    <t>تطوير + تصميم</t>
  </si>
  <si>
    <t>20,000 – 70,000 ريال</t>
  </si>
  <si>
    <t>استضافة بثوث الشركات</t>
  </si>
  <si>
    <t>بث فعاليات ومؤتمرات الشركات عبر المنصة</t>
  </si>
  <si>
    <t>25,000 – 100,000 ريال/فعالية</t>
  </si>
  <si>
    <t>أسعار مقاربة لخدمات البث المحترفة</t>
  </si>
  <si>
    <t>10,000 – 40,000 ريال</t>
  </si>
  <si>
    <t>معدات + سيرفرات</t>
  </si>
  <si>
    <t>15,000 – 60,000 ريال</t>
  </si>
  <si>
    <t>تقارير تحليل اللاعبين (Analytics)</t>
  </si>
  <si>
    <t>تقارير عن سلوك اللاعبين لصالح الشركات</t>
  </si>
  <si>
    <t>20,000 – 50,000 ريال/تقرير</t>
  </si>
  <si>
    <t>قيمة سوقية للبيانات الضخمة</t>
  </si>
  <si>
    <t>أدوات BI + فريق تحليل</t>
  </si>
  <si>
    <t>12,000 – 30,000 ريال</t>
  </si>
  <si>
    <t>إدارة حملات تسويق رقمية</t>
  </si>
  <si>
    <t>حملات تسويقية موجهة لجمهور اللاعبين</t>
  </si>
  <si>
    <t>30,000 – 150,000 ريال</t>
  </si>
  <si>
    <t>أسعار مشابهة لشركات التسويق الكبرى</t>
  </si>
  <si>
    <t>15,000 – 70,000 ريال</t>
  </si>
  <si>
    <t>إعلانات ممولة + إدارة</t>
  </si>
  <si>
    <t>15,000 – 80,000 ريال</t>
  </si>
  <si>
    <t>تطوير ألعاب للشركات (Advergames)</t>
  </si>
  <si>
    <t>ألعاب مصممة خصيصًا للتسويق</t>
  </si>
  <si>
    <t>120,000 – 400,000 ريال</t>
  </si>
  <si>
    <t>أسعار السوق الإقليمي للألعاب التفاعلية</t>
  </si>
  <si>
    <t>70,000 – 200,000 ريال</t>
  </si>
  <si>
    <t>برمجة + تصميم + اختبار</t>
  </si>
  <si>
    <t>تنظيم فعاليات ألعاب للشركات</t>
  </si>
  <si>
    <t>فعاليات ترفيهية أو تسويقية عبر الألعاب</t>
  </si>
  <si>
    <t>80,000 – 300,000 ريال</t>
  </si>
  <si>
    <t>متوافق مع السوق السعودي</t>
  </si>
  <si>
    <t>تنظيم + تجهيز + محتوى</t>
  </si>
  <si>
    <t>40,000 – 180,000 ريال</t>
  </si>
  <si>
    <t>ربط مع المؤثرين</t>
  </si>
  <si>
    <t>توصيل الشركات بالمؤثرين المناسبين</t>
  </si>
  <si>
    <t>20,000 – 80,000 ريال/حملة</t>
  </si>
  <si>
    <t>نفس أسعار وكالات المؤثرين</t>
  </si>
  <si>
    <t>أتعاب المؤثرين + إدارة</t>
  </si>
  <si>
    <t>إنتاج محتوى تفاعلي</t>
  </si>
  <si>
    <t>اختبارات ومسابقات موجهة لمنتجات الشركات</t>
  </si>
  <si>
    <t>15,000 – 50,000 ريال</t>
  </si>
  <si>
    <t>أسعار مناسبة لحملات تفاعلية</t>
  </si>
  <si>
    <t>7,000 – 20,000 ريال</t>
  </si>
  <si>
    <t>تصميم + تطوير</t>
  </si>
  <si>
    <t>8,000 – 30,000 ريال</t>
  </si>
  <si>
    <t>خدمات تصوير احترافية</t>
  </si>
  <si>
    <t>تصوير منتجات شركات الألعاب/التقنية</t>
  </si>
  <si>
    <t>8,000 – 25,000 ريال/جلسة</t>
  </si>
  <si>
    <t>أسعار السوق السعودي للتصوير</t>
  </si>
  <si>
    <t>4,000 – 12,000 ريال</t>
  </si>
  <si>
    <t>معدات + فريق تصوير</t>
  </si>
  <si>
    <t>4,000 – 13,000 ريال</t>
  </si>
  <si>
    <t>محتوى تحرير وتقييم</t>
  </si>
  <si>
    <t>مقالات وفيديوهات تقييم للألعاب الجديدة</t>
  </si>
  <si>
    <t>10,000 – 30,000 ريال</t>
  </si>
  <si>
    <t>محتوى عالي القيمة للشركات</t>
  </si>
  <si>
    <t>كُتّاب + محررين</t>
  </si>
  <si>
    <t>6,000 – 18,000 ريال</t>
  </si>
  <si>
    <t>خدمات استضافة منتجات الشركات</t>
  </si>
  <si>
    <t>عرض منتجات الشركات داخل المنصة (Marketplace B2B)</t>
  </si>
  <si>
    <t>5% عمولة</t>
  </si>
  <si>
    <t>مشابه لـ Amazon/Ebay</t>
  </si>
  <si>
    <t>رسوم دفع + إدارة</t>
  </si>
  <si>
    <t>3% عمولة</t>
  </si>
  <si>
    <t>لشركات التجارية</t>
  </si>
  <si>
    <t>تقارير سوق الألعاب</t>
  </si>
  <si>
    <t>تقارير تحليلية عن السوق والاتجاهات</t>
  </si>
  <si>
    <t>15,000 – 40,000 ريال/تقرير</t>
  </si>
  <si>
    <t>قيمة تنافسية مقارنة بشركات الأبحاث</t>
  </si>
  <si>
    <t>6,000 – 15,000 ريال</t>
  </si>
  <si>
    <t>فريق بحث + أدوات تحليل</t>
  </si>
  <si>
    <t>9,000 – 25,000 ريال</t>
  </si>
  <si>
    <t>دراسات جدوى لمشاريع الألعاب</t>
  </si>
  <si>
    <t>دراسة جدوى لمشاريع استثمارية في الألعاب</t>
  </si>
  <si>
    <t>50,000 – 120,000 ريال</t>
  </si>
  <si>
    <t>أسعار معتادة في مكاتب الاستشارات</t>
  </si>
  <si>
    <t>محللين ماليين + مستشارين</t>
  </si>
  <si>
    <t>استشارات استثمارية</t>
  </si>
  <si>
    <t>جلسات استشارية موجهة للاستثمار في قطاع الألعاب</t>
  </si>
  <si>
    <t>5,000 – 15,000 ريال/جلسة</t>
  </si>
  <si>
    <t>مشابه لأسعار مكاتب استشارية متخصصة</t>
  </si>
  <si>
    <t>خبراء + إعداد مواد</t>
  </si>
  <si>
    <t>3,000 – 9,000 ريال</t>
  </si>
  <si>
    <t>ندوات خاصة للمستثمرين</t>
  </si>
  <si>
    <t>فعاليات حصرية لعرض فرص الاستثمار</t>
  </si>
  <si>
    <t>30,000 – 100,000 ريال</t>
  </si>
  <si>
    <t>منافس لسوق الفعاليات الخاصة</t>
  </si>
  <si>
    <t>قاعة + تجهيزات + محتوى</t>
  </si>
  <si>
    <t>تقارير ذكاء الأعمال (BI Reports)</t>
  </si>
  <si>
    <t>تقارير رقمية تفاعلية عن بيانات اللاعبين والسوق</t>
  </si>
  <si>
    <t>أسعار مشابهة لمكاتب BI</t>
  </si>
  <si>
    <t>خدمات Due Diligence</t>
  </si>
  <si>
    <t>تدقيق وفحص شركات ألعاب قبل الاستثمار</t>
  </si>
  <si>
    <t>40,000 – 90,000 ريال</t>
  </si>
  <si>
    <t>أسعار قريبة من مكاتب المحاماة</t>
  </si>
  <si>
    <t>20,000 – 45,000 ريال</t>
  </si>
  <si>
    <t>محامون + محللون ماليون</t>
  </si>
  <si>
    <t>إدارة صناديق ألعاب صغيرة</t>
  </si>
  <si>
    <t>إنشاء وإدارة صناديق استثمارية صغيرة للألعاب</t>
  </si>
  <si>
    <t>200,000 – 500,000 ريال</t>
  </si>
  <si>
    <t>منافس للشركات الاستثمارية الناشئة</t>
  </si>
  <si>
    <t>120,000 – 250,000 ريال</t>
  </si>
  <si>
    <t>إدارة + محاسبة + تقنية</t>
  </si>
  <si>
    <t>خدمة الوصول المبكر للمشاريع</t>
  </si>
  <si>
    <t>إعطاء المستثمرين حق الوصول لمشاريع جديدة</t>
  </si>
  <si>
    <t>25,000 ريال/اشتراك سنوي</t>
  </si>
  <si>
    <t>قيمة مضافة لجذب المستثمرين</t>
  </si>
  <si>
    <t>10,000 ريال</t>
  </si>
  <si>
    <t>تشغيل + محتوى حصري</t>
  </si>
  <si>
    <t>15,000 ريال</t>
  </si>
  <si>
    <t>تقارير المخاطر</t>
  </si>
  <si>
    <t>تحليلات حول مخاطر الاستثمار في الألعاب</t>
  </si>
  <si>
    <t>أسعار قريبة من الاستشارات المالية</t>
  </si>
  <si>
    <t>فريق قانوني + مالي</t>
  </si>
  <si>
    <t>7,000 – 18,000 ريال</t>
  </si>
  <si>
    <t>خدمة Pitch Deck</t>
  </si>
  <si>
    <t>إعداد عروض تقديمية لجذب الاستثمار</t>
  </si>
  <si>
    <t>15,000 – 35,000 ريال</t>
  </si>
  <si>
    <t>مشابه لشركات التسويق</t>
  </si>
  <si>
    <t>6,000 – 12,000 ريال</t>
  </si>
  <si>
    <t>تصميم + محتوى</t>
  </si>
  <si>
    <t>9,000 – 23,000 ريال</t>
  </si>
  <si>
    <t>استضافة جلسات Networking</t>
  </si>
  <si>
    <t>فعاليات ربط بين مستثمرين ومطورين</t>
  </si>
  <si>
    <t>20,000 – 60,000 ريال</t>
  </si>
  <si>
    <t>شبيه بجلسات حاضنات الأعمال</t>
  </si>
  <si>
    <t>10,000 – 25,000 ريال</t>
  </si>
  <si>
    <t>تنظيم + مكان</t>
  </si>
  <si>
    <t>10,000 – 35,000 ريال</t>
  </si>
  <si>
    <t>ورش عمل استثمارية</t>
  </si>
  <si>
    <t>ورش حول الاستثمار في صناعة الألعاب</t>
  </si>
  <si>
    <t>أسعار دورات تخصصية</t>
  </si>
  <si>
    <t>4,000 – 10,000 ريال</t>
  </si>
  <si>
    <t>مدربين + تجهيزات</t>
  </si>
  <si>
    <t>خدمات قانونية استثمارية</t>
  </si>
  <si>
    <t>عقود استثمار وحماية ملكية فكرية</t>
  </si>
  <si>
    <t>30,000 – 70,000 ريال</t>
  </si>
  <si>
    <t>أسعار مكاتب قانونية كبرى</t>
  </si>
  <si>
    <t>15,000 – 30,000 ريال</t>
  </si>
  <si>
    <t>محامون + مراجعة</t>
  </si>
  <si>
    <t>شراكات استراتيجية</t>
  </si>
  <si>
    <t>ترتيب شراكات بين المستثمرين وشركات الألعاب</t>
  </si>
  <si>
    <t>منافس لأسعار شركات الاستشارات العالمية</t>
  </si>
  <si>
    <t>25,000 – 70,000 ريال</t>
  </si>
  <si>
    <t>فريق علاقات + خبراء</t>
  </si>
  <si>
    <t>منصة تواصل للمستثمرين</t>
  </si>
  <si>
    <t>عضوية في شبكة استثمارية خاصة داخل ماك بلاش</t>
  </si>
  <si>
    <t>10,000 ريال/سنة</t>
  </si>
  <si>
    <t>قيمة رمزية لبناء مجتمع مغلق</t>
  </si>
  <si>
    <t>4,000 ريال</t>
  </si>
  <si>
    <t>إدارة + تقنية + محتوى</t>
  </si>
  <si>
    <t>6,000 ريال</t>
  </si>
  <si>
    <t>تنظيم بطولات وطنية للألعاب الإلكترونية</t>
  </si>
  <si>
    <t>تخطيط وتنفيذ بطولات رسمية تحت إشراف الحكومة</t>
  </si>
  <si>
    <t>500,000 – 2,000,000 ريال/بطولة</t>
  </si>
  <si>
    <t>أسعار بطولات بحجم Gamers8</t>
  </si>
  <si>
    <t>250,000 – 1,000,000 ريال</t>
  </si>
  <si>
    <t>تنظيم + جوائز + بث</t>
  </si>
  <si>
    <t>إعداد تقارير استراتيجية عن صناعة الألعاب</t>
  </si>
  <si>
    <t>تقارير سياسات وتوصيات للحكومة</t>
  </si>
  <si>
    <t>100,000 – 250,000 ريال/تقرير</t>
  </si>
  <si>
    <t>أسعار مشابهة لمكاتب استشارية كبرى</t>
  </si>
  <si>
    <t>40,000 – 100,000 ريال</t>
  </si>
  <si>
    <t>فريق بحث + محللين</t>
  </si>
  <si>
    <t>شراكات مجتمعية شبابية</t>
  </si>
  <si>
    <t>مبادرات ترفيهية وتعليمية للشباب</t>
  </si>
  <si>
    <t>200,000 – 600,000 ريال/مبادرة</t>
  </si>
  <si>
    <t>سعر منطقي لبرامج اجتماعية</t>
  </si>
  <si>
    <t>100,000 – 250,000 ريال</t>
  </si>
  <si>
    <t>فعاليات + حملات</t>
  </si>
  <si>
    <t>100,000 – 350,000 ريال</t>
  </si>
  <si>
    <t>تطوير منصات تدريبية حكومية</t>
  </si>
  <si>
    <t>منصات لتعليم صناعة الألعاب</t>
  </si>
  <si>
    <t>300,000 – 800,000 ريال</t>
  </si>
  <si>
    <t>مشابه لمشاريع التدريب الرقمي</t>
  </si>
  <si>
    <t>150,000 – 400,000 ريال</t>
  </si>
  <si>
    <t>تطوير + محتوى</t>
  </si>
  <si>
    <t>ورش عمل للمعلمين والطلاب</t>
  </si>
  <si>
    <t>تدريب على الألعاب التعليمية</t>
  </si>
  <si>
    <t>50,000 – 150,000 ريال/ورشة</t>
  </si>
  <si>
    <t>منافس لسوق التدريب الرسمي</t>
  </si>
  <si>
    <t>30,000 – 80,000 ريال</t>
  </si>
  <si>
    <t>إدارة فعاليات عامة</t>
  </si>
  <si>
    <t>تنظيم مهرجانات ومعارض ترفيهية</t>
  </si>
  <si>
    <t>400,000 – 1,200,000 ريال</t>
  </si>
  <si>
    <t>متماشي مع فعاليات هيئة الترفيه</t>
  </si>
  <si>
    <t>200,000 – 600,000 ريال</t>
  </si>
  <si>
    <t>تنظيم + محتوى</t>
  </si>
  <si>
    <t>حملات توعية رقمية</t>
  </si>
  <si>
    <t>حملات توعوية باستخدام الألعاب</t>
  </si>
  <si>
    <t>شبيه بأسعار الحملات الإعلامية الرسمية</t>
  </si>
  <si>
    <t>محتوى + منصات</t>
  </si>
  <si>
    <t>50,000 – 180,000 ريال</t>
  </si>
  <si>
    <t>إنتاج محتوى وطني للألعاب</t>
  </si>
  <si>
    <t>فيديوهات عن الهوية الوطنية بالألعاب</t>
  </si>
  <si>
    <t>80,000 – 200,000 ريال</t>
  </si>
  <si>
    <t>منافس لأسعار الإنتاج الإعلامي</t>
  </si>
  <si>
    <t>40,000 – 110,000 ريال</t>
  </si>
  <si>
    <t>شراكات مع المدارس والجامعات</t>
  </si>
  <si>
    <t>ربط التعليم بالألعاب الإلكترونية</t>
  </si>
  <si>
    <t>150,000 – 400,000 ريال/برنامج</t>
  </si>
  <si>
    <t>منطقي لمشاريع حكومية تعليمية</t>
  </si>
  <si>
    <t>محتوى + تدريب</t>
  </si>
  <si>
    <t>أنظمة تتبع الأداء</t>
  </si>
  <si>
    <t>أنظمة قياس أثر الفعاليات الحكومية</t>
  </si>
  <si>
    <t>أسعار SaaS حكومية</t>
  </si>
  <si>
    <t>تطوير + تكامل</t>
  </si>
  <si>
    <t>30,000 – 90,000 ريال</t>
  </si>
  <si>
    <t>محتوى ألعاب تعليمية</t>
  </si>
  <si>
    <t>تطوير ألعاب مرتبطة بالمناهج</t>
  </si>
  <si>
    <t>قيمة مناسبة لمشاريع تعليمية كبرى</t>
  </si>
  <si>
    <t>برمجة + تصميم</t>
  </si>
  <si>
    <t>منصات حكومية للبث</t>
  </si>
  <si>
    <t>بث مباشر للفعاليات الوطنية</t>
  </si>
  <si>
    <t>منافس لسوق البث الرسمي</t>
  </si>
  <si>
    <t>سيرفرات + فريق تقني</t>
  </si>
  <si>
    <t>استضافة معارض دولية</t>
  </si>
  <si>
    <t>تنظيم مشاركة سعودية في معارض مثل E3</t>
  </si>
  <si>
    <t>800,000 – 3,000,000 ريال</t>
  </si>
  <si>
    <t>أسعار مشاركة حكومية خارجية</t>
  </si>
  <si>
    <t>400,000 – 1,500,000 ريال</t>
  </si>
  <si>
    <t>تنظيم + سفر + تجهيز</t>
  </si>
  <si>
    <t>مبادرات مجتمعية للأسر</t>
  </si>
  <si>
    <t>فعاليات ترفيهية عائلية بالألعاب</t>
  </si>
  <si>
    <t>قريب من فعاليات الأسر الترفيهية</t>
  </si>
  <si>
    <t>تجهيزات + محتوى</t>
  </si>
  <si>
    <t>50,000 – 130,000 ريال</t>
  </si>
  <si>
    <t>محتوى إحصائي دوري</t>
  </si>
  <si>
    <t>نشر تقارير دورية عن اللاعبين</t>
  </si>
  <si>
    <t>60,000 – 120,000 ريال/تقرير</t>
  </si>
  <si>
    <t>سعر مناسب لتقارير بحثية رسمية</t>
  </si>
  <si>
    <t>25,000 – 50,000 ريال</t>
  </si>
  <si>
    <t>أدوات BI + محللين</t>
  </si>
  <si>
    <t>35,000 – 70,000 ريال</t>
  </si>
  <si>
    <t>الجهات الحكومية والتنظيمية</t>
  </si>
  <si>
    <t>المستثمرين</t>
  </si>
  <si>
    <t>تطوير ألعاب تعليمية</t>
  </si>
  <si>
    <t>برمجة ألعاب تربط المناهج الدراسية بالتفاعل</t>
  </si>
  <si>
    <t>منافس لسوق الـ Serious Games</t>
  </si>
  <si>
    <t>منصات تدريب على صناعة الألعاب</t>
  </si>
  <si>
    <t>تطوير منصات تدريبية تفاعلية</t>
  </si>
  <si>
    <t>مشابه لبرامج الجامعات التقنية</t>
  </si>
  <si>
    <t>ورش عمل للطلاب</t>
  </si>
  <si>
    <t>ورش قصيرة في البرمجة والتصميم</t>
  </si>
  <si>
    <t>20,000 – 60,000 ريال/ورشة</t>
  </si>
  <si>
    <t>أسعار مقبولة للتدريب العملي</t>
  </si>
  <si>
    <t>مدربين + أدوات</t>
  </si>
  <si>
    <t>مسابقات جامعية للألعاب</t>
  </si>
  <si>
    <t>تنظيم بطولات بين الجامعات</t>
  </si>
  <si>
    <t>قيمة مناسبة لبطولات تعليمية</t>
  </si>
  <si>
    <t>محتوى تعليمي رقمي</t>
  </si>
  <si>
    <t>مقاطع فيديو ومحاضرات تفاعلية</t>
  </si>
  <si>
    <t>10,000 – 25,000 ريال/مادة</t>
  </si>
  <si>
    <t>أسعار مشابهة للمنصات التعليمية</t>
  </si>
  <si>
    <t>إنتاج + مونتاج</t>
  </si>
  <si>
    <t>تدريب معلمي المدارس</t>
  </si>
  <si>
    <t>تأهيل المعلمين على توظيف الألعاب</t>
  </si>
  <si>
    <t>40,000 – 100,000 ريال/برنامج</t>
  </si>
  <si>
    <t>قيمة معتمدة في التدريب الحكومي</t>
  </si>
  <si>
    <t>مدربين + قاعات</t>
  </si>
  <si>
    <t>محتوى ثقافي تفاعلي</t>
  </si>
  <si>
    <t>ألعاب تعليمية عن التراث والثقافة</t>
  </si>
  <si>
    <t>120,000 – 300,000 ريال</t>
  </si>
  <si>
    <t>مشابه لمشاريع الثقافة الرقمية</t>
  </si>
  <si>
    <t>معارض تعليمية للألعاب</t>
  </si>
  <si>
    <t>تنظيم معارض جامعية لعرض مشاريع الطلاب</t>
  </si>
  <si>
    <t>سعر مناسب للمعارض الجامعية</t>
  </si>
  <si>
    <t>تجهيزات + تنظيم</t>
  </si>
  <si>
    <t>برامج تدريب عن بعد</t>
  </si>
  <si>
    <t>كورسات Online في تطوير الألعاب</t>
  </si>
  <si>
    <t>مشابه لسوق منصات E-learning</t>
  </si>
  <si>
    <t>منصة + محتوى</t>
  </si>
  <si>
    <t>15,000 – 45,000 ريال</t>
  </si>
  <si>
    <t>مكتبة ألعاب رقمية</t>
  </si>
  <si>
    <t>توفير مكتبة ألعاب تعليمية للمؤسسات</t>
  </si>
  <si>
    <t>سعر مرن للجامعات والمدارس</t>
  </si>
  <si>
    <t>استشارات بحثية</t>
  </si>
  <si>
    <t>دعم الجامعات بأبحاث سوق الألعاب</t>
  </si>
  <si>
    <t>25,000 – 60,000 ريال/تقرير</t>
  </si>
  <si>
    <t>قريب من أسعار مراكز الدراسات</t>
  </si>
  <si>
    <t>مسابقات تطوير الألعاب</t>
  </si>
  <si>
    <t>هاكاثونات لطلاب الجامعات</t>
  </si>
  <si>
    <t>قيمة منطقية لمنافسات تقنية</t>
  </si>
  <si>
    <t>محتوى توعوي للطلاب</t>
  </si>
  <si>
    <t>حملات عن السلوك الرقمي والأمان</t>
  </si>
  <si>
    <t>مشابه لبرامج التوعية الوطنية</t>
  </si>
  <si>
    <t>محتوى + حملات</t>
  </si>
  <si>
    <t>بوابات إلكترونية للجامعات</t>
  </si>
  <si>
    <t>بوابات للألعاب التعليمية الداخلية</t>
  </si>
  <si>
    <t>سعر مرن لحلول الجامعات</t>
  </si>
  <si>
    <t>35,000 – 90,000 ريال</t>
  </si>
  <si>
    <t>تطوير + صيانة</t>
  </si>
  <si>
    <t>35,000 – 110,000 ريال</t>
  </si>
  <si>
    <t>شراكات بحثية دولية</t>
  </si>
  <si>
    <t>ربط الجامعات السعودية بجامعات عالمية في مجال الألعاب</t>
  </si>
  <si>
    <t>قيمة مناسبة لاتفاقيات بحثية</t>
  </si>
  <si>
    <t>إدارة + محتوى + سفر</t>
  </si>
  <si>
    <t>المؤسسات التعليمية والثقافية</t>
  </si>
  <si>
    <t>فعاليات مجتمعية للألعاب</t>
  </si>
  <si>
    <t>تنظيم أيام ألعاب مفتوحة للأسر والشباب</t>
  </si>
  <si>
    <t>50 – 100 ريال/تذكرة</t>
  </si>
  <si>
    <t>سعر منخفض يجذب العائلات</t>
  </si>
  <si>
    <t>20 – 40 ريال</t>
  </si>
  <si>
    <t>إيجار موقع + تنظيم</t>
  </si>
  <si>
    <t>30 – 60 ريال/شخص</t>
  </si>
  <si>
    <t>مهرجانات للألعاب الإلكترونية</t>
  </si>
  <si>
    <t>مهرجان ترفيهي يضم منصات وتجارب</t>
  </si>
  <si>
    <t>100 – 300 ريال/تذكرة</t>
  </si>
  <si>
    <t>مشابه لفعاليات Gamers8</t>
  </si>
  <si>
    <t>50 – 150 ريال</t>
  </si>
  <si>
    <t>تنظيم + تجهيزات</t>
  </si>
  <si>
    <t>50 – 150 ريال/شخص</t>
  </si>
  <si>
    <t>باقات عائلية</t>
  </si>
  <si>
    <t>تذاكر خاصة للعائلات (4–6 أفراد)</t>
  </si>
  <si>
    <t>250 – 500 ريال</t>
  </si>
  <si>
    <t>تشجيع حضور العائلات</t>
  </si>
  <si>
    <t>120 – 250 ريال</t>
  </si>
  <si>
    <t>تنظيم + خدمات ضيافة</t>
  </si>
  <si>
    <t>130 – 250 ريال/باقة</t>
  </si>
  <si>
    <t>تجربة VR/AR ترفيهية</t>
  </si>
  <si>
    <t>ألعاب واقع افتراضي في المعارض</t>
  </si>
  <si>
    <t>20 – 50 ريال/جلسة</t>
  </si>
  <si>
    <t>سعر معتاد لألعاب VR</t>
  </si>
  <si>
    <t>10 – 20 ريال</t>
  </si>
  <si>
    <t>أجهزة + صيانة</t>
  </si>
  <si>
    <t>10 – 30 ريال/جلسة</t>
  </si>
  <si>
    <t>ورش توعوية للأطفال</t>
  </si>
  <si>
    <t>تعليم السلوك الرقمي الآمن</t>
  </si>
  <si>
    <t>30 – 70 ريال/طفل</t>
  </si>
  <si>
    <t>سعر مقبول كورش قصيرة</t>
  </si>
  <si>
    <t>15 – 30 ريال</t>
  </si>
  <si>
    <t>مدرب + أدوات</t>
  </si>
  <si>
    <t>15 – 40 ريال</t>
  </si>
  <si>
    <t>مسابقات ميدانية</t>
  </si>
  <si>
    <t>ألعاب تنافسية في المولات والحدائق</t>
  </si>
  <si>
    <t>20 – 50 ريال/مشارك</t>
  </si>
  <si>
    <t>قيمة رمزية لجذب المشاركين</t>
  </si>
  <si>
    <t>تجهيزات + جوائز</t>
  </si>
  <si>
    <t>10 – 30 ريال</t>
  </si>
  <si>
    <t>تذاكر VIP للفعاليات</t>
  </si>
  <si>
    <t>تذاكر بميزات إضافية (مقاعد، هدايا)</t>
  </si>
  <si>
    <t>500 – 1,000 ريال</t>
  </si>
  <si>
    <t>تسعير مشابه للـ VIP Events</t>
  </si>
  <si>
    <t>تنظيم + هدايا</t>
  </si>
  <si>
    <t>منتجات تذكارية</t>
  </si>
  <si>
    <t>بيع قمصان، كابات، مجسمات ماك بلاش</t>
  </si>
  <si>
    <t>قريب من أسعار الميرش في الفعاليات</t>
  </si>
  <si>
    <t>20 – 80 ريال</t>
  </si>
  <si>
    <t>تصنيع + شحن</t>
  </si>
  <si>
    <t>30 – 120 ريال</t>
  </si>
  <si>
    <t>مقاهي ألعاب متنقلة</t>
  </si>
  <si>
    <t>أكشاك أو عربات تقدم ألعاب وتجارب قصيرة</t>
  </si>
  <si>
    <t>سعر مشابه لتجارب المقاهي</t>
  </si>
  <si>
    <t>10 – 25 ريال</t>
  </si>
  <si>
    <t>أجهزة + موقع</t>
  </si>
  <si>
    <t>بطاقات دخول سنوية</t>
  </si>
  <si>
    <t>بطاقة اشتراك في فعاليات/معارض</t>
  </si>
  <si>
    <t>جذابة لهواة الفعاليات</t>
  </si>
  <si>
    <t>400 – 700 ريال</t>
  </si>
  <si>
    <t>تنظيم + منصة</t>
  </si>
  <si>
    <t>400 – 800 ريال</t>
  </si>
  <si>
    <t>جلسات ألعاب عائلية</t>
  </si>
  <si>
    <t>ألعاب تفاعلية للأسر</t>
  </si>
  <si>
    <t>50 – 150 ريال/جلسة</t>
  </si>
  <si>
    <t>سعر مناسب للأسرة</t>
  </si>
  <si>
    <t>25 – 70 ريال</t>
  </si>
  <si>
    <t>تنظيم + أجهزة</t>
  </si>
  <si>
    <t>25 – 80 ريال</t>
  </si>
  <si>
    <t>تحديات مفتوحة في المولات</t>
  </si>
  <si>
    <t>تنظيم مسابقات سريعة بجوائز</t>
  </si>
  <si>
    <t>10 – 30 ريال/مشارك</t>
  </si>
  <si>
    <t>قيمة رمزية وسهلة الدفع</t>
  </si>
  <si>
    <t>5 – 15 ريال</t>
  </si>
  <si>
    <t>جوائز + إشراف</t>
  </si>
  <si>
    <t>اشتراكات Kids Club</t>
  </si>
  <si>
    <t>اشتراك شهري للأطفال للأنشطة التفاعلية</t>
  </si>
  <si>
    <t>100 – 200 ريال/شهر</t>
  </si>
  <si>
    <t>مثل نوادي الأطفال الرقمية</t>
  </si>
  <si>
    <t>50 – 100 ريال</t>
  </si>
  <si>
    <t>محتوى + إشراف</t>
  </si>
  <si>
    <t>معارض تراث × ألعاب</t>
  </si>
  <si>
    <t>دمج الألعاب مع الثقافة السعودية</t>
  </si>
  <si>
    <t>30 – 80 ريال/تذكرة</t>
  </si>
  <si>
    <t>سعر عادل لفعالية ثقافية</t>
  </si>
  <si>
    <t>تجربة ألعاب متنقلة بالمدارس</t>
  </si>
  <si>
    <t>زيارات ميدانية للمدارس</t>
  </si>
  <si>
    <t>20 – 40 ريال/طالب</t>
  </si>
  <si>
    <t>قيمة منخفضة للتعليم والترفيه</t>
  </si>
  <si>
    <t>أجهزة + نقل</t>
  </si>
  <si>
    <t>المجتمع العام (الجمهور والأسر)</t>
  </si>
  <si>
    <t>الفئة</t>
  </si>
  <si>
    <t xml:space="preserve">الخدمات المقدمة من ماك بلاش وتوصيفها </t>
  </si>
  <si>
    <t>AI Highlight Auto-Editor</t>
  </si>
  <si>
    <t>أداة ذكاء اصطناعي تولّد مقاطع أفضل لحظات اللعب تلقائياً</t>
  </si>
  <si>
    <t>25 ريال/اشتراك شهري</t>
  </si>
  <si>
    <t>خدمة مبتكرة للاعبين تقلل وقت المونتاج</t>
  </si>
  <si>
    <t>تكلفة خوادم + AI API</t>
  </si>
  <si>
    <t>الأفراد</t>
  </si>
  <si>
    <t>Skill Growth Pass</t>
  </si>
  <si>
    <t>اشتراك بمسارات تدريبية تفاعلية مع تحديات أسبوعية</t>
  </si>
  <si>
    <t>يزيد ولاء اللاعبين ويحفز التحسن</t>
  </si>
  <si>
    <t>محتوى + مدربين رقميين</t>
  </si>
  <si>
    <t>25 ريال</t>
  </si>
  <si>
    <t>Toxicity Shield</t>
  </si>
  <si>
    <t>فلتر ذكاء اصطناعي يحد من السلوك السلبي في الشات</t>
  </si>
  <si>
    <t>20 ريال/شهر</t>
  </si>
  <si>
    <t>يعزز التجربة الآمنة داخل الألعاب</t>
  </si>
  <si>
    <t>8 ريال</t>
  </si>
  <si>
    <t>تطوير فلتر + صيانة</t>
  </si>
  <si>
    <t>12 ريال</t>
  </si>
  <si>
    <t>Clan Hub Pro</t>
  </si>
  <si>
    <t>سحابة لإدارة الفرق والكلانات (جداول + محتوى)</t>
  </si>
  <si>
    <t>50 ريال/فريق/شهر</t>
  </si>
  <si>
    <t>حاجة ضرورية للفرق الإلكترونية</t>
  </si>
  <si>
    <t>استضافة + إدارة سيرفر</t>
  </si>
  <si>
    <t>30 ريال</t>
  </si>
  <si>
    <t>Cross-Game Inventory Vault</t>
  </si>
  <si>
    <t>مخزن رقمي لمقتنيات اللاعبين عبر ألعاب مختلفة</t>
  </si>
  <si>
    <t>تبسيط تجربة إدارة المقتنيات</t>
  </si>
  <si>
    <t>تطوير + سيرفرات</t>
  </si>
  <si>
    <t>18 ريال</t>
  </si>
  <si>
    <t>Creator AI Co-Pilot</t>
  </si>
  <si>
    <t>مساعد ذكي يقترح عناوين وسكربتات بناء على الترند</t>
  </si>
  <si>
    <t>1,500 ريال/شهر</t>
  </si>
  <si>
    <t>يرفع إنتاجية المؤثرين ويزيد التفاعل</t>
  </si>
  <si>
    <t>600 ريال</t>
  </si>
  <si>
    <t>API + تحليل بيانات</t>
  </si>
  <si>
    <t>900 ريال</t>
  </si>
  <si>
    <t>Smart Sponsor Match</t>
  </si>
  <si>
    <t>منصة تطابق ذكية بين المؤثرين والعلامات التجارية</t>
  </si>
  <si>
    <t>تسريع إبرام الصفقات بدقة</t>
  </si>
  <si>
    <t>2,000 ريال</t>
  </si>
  <si>
    <t>تطوير نظام + تحليل بيانات</t>
  </si>
  <si>
    <t>3,000 ريال</t>
  </si>
  <si>
    <t>Revenue Advance (Creator Financing)</t>
  </si>
  <si>
    <t>تمويل مسبق لحملات المؤثرين مقابل نسبة من الإيراد</t>
  </si>
  <si>
    <t>يتيح سيولة سريعة للمؤثرين</t>
  </si>
  <si>
    <t>6,000 – 30,000 ريال</t>
  </si>
  <si>
    <t>تمويل + متابعة</t>
  </si>
  <si>
    <t>4,000 – 20,000 ريال</t>
  </si>
  <si>
    <t>Multi-Stream Orchestrator</t>
  </si>
  <si>
    <t>بث متزامن لعدة منصات بواجهة واحدة</t>
  </si>
  <si>
    <t>8,000 – 20,000 ريال/فعالية</t>
  </si>
  <si>
    <t>يزيد الوصول ويقلل المخاطر</t>
  </si>
  <si>
    <t>On-Demand Merch 2-Hour</t>
  </si>
  <si>
    <t>متجر مرش سريع بالطباعة عند الطلب خلال ساعتين</t>
  </si>
  <si>
    <t>50 – 200 ريال/منتج</t>
  </si>
  <si>
    <t>منتج فوري يعزز المبيعات</t>
  </si>
  <si>
    <t>طباعة محلية + لوجستيات</t>
  </si>
  <si>
    <t>25 – 120 ريال</t>
  </si>
  <si>
    <t>Playable Ads Studio</t>
  </si>
  <si>
    <t>إعلانات تفاعلية على شكل ألعاب قصيرة</t>
  </si>
  <si>
    <t>50,000 – 150,000 ريال/حملة</t>
  </si>
  <si>
    <t>صيغة مبتكرة تزيد التحويل</t>
  </si>
  <si>
    <t>Brand-Safe Stream Network</t>
  </si>
  <si>
    <t>شبكة بث آمنة للعلامات التجارية مع رقابة حيّة</t>
  </si>
  <si>
    <t>30,000 – 80,000 ريال/شهر</t>
  </si>
  <si>
    <t>حماية سمعة العلامة أثناء البث</t>
  </si>
  <si>
    <t>مراقبة + أدوات حماية</t>
  </si>
  <si>
    <t>In-Stream Research Panel</t>
  </si>
  <si>
    <t>استبيانات مدمجة داخل البثوص</t>
  </si>
  <si>
    <t>15,000 – 40,000 ريال/حملة</t>
  </si>
  <si>
    <t>توفر رؤى مباشرة للشركات</t>
  </si>
  <si>
    <t>7,000 – 15,000 ريال</t>
  </si>
  <si>
    <t>تطوير + أدوات تحليل</t>
  </si>
  <si>
    <t>8,000 – 25,000 ريال</t>
  </si>
  <si>
    <t>White-Label Esports Program</t>
  </si>
  <si>
    <t>بطولات شركات بعلامتها الخاصة</t>
  </si>
  <si>
    <t>100,000 – 400,000 ريال</t>
  </si>
  <si>
    <t>جاهزة للشركات بدون جهد داخلي</t>
  </si>
  <si>
    <t>تنظيم + بث + جوائز</t>
  </si>
  <si>
    <t>50,000 – 220,000 ريال</t>
  </si>
  <si>
    <t>Retail-to-Gamer Bridge</t>
  </si>
  <si>
    <t>ربط عروض المتاجر التقليدية بمكافآت داخل الألعاب</t>
  </si>
  <si>
    <t>يقيس أثر المبيعات عبر الإنترنت والواقع</t>
  </si>
  <si>
    <t>تطوير + تكامل API</t>
  </si>
  <si>
    <t>Dealflow Radar (AI)</t>
  </si>
  <si>
    <t>ماسح صفقات ألعاب عالمي بتقييم استثماري ذكي</t>
  </si>
  <si>
    <t>40,000 – 100,000 ريال/اشتراك سنوي</t>
  </si>
  <si>
    <t>يوفر للمستثمرين فرص مبكرة</t>
  </si>
  <si>
    <t>20,000 – 40,000 ريال</t>
  </si>
  <si>
    <t>تطوير + بيانات</t>
  </si>
  <si>
    <t>Data-Room as a Service</t>
  </si>
  <si>
    <t>غرف بيانات استثمارية موحّدة للشركات المحتضنة</t>
  </si>
  <si>
    <t>25,000 – 70,000 ريال/شهر</t>
  </si>
  <si>
    <t>تسرّع الفحص الاستثماري</t>
  </si>
  <si>
    <t>تطوير + استضافة</t>
  </si>
  <si>
    <t>13,000 – 40,000 ريال</t>
  </si>
  <si>
    <t>Post-Investment Telemetry</t>
  </si>
  <si>
    <t>تتبع تشغيلي بعد الاستثمار (مستخدمين + إيرادات)</t>
  </si>
  <si>
    <t>30,000 – 90,000 ريال/تقرير</t>
  </si>
  <si>
    <t>يقلل مخاطر فشل المشاريع</t>
  </si>
  <si>
    <t>BI + فريق تحليل</t>
  </si>
  <si>
    <t>Risk Simulation Sandbox</t>
  </si>
  <si>
    <t>محاكاة سيناريوهات السوق واللوائح</t>
  </si>
  <si>
    <t>يحسّن دقة القرار الاستثماري</t>
  </si>
  <si>
    <t>تطوير + تحليل</t>
  </si>
  <si>
    <t>Co-Invest Syndicate Hub</t>
  </si>
  <si>
    <t>مركز تنسيق Syndicates بين المستثمرين</t>
  </si>
  <si>
    <t>يسهل تكوين الصناديق المشتركة</t>
  </si>
  <si>
    <t>إدارة + تقنيات</t>
  </si>
  <si>
    <t>National Esports Curriculum Kit</t>
  </si>
  <si>
    <t>حقيبة مناهج حكومية لتعليم الألعاب الإلكترونية</t>
  </si>
  <si>
    <t>تحقق أهداف تعليمية وطنية</t>
  </si>
  <si>
    <t>Safe-Play Certification</t>
  </si>
  <si>
    <t>اعتماد لمراكز/فعاليات الألعاب بمعايير السلامة</t>
  </si>
  <si>
    <t>مطلوبة لحماية الأسر</t>
  </si>
  <si>
    <t>تقييم + شهادات</t>
  </si>
  <si>
    <t>PDPL Compliance Engine</t>
  </si>
  <si>
    <t>محرك امتثال لنظام حماية البيانات الشخصية</t>
  </si>
  <si>
    <t>100,000 – 250,000 ريال/سنة</t>
  </si>
  <si>
    <t>إلزامي قانونياً</t>
  </si>
  <si>
    <t>Digital Inclusion Mobile Labs</t>
  </si>
  <si>
    <t>مختبرات متنقلة للألعاب في المناطق النائية</t>
  </si>
  <si>
    <t>تحقق الشمولية الرقمية</t>
  </si>
  <si>
    <t>تجهيز + تشغيل</t>
  </si>
  <si>
    <t>Saudi Games IP Registry</t>
  </si>
  <si>
    <t>سجل وطني لحماية المحتوى المحلي للألعاب</t>
  </si>
  <si>
    <t>يحفظ حقوق الملكية الفكرية</t>
  </si>
  <si>
    <t>70,000 – 180,000 ريال</t>
  </si>
  <si>
    <t>80,000 – 220,000 ريال</t>
  </si>
  <si>
    <t>Micro-Credentials &amp; Badges</t>
  </si>
  <si>
    <t>شارات مهارية معتمدة للطلاب</t>
  </si>
  <si>
    <t>5,000 – 15,000 ريال/طالب</t>
  </si>
  <si>
    <t>توثق تقدم الطلاب</t>
  </si>
  <si>
    <t>منصة + اعتماد</t>
  </si>
  <si>
    <t>Teacher Toolkit Pro</t>
  </si>
  <si>
    <t>حزم جاهزة لدمج الألعاب بالصفوف الدراسية</t>
  </si>
  <si>
    <t>30,000 – 70,000 ريال/حزمة</t>
  </si>
  <si>
    <t>توفر أدوات تعليمية فورية</t>
  </si>
  <si>
    <t>Heritage Gamification Pack</t>
  </si>
  <si>
    <t>تحويل التراث إلى ألعاب ومهمات تعليمية</t>
  </si>
  <si>
    <t>ابتكار يعزز الثقافة الوطنية</t>
  </si>
  <si>
    <t>Student Studio Incubator</t>
  </si>
  <si>
    <t>حاضنة طلابية سنوية لإنتاج ألعاب قابلة للنشر</t>
  </si>
  <si>
    <t>250,000 – 600,000 ريال</t>
  </si>
  <si>
    <t>تنتج مشاريع فعلية للطلاب</t>
  </si>
  <si>
    <t>إشراف + تطوير</t>
  </si>
  <si>
    <t>130,000 – 300,000 ريال</t>
  </si>
  <si>
    <t>Academic Data Exchange</t>
  </si>
  <si>
    <t>منصة لتبادل بيانات مجهّلة للأبحاث</t>
  </si>
  <si>
    <t>تدعم الدراسات الأكاديمية</t>
  </si>
  <si>
    <t>تطوير + إدارة بيانات</t>
  </si>
  <si>
    <t>Roaming Esports Truck</t>
  </si>
  <si>
    <t>شاحنة متنقلة لتجارب الألعاب بالأحياء والمدارس</t>
  </si>
  <si>
    <t>200 – 500 ريال/تذكرة</t>
  </si>
  <si>
    <t>تجربة حية وجذابة</t>
  </si>
  <si>
    <t>100 – 200 ريال</t>
  </si>
  <si>
    <t>تجهيزات + تشغيل</t>
  </si>
  <si>
    <t>Parent-Kid Co-Op Nights</t>
  </si>
  <si>
    <t>ليالي لعب تعاوني بين الأهل والأطفال</t>
  </si>
  <si>
    <t>150 – 300 ريال/جلسة</t>
  </si>
  <si>
    <t>قيمة أسرية عالية</t>
  </si>
  <si>
    <t>70 – 150 ريال</t>
  </si>
  <si>
    <t>80 – 150 ريال</t>
  </si>
  <si>
    <t>Accessibility Gaming Days</t>
  </si>
  <si>
    <t>فعاليات مخصصة لذوي الإعاقة</t>
  </si>
  <si>
    <t>100 – 250 ريال/تذكرة</t>
  </si>
  <si>
    <t>ترفيه شامل للجميع</t>
  </si>
  <si>
    <t>50 – 120 ريال</t>
  </si>
  <si>
    <t>تجهيزات + مرشدين</t>
  </si>
  <si>
    <t>50 – 130 ريال</t>
  </si>
  <si>
    <t>Charity Speedrun Marathons</t>
  </si>
  <si>
    <t>ماراثونات بث لجمع التبرعات</t>
  </si>
  <si>
    <t>50 – 100 ريال/مشارك</t>
  </si>
  <si>
    <t>تجربة ترفيهية وخيرية</t>
  </si>
  <si>
    <t>تنظيم + بث</t>
  </si>
  <si>
    <t>30 – 60 ريال</t>
  </si>
  <si>
    <t>Neighborhood Leaderboards</t>
  </si>
  <si>
    <t>لوائح صدارة مجتمعية مع جوائز صغيرة</t>
  </si>
  <si>
    <t>تنافس صحي محلي</t>
  </si>
  <si>
    <t>نظام + تنظيم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</si>
</sst>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_-* #,##0.00\ _ر_._س_._‏_-;\-* #,##0.00\ _ر_._س_._‏_-;_-* &quot;-&quot;??\ _ر_._س_._‏_-;_-@_-"/>
    <numFmt numFmtId="165" formatCode="_-* #,##0\ _ر_._س_._‏_-;\-* #,##0\ _ر_._س_._‏_-;_-* &quot;-&quot;??\ _ر_._س_._‏_-;_-@_-"/>
    <numFmt numFmtId="166" formatCode="_-* #,##0_-;\-* #,##0_-;_-* &quot;-&quot;??_-;_-@_-"/>
    <numFmt numFmtId="167" formatCode="#,##0\ [$SAR]"/>
    <numFmt numFmtId="168" formatCode="_-&quot;₪&quot;\ * #,##0.00_-;\-&quot;₪&quot;\ * #,##0.00_-;_-&quot;₪&quot;\ * &quot;-&quot;??_-;_-@_-"/>
    <numFmt numFmtId="169" formatCode="_-* #,##0.0\ _ر_._س_._‏_-;\-* #,##0.0\ _ر_._س_._‏_-;_-* &quot;-&quot;??\ _ر_._س_._‏_-;_-@_-"/>
    <numFmt numFmtId="170" formatCode="[$SAR]\ #,##0_);\([$SAR]\ #,##0\)"/>
    <numFmt numFmtId="171" formatCode="[$SAR]\ #,##0"/>
    <numFmt numFmtId="172" formatCode="_-* #,##0_-;\-* #,##0_-;_-* &quot;-&quot;??_-;_-@"/>
    <numFmt numFmtId="173" formatCode="0.0%"/>
    <numFmt numFmtId="174" formatCode="#,##0\ _ر_._س_._‏"/>
    <numFmt numFmtId="175" formatCode="_-* #,##0.00_-;_-* #,##0.00\-;_-* &quot;-&quot;??_-;_-@_-"/>
    <numFmt numFmtId="176" formatCode="_-* #,##0_-;_-* #,##0\-;_-* &quot;-&quot;??_-;_-@_-"/>
  </numFmts>
  <fonts count="5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b/>
      <sz val="12"/>
      <color theme="1"/>
      <name val="Sakkal Majalla"/>
    </font>
    <font>
      <b/>
      <sz val="11"/>
      <color theme="1"/>
      <name val="Sakkal Majalla"/>
    </font>
    <font>
      <sz val="11"/>
      <color theme="1"/>
      <name val="Sakkal Majalla"/>
    </font>
    <font>
      <u/>
      <sz val="11"/>
      <color theme="10"/>
      <name val="Arial"/>
      <family val="2"/>
      <scheme val="minor"/>
    </font>
    <font>
      <sz val="12"/>
      <color theme="1"/>
      <name val="Sakkal Majalla"/>
    </font>
    <font>
      <b/>
      <sz val="16"/>
      <color theme="0" tint="-0.499984740745262"/>
      <name val="Sakkal Majalla"/>
    </font>
    <font>
      <b/>
      <u/>
      <sz val="11"/>
      <color theme="10"/>
      <name val="Sakkal Majalla"/>
    </font>
    <font>
      <sz val="12"/>
      <color theme="1"/>
      <name val="Source Sans Pro"/>
      <family val="2"/>
    </font>
    <font>
      <b/>
      <sz val="12"/>
      <color theme="0" tint="-0.499984740745262"/>
      <name val="Sakkal Majalla"/>
    </font>
    <font>
      <b/>
      <u/>
      <sz val="14"/>
      <color theme="10"/>
      <name val="Sakkal Majalla"/>
    </font>
    <font>
      <sz val="16"/>
      <color theme="0" tint="-0.499984740745262"/>
      <name val="Sakkal Majalla"/>
    </font>
    <font>
      <sz val="10"/>
      <color theme="0"/>
      <name val="Sakkal Majalla"/>
    </font>
    <font>
      <sz val="10"/>
      <color theme="1"/>
      <name val="Sakkal Majalla"/>
    </font>
    <font>
      <sz val="11"/>
      <color theme="1"/>
      <name val="Arial"/>
      <family val="2"/>
    </font>
    <font>
      <b/>
      <sz val="10"/>
      <color theme="0"/>
      <name val="Sakkal Majalla"/>
    </font>
    <font>
      <b/>
      <sz val="14"/>
      <color theme="0" tint="-0.499984740745262"/>
      <name val="Sakkal Majalla"/>
    </font>
    <font>
      <sz val="10"/>
      <color theme="1"/>
      <name val="Times New Roman"/>
      <family val="2"/>
      <scheme val="major"/>
    </font>
    <font>
      <sz val="10"/>
      <color rgb="FFFF0000"/>
      <name val="Times New Roman"/>
      <family val="2"/>
      <scheme val="major"/>
    </font>
    <font>
      <sz val="10"/>
      <color theme="0"/>
      <name val="Times New Roman"/>
      <family val="2"/>
      <scheme val="major"/>
    </font>
    <font>
      <sz val="12"/>
      <color theme="5"/>
      <name val="Source Sans Pro"/>
      <family val="2"/>
    </font>
    <font>
      <b/>
      <sz val="11"/>
      <name val="Sakkal Majalla"/>
    </font>
    <font>
      <b/>
      <sz val="11"/>
      <name val="Source Sans Pro"/>
      <family val="2"/>
      <charset val="178"/>
    </font>
    <font>
      <b/>
      <sz val="10"/>
      <color theme="1"/>
      <name val="Sakkal Majalla"/>
    </font>
    <font>
      <b/>
      <sz val="14"/>
      <color theme="1"/>
      <name val="Sakkal Majalla"/>
    </font>
    <font>
      <b/>
      <sz val="11"/>
      <color rgb="FFFF0000"/>
      <name val="Sakkal Majalla"/>
    </font>
    <font>
      <sz val="9"/>
      <color theme="1"/>
      <name val="Alexandria"/>
    </font>
    <font>
      <sz val="9"/>
      <color rgb="FFFF0000"/>
      <name val="Alexandria"/>
    </font>
    <font>
      <sz val="8"/>
      <color theme="1"/>
      <name val="Alexandria"/>
    </font>
    <font>
      <b/>
      <sz val="8"/>
      <color rgb="FFFFFFFF"/>
      <name val="Alexandria"/>
    </font>
    <font>
      <b/>
      <sz val="8"/>
      <color rgb="FF000000"/>
      <name val="Alexandria"/>
    </font>
    <font>
      <b/>
      <sz val="8"/>
      <color theme="1"/>
      <name val="Alexandria"/>
    </font>
    <font>
      <sz val="8"/>
      <color theme="0"/>
      <name val="Alexandria"/>
    </font>
    <font>
      <b/>
      <sz val="8"/>
      <color theme="0" tint="-0.499984740745262"/>
      <name val="Alexandria"/>
    </font>
    <font>
      <b/>
      <u/>
      <sz val="8"/>
      <color theme="10"/>
      <name val="Alexandria"/>
    </font>
    <font>
      <b/>
      <sz val="8"/>
      <color theme="0"/>
      <name val="Alexandria"/>
    </font>
    <font>
      <b/>
      <sz val="8"/>
      <name val="Alexandria"/>
    </font>
    <font>
      <sz val="8"/>
      <color rgb="FFFF0000"/>
      <name val="Alexandria"/>
    </font>
    <font>
      <sz val="8"/>
      <color theme="5"/>
      <name val="Alexandria"/>
    </font>
    <font>
      <sz val="8"/>
      <color theme="0" tint="-0.499984740745262"/>
      <name val="Alexandria"/>
    </font>
    <font>
      <sz val="8"/>
      <color theme="0"/>
      <name val="Sakkal Majalla"/>
    </font>
    <font>
      <sz val="8"/>
      <color theme="1"/>
      <name val="Sakkal Majalla"/>
    </font>
    <font>
      <b/>
      <sz val="8"/>
      <color theme="0" tint="-0.499984740745262"/>
      <name val="Sakkal Majalla"/>
    </font>
    <font>
      <b/>
      <sz val="8"/>
      <color theme="1"/>
      <name val="Sakkal Majalla"/>
    </font>
    <font>
      <b/>
      <u/>
      <sz val="8"/>
      <color theme="10"/>
      <name val="Sakkal Majalla"/>
    </font>
    <font>
      <b/>
      <sz val="8"/>
      <color theme="0"/>
      <name val="Sakkal Majalla"/>
    </font>
    <font>
      <sz val="8"/>
      <color theme="1"/>
      <name val="Source Sans Pro"/>
      <family val="2"/>
    </font>
    <font>
      <sz val="8"/>
      <color theme="1"/>
      <name val="Times New Roman"/>
      <family val="2"/>
      <scheme val="major"/>
    </font>
    <font>
      <sz val="8"/>
      <color rgb="FFFF0000"/>
      <name val="Times New Roman"/>
      <family val="2"/>
      <scheme val="major"/>
    </font>
    <font>
      <sz val="8"/>
      <color theme="0"/>
      <name val="Times New Roman"/>
      <family val="2"/>
      <scheme val="major"/>
    </font>
    <font>
      <sz val="8"/>
      <color theme="5"/>
      <name val="Source Sans Pro"/>
      <family val="2"/>
    </font>
    <font>
      <sz val="8"/>
      <color theme="0" tint="-0.499984740745262"/>
      <name val="Sakkal Majalla"/>
    </font>
    <font>
      <b/>
      <sz val="9"/>
      <color theme="0"/>
      <name val="Alexandria"/>
    </font>
    <font>
      <sz val="8"/>
      <color rgb="FF000000"/>
      <name val="Alexandria"/>
    </font>
    <font>
      <b/>
      <sz val="10"/>
      <color theme="0"/>
      <name val="Alexandria"/>
    </font>
    <font>
      <u/>
      <sz val="8"/>
      <color theme="10"/>
      <name val="Alexandria"/>
    </font>
    <font>
      <b/>
      <sz val="11"/>
      <color theme="1"/>
      <name val="Arial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59595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7F1ED"/>
        <bgColor indexed="64"/>
      </patternFill>
    </fill>
    <fill>
      <patternFill patternType="solid">
        <fgColor rgb="FFE1EEF7"/>
        <bgColor indexed="64"/>
      </patternFill>
    </fill>
    <fill>
      <patternFill patternType="solid">
        <fgColor rgb="FFD7F1ED"/>
        <bgColor rgb="FFF7CAAC"/>
      </patternFill>
    </fill>
    <fill>
      <patternFill patternType="solid">
        <fgColor rgb="FFE1EEF7"/>
        <bgColor rgb="FF8EAADB"/>
      </patternFill>
    </fill>
    <fill>
      <patternFill patternType="solid">
        <fgColor rgb="FFD7F1ED"/>
        <bgColor rgb="FFC5E0B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n">
        <color indexed="64"/>
      </right>
      <top/>
      <bottom/>
      <diagonal/>
    </border>
    <border>
      <left style="thick">
        <color theme="0"/>
      </left>
      <right style="thin">
        <color indexed="64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 style="thick">
        <color theme="0"/>
      </right>
      <top style="thick">
        <color theme="0"/>
      </top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n">
        <color indexed="64"/>
      </bottom>
      <diagonal/>
    </border>
    <border>
      <left style="thick">
        <color theme="0"/>
      </left>
      <right style="thin">
        <color indexed="64"/>
      </right>
      <top style="thick">
        <color theme="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ck">
        <color theme="0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175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39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vertical="center"/>
    </xf>
    <xf numFmtId="170" fontId="7" fillId="0" borderId="16" xfId="0" applyNumberFormat="1" applyFont="1" applyBorder="1" applyAlignment="1">
      <alignment horizontal="right" vertical="center" indent="1"/>
    </xf>
    <xf numFmtId="0" fontId="13" fillId="12" borderId="16" xfId="0" applyFont="1" applyFill="1" applyBorder="1" applyAlignment="1">
      <alignment horizontal="center" vertical="center" wrapText="1"/>
    </xf>
    <xf numFmtId="166" fontId="10" fillId="13" borderId="16" xfId="6" applyNumberFormat="1" applyFont="1" applyFill="1" applyBorder="1" applyAlignment="1">
      <alignment horizontal="center" vertical="center"/>
    </xf>
    <xf numFmtId="171" fontId="10" fillId="13" borderId="16" xfId="6" applyNumberFormat="1" applyFont="1" applyFill="1" applyBorder="1" applyAlignment="1">
      <alignment horizontal="center" vertical="center"/>
    </xf>
    <xf numFmtId="0" fontId="14" fillId="4" borderId="0" xfId="0" applyFont="1" applyFill="1" applyProtection="1">
      <protection hidden="1"/>
    </xf>
    <xf numFmtId="0" fontId="15" fillId="0" borderId="0" xfId="0" applyFont="1" applyProtection="1">
      <protection hidden="1"/>
    </xf>
    <xf numFmtId="0" fontId="15" fillId="0" borderId="0" xfId="0" applyFont="1" applyAlignment="1" applyProtection="1">
      <alignment vertical="center"/>
      <protection hidden="1"/>
    </xf>
    <xf numFmtId="0" fontId="17" fillId="4" borderId="0" xfId="7" applyFont="1" applyFill="1" applyAlignment="1" applyProtection="1">
      <alignment horizontal="center" vertical="center"/>
      <protection hidden="1"/>
    </xf>
    <xf numFmtId="0" fontId="15" fillId="0" borderId="0" xfId="7" applyFont="1" applyProtection="1">
      <protection hidden="1"/>
    </xf>
    <xf numFmtId="0" fontId="15" fillId="0" borderId="0" xfId="7" applyFont="1" applyAlignment="1" applyProtection="1">
      <alignment vertical="center"/>
      <protection hidden="1"/>
    </xf>
    <xf numFmtId="0" fontId="15" fillId="0" borderId="0" xfId="7" applyFont="1" applyAlignment="1" applyProtection="1">
      <alignment horizontal="center" vertical="center"/>
      <protection hidden="1"/>
    </xf>
    <xf numFmtId="0" fontId="10" fillId="15" borderId="16" xfId="7" applyFont="1" applyFill="1" applyBorder="1" applyAlignment="1" applyProtection="1">
      <alignment horizontal="center" vertical="center"/>
      <protection hidden="1"/>
    </xf>
    <xf numFmtId="0" fontId="10" fillId="13" borderId="16" xfId="7" applyFont="1" applyFill="1" applyBorder="1" applyAlignment="1" applyProtection="1">
      <alignment horizontal="center" vertical="center"/>
      <protection hidden="1"/>
    </xf>
    <xf numFmtId="166" fontId="19" fillId="13" borderId="16" xfId="6" applyNumberFormat="1" applyFont="1" applyFill="1" applyBorder="1" applyAlignment="1" applyProtection="1">
      <alignment horizontal="center" vertical="center"/>
      <protection hidden="1"/>
    </xf>
    <xf numFmtId="166" fontId="20" fillId="13" borderId="16" xfId="6" applyNumberFormat="1" applyFont="1" applyFill="1" applyBorder="1" applyAlignment="1" applyProtection="1">
      <alignment horizontal="center" vertical="center"/>
      <protection hidden="1"/>
    </xf>
    <xf numFmtId="166" fontId="21" fillId="13" borderId="16" xfId="6" applyNumberFormat="1" applyFont="1" applyFill="1" applyBorder="1" applyAlignment="1" applyProtection="1">
      <alignment horizontal="center" vertical="center"/>
      <protection hidden="1"/>
    </xf>
    <xf numFmtId="172" fontId="15" fillId="0" borderId="0" xfId="7" applyNumberFormat="1" applyFont="1" applyProtection="1">
      <protection hidden="1"/>
    </xf>
    <xf numFmtId="171" fontId="22" fillId="13" borderId="16" xfId="7" applyNumberFormat="1" applyFont="1" applyFill="1" applyBorder="1" applyAlignment="1" applyProtection="1">
      <alignment horizontal="center" vertical="center"/>
      <protection hidden="1"/>
    </xf>
    <xf numFmtId="173" fontId="22" fillId="13" borderId="16" xfId="2" applyNumberFormat="1" applyFont="1" applyFill="1" applyBorder="1" applyAlignment="1" applyProtection="1">
      <alignment horizontal="center" vertical="center"/>
      <protection hidden="1"/>
    </xf>
    <xf numFmtId="2" fontId="22" fillId="13" borderId="16" xfId="7" applyNumberFormat="1" applyFont="1" applyFill="1" applyBorder="1" applyAlignment="1" applyProtection="1">
      <alignment horizontal="center" vertical="center"/>
      <protection hidden="1"/>
    </xf>
    <xf numFmtId="174" fontId="7" fillId="13" borderId="16" xfId="0" applyNumberFormat="1" applyFont="1" applyFill="1" applyBorder="1" applyAlignment="1">
      <alignment horizontal="right" vertical="center" indent="1"/>
    </xf>
    <xf numFmtId="170" fontId="3" fillId="13" borderId="16" xfId="0" applyNumberFormat="1" applyFont="1" applyFill="1" applyBorder="1" applyAlignment="1">
      <alignment horizontal="right" vertical="center" indent="1"/>
    </xf>
    <xf numFmtId="174" fontId="3" fillId="13" borderId="16" xfId="0" applyNumberFormat="1" applyFont="1" applyFill="1" applyBorder="1" applyAlignment="1">
      <alignment horizontal="right" vertical="center" indent="1"/>
    </xf>
    <xf numFmtId="0" fontId="3" fillId="13" borderId="17" xfId="0" applyFont="1" applyFill="1" applyBorder="1" applyAlignment="1">
      <alignment horizontal="right" vertical="center" indent="1"/>
    </xf>
    <xf numFmtId="174" fontId="7" fillId="13" borderId="19" xfId="0" applyNumberFormat="1" applyFont="1" applyFill="1" applyBorder="1" applyAlignment="1">
      <alignment horizontal="right" vertical="center" indent="1"/>
    </xf>
    <xf numFmtId="170" fontId="3" fillId="13" borderId="19" xfId="0" applyNumberFormat="1" applyFont="1" applyFill="1" applyBorder="1" applyAlignment="1">
      <alignment horizontal="right" vertical="center" indent="1"/>
    </xf>
    <xf numFmtId="0" fontId="3" fillId="0" borderId="17" xfId="0" applyFont="1" applyBorder="1" applyAlignment="1">
      <alignment horizontal="right" vertical="center" indent="1"/>
    </xf>
    <xf numFmtId="170" fontId="7" fillId="0" borderId="19" xfId="0" applyNumberFormat="1" applyFont="1" applyBorder="1" applyAlignment="1">
      <alignment horizontal="right" vertical="center" indent="1"/>
    </xf>
    <xf numFmtId="174" fontId="3" fillId="13" borderId="19" xfId="0" applyNumberFormat="1" applyFont="1" applyFill="1" applyBorder="1" applyAlignment="1">
      <alignment horizontal="right" vertical="center" indent="1"/>
    </xf>
    <xf numFmtId="0" fontId="3" fillId="13" borderId="20" xfId="0" applyFont="1" applyFill="1" applyBorder="1" applyAlignment="1">
      <alignment horizontal="right" vertical="center" indent="1"/>
    </xf>
    <xf numFmtId="170" fontId="3" fillId="13" borderId="21" xfId="0" applyNumberFormat="1" applyFont="1" applyFill="1" applyBorder="1" applyAlignment="1">
      <alignment horizontal="right" vertical="center" indent="1"/>
    </xf>
    <xf numFmtId="170" fontId="3" fillId="13" borderId="22" xfId="0" applyNumberFormat="1" applyFont="1" applyFill="1" applyBorder="1" applyAlignment="1">
      <alignment horizontal="right" vertical="center" indent="1"/>
    </xf>
    <xf numFmtId="0" fontId="3" fillId="17" borderId="17" xfId="0" applyFont="1" applyFill="1" applyBorder="1" applyAlignment="1">
      <alignment horizontal="right" vertical="center" indent="1"/>
    </xf>
    <xf numFmtId="174" fontId="3" fillId="17" borderId="16" xfId="0" applyNumberFormat="1" applyFont="1" applyFill="1" applyBorder="1" applyAlignment="1">
      <alignment horizontal="right" vertical="center" indent="1"/>
    </xf>
    <xf numFmtId="174" fontId="3" fillId="17" borderId="19" xfId="0" applyNumberFormat="1" applyFont="1" applyFill="1" applyBorder="1" applyAlignment="1">
      <alignment horizontal="right" vertical="center" indent="1"/>
    </xf>
    <xf numFmtId="0" fontId="23" fillId="12" borderId="17" xfId="0" applyFont="1" applyFill="1" applyBorder="1" applyAlignment="1">
      <alignment horizontal="center" vertical="center"/>
    </xf>
    <xf numFmtId="0" fontId="24" fillId="12" borderId="16" xfId="0" applyFont="1" applyFill="1" applyBorder="1" applyAlignment="1">
      <alignment horizontal="center" vertical="center"/>
    </xf>
    <xf numFmtId="0" fontId="24" fillId="12" borderId="19" xfId="0" applyFont="1" applyFill="1" applyBorder="1" applyAlignment="1">
      <alignment horizontal="center" vertical="center"/>
    </xf>
    <xf numFmtId="174" fontId="7" fillId="0" borderId="0" xfId="0" applyNumberFormat="1" applyFont="1" applyAlignment="1">
      <alignment vertical="center"/>
    </xf>
    <xf numFmtId="170" fontId="7" fillId="0" borderId="0" xfId="0" applyNumberFormat="1" applyFont="1" applyAlignment="1">
      <alignment vertical="center"/>
    </xf>
    <xf numFmtId="0" fontId="5" fillId="0" borderId="0" xfId="0" applyFont="1" applyProtection="1">
      <protection hidden="1"/>
    </xf>
    <xf numFmtId="0" fontId="5" fillId="18" borderId="0" xfId="0" applyFont="1" applyFill="1" applyProtection="1">
      <protection hidden="1"/>
    </xf>
    <xf numFmtId="0" fontId="3" fillId="0" borderId="34" xfId="0" applyFont="1" applyBorder="1" applyAlignment="1" applyProtection="1">
      <alignment horizontal="center"/>
      <protection hidden="1"/>
    </xf>
    <xf numFmtId="0" fontId="4" fillId="3" borderId="26" xfId="0" applyFont="1" applyFill="1" applyBorder="1" applyProtection="1">
      <protection hidden="1"/>
    </xf>
    <xf numFmtId="0" fontId="4" fillId="3" borderId="27" xfId="0" applyFont="1" applyFill="1" applyBorder="1" applyProtection="1">
      <protection hidden="1"/>
    </xf>
    <xf numFmtId="176" fontId="4" fillId="3" borderId="27" xfId="9" applyNumberFormat="1" applyFont="1" applyFill="1" applyBorder="1" applyProtection="1">
      <protection hidden="1"/>
    </xf>
    <xf numFmtId="176" fontId="4" fillId="3" borderId="28" xfId="9" applyNumberFormat="1" applyFont="1" applyFill="1" applyBorder="1" applyProtection="1">
      <protection hidden="1"/>
    </xf>
    <xf numFmtId="0" fontId="4" fillId="3" borderId="23" xfId="0" applyFont="1" applyFill="1" applyBorder="1" applyProtection="1">
      <protection hidden="1"/>
    </xf>
    <xf numFmtId="176" fontId="4" fillId="3" borderId="0" xfId="9" applyNumberFormat="1" applyFont="1" applyFill="1" applyBorder="1" applyProtection="1">
      <protection hidden="1"/>
    </xf>
    <xf numFmtId="176" fontId="4" fillId="3" borderId="18" xfId="9" applyNumberFormat="1" applyFont="1" applyFill="1" applyBorder="1" applyProtection="1">
      <protection hidden="1"/>
    </xf>
    <xf numFmtId="0" fontId="25" fillId="3" borderId="32" xfId="0" applyFont="1" applyFill="1" applyBorder="1" applyProtection="1">
      <protection hidden="1"/>
    </xf>
    <xf numFmtId="0" fontId="4" fillId="3" borderId="35" xfId="0" applyFont="1" applyFill="1" applyBorder="1" applyProtection="1">
      <protection hidden="1"/>
    </xf>
    <xf numFmtId="164" fontId="5" fillId="0" borderId="0" xfId="0" applyNumberFormat="1" applyFont="1" applyProtection="1">
      <protection hidden="1"/>
    </xf>
    <xf numFmtId="0" fontId="4" fillId="3" borderId="0" xfId="0" applyFont="1" applyFill="1" applyProtection="1">
      <protection hidden="1"/>
    </xf>
    <xf numFmtId="9" fontId="26" fillId="13" borderId="16" xfId="2" applyFont="1" applyFill="1" applyBorder="1" applyAlignment="1" applyProtection="1">
      <alignment horizontal="center" vertical="center"/>
      <protection hidden="1"/>
    </xf>
    <xf numFmtId="0" fontId="11" fillId="12" borderId="16" xfId="7" applyFont="1" applyFill="1" applyBorder="1" applyAlignment="1" applyProtection="1">
      <alignment horizontal="center" vertical="center" wrapText="1"/>
      <protection hidden="1"/>
    </xf>
    <xf numFmtId="0" fontId="11" fillId="14" borderId="16" xfId="7" applyFont="1" applyFill="1" applyBorder="1" applyAlignment="1" applyProtection="1">
      <alignment horizontal="center" vertical="center" wrapText="1"/>
      <protection hidden="1"/>
    </xf>
    <xf numFmtId="9" fontId="3" fillId="0" borderId="16" xfId="2" applyFont="1" applyFill="1" applyBorder="1" applyAlignment="1">
      <alignment horizontal="center" vertical="center"/>
    </xf>
    <xf numFmtId="9" fontId="3" fillId="0" borderId="19" xfId="2" applyFont="1" applyFill="1" applyBorder="1" applyAlignment="1">
      <alignment horizontal="center" vertical="center"/>
    </xf>
    <xf numFmtId="0" fontId="23" fillId="12" borderId="26" xfId="0" applyFont="1" applyFill="1" applyBorder="1" applyAlignment="1">
      <alignment horizontal="center" vertical="center"/>
    </xf>
    <xf numFmtId="0" fontId="24" fillId="12" borderId="27" xfId="0" applyFont="1" applyFill="1" applyBorder="1" applyAlignment="1">
      <alignment horizontal="center" vertical="center"/>
    </xf>
    <xf numFmtId="0" fontId="24" fillId="12" borderId="28" xfId="0" applyFont="1" applyFill="1" applyBorder="1" applyAlignment="1">
      <alignment horizontal="center" vertical="center"/>
    </xf>
    <xf numFmtId="0" fontId="23" fillId="12" borderId="23" xfId="0" applyFont="1" applyFill="1" applyBorder="1" applyAlignment="1">
      <alignment horizontal="center" vertical="center"/>
    </xf>
    <xf numFmtId="0" fontId="3" fillId="13" borderId="23" xfId="0" applyFont="1" applyFill="1" applyBorder="1" applyAlignment="1">
      <alignment horizontal="center" vertical="center"/>
    </xf>
    <xf numFmtId="174" fontId="7" fillId="13" borderId="0" xfId="0" applyNumberFormat="1" applyFont="1" applyFill="1" applyAlignment="1">
      <alignment horizontal="center" vertical="center"/>
    </xf>
    <xf numFmtId="174" fontId="7" fillId="13" borderId="18" xfId="0" applyNumberFormat="1" applyFont="1" applyFill="1" applyBorder="1" applyAlignment="1">
      <alignment horizontal="center" vertical="center"/>
    </xf>
    <xf numFmtId="173" fontId="7" fillId="13" borderId="0" xfId="2" applyNumberFormat="1" applyFont="1" applyFill="1" applyBorder="1" applyAlignment="1">
      <alignment horizontal="center" vertical="center"/>
    </xf>
    <xf numFmtId="173" fontId="7" fillId="13" borderId="18" xfId="2" applyNumberFormat="1" applyFont="1" applyFill="1" applyBorder="1" applyAlignment="1">
      <alignment horizontal="center" vertical="center"/>
    </xf>
    <xf numFmtId="0" fontId="3" fillId="13" borderId="32" xfId="0" applyFont="1" applyFill="1" applyBorder="1" applyAlignment="1">
      <alignment horizontal="center" vertical="center"/>
    </xf>
    <xf numFmtId="170" fontId="3" fillId="13" borderId="35" xfId="0" applyNumberFormat="1" applyFont="1" applyFill="1" applyBorder="1" applyAlignment="1">
      <alignment horizontal="center" vertical="center"/>
    </xf>
    <xf numFmtId="170" fontId="3" fillId="13" borderId="33" xfId="0" applyNumberFormat="1" applyFont="1" applyFill="1" applyBorder="1" applyAlignment="1">
      <alignment horizontal="center" vertical="center"/>
    </xf>
    <xf numFmtId="9" fontId="4" fillId="3" borderId="0" xfId="2" applyFont="1" applyFill="1" applyBorder="1" applyAlignment="1" applyProtection="1">
      <protection hidden="1"/>
    </xf>
    <xf numFmtId="9" fontId="4" fillId="3" borderId="18" xfId="2" applyFont="1" applyFill="1" applyBorder="1" applyAlignment="1" applyProtection="1">
      <protection hidden="1"/>
    </xf>
    <xf numFmtId="0" fontId="0" fillId="0" borderId="0" xfId="0" applyAlignment="1">
      <alignment horizontal="center" vertical="center"/>
    </xf>
    <xf numFmtId="176" fontId="27" fillId="3" borderId="35" xfId="9" applyNumberFormat="1" applyFont="1" applyFill="1" applyBorder="1" applyProtection="1">
      <protection hidden="1"/>
    </xf>
    <xf numFmtId="176" fontId="27" fillId="3" borderId="33" xfId="9" applyNumberFormat="1" applyFont="1" applyFill="1" applyBorder="1" applyProtection="1">
      <protection hidden="1"/>
    </xf>
    <xf numFmtId="0" fontId="28" fillId="0" borderId="0" xfId="0" applyFont="1"/>
    <xf numFmtId="9" fontId="28" fillId="0" borderId="0" xfId="2" applyFont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28" fillId="3" borderId="1" xfId="0" applyFont="1" applyFill="1" applyBorder="1"/>
    <xf numFmtId="0" fontId="28" fillId="3" borderId="1" xfId="0" applyFont="1" applyFill="1" applyBorder="1" applyAlignment="1">
      <alignment horizontal="center" vertical="center"/>
    </xf>
    <xf numFmtId="165" fontId="28" fillId="0" borderId="1" xfId="1" applyNumberFormat="1" applyFont="1" applyBorder="1"/>
    <xf numFmtId="165" fontId="28" fillId="5" borderId="1" xfId="1" applyNumberFormat="1" applyFont="1" applyFill="1" applyBorder="1" applyAlignment="1">
      <alignment horizontal="center"/>
    </xf>
    <xf numFmtId="164" fontId="28" fillId="0" borderId="1" xfId="1" applyFont="1" applyBorder="1"/>
    <xf numFmtId="164" fontId="28" fillId="5" borderId="1" xfId="1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 vertical="center" wrapText="1"/>
    </xf>
    <xf numFmtId="0" fontId="28" fillId="0" borderId="1" xfId="0" applyFont="1" applyBorder="1"/>
    <xf numFmtId="0" fontId="28" fillId="0" borderId="1" xfId="0" applyFont="1" applyBorder="1" applyAlignment="1">
      <alignment horizontal="center"/>
    </xf>
    <xf numFmtId="164" fontId="28" fillId="0" borderId="1" xfId="0" applyNumberFormat="1" applyFont="1" applyBorder="1"/>
    <xf numFmtId="0" fontId="28" fillId="4" borderId="5" xfId="0" applyFont="1" applyFill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9" fontId="28" fillId="0" borderId="5" xfId="2" applyFont="1" applyBorder="1" applyAlignment="1">
      <alignment horizontal="center" vertical="center"/>
    </xf>
    <xf numFmtId="164" fontId="28" fillId="6" borderId="30" xfId="1" applyFont="1" applyFill="1" applyBorder="1" applyAlignment="1">
      <alignment horizontal="center" vertical="center" wrapText="1"/>
    </xf>
    <xf numFmtId="0" fontId="28" fillId="0" borderId="26" xfId="0" applyFont="1" applyBorder="1"/>
    <xf numFmtId="164" fontId="28" fillId="0" borderId="28" xfId="0" applyNumberFormat="1" applyFont="1" applyBorder="1"/>
    <xf numFmtId="164" fontId="28" fillId="0" borderId="0" xfId="0" applyNumberFormat="1" applyFont="1"/>
    <xf numFmtId="0" fontId="28" fillId="0" borderId="23" xfId="0" applyFont="1" applyBorder="1"/>
    <xf numFmtId="164" fontId="28" fillId="0" borderId="18" xfId="0" applyNumberFormat="1" applyFont="1" applyBorder="1"/>
    <xf numFmtId="164" fontId="28" fillId="6" borderId="8" xfId="1" applyFont="1" applyFill="1" applyBorder="1" applyAlignment="1">
      <alignment horizontal="center" vertical="center"/>
    </xf>
    <xf numFmtId="0" fontId="28" fillId="0" borderId="18" xfId="0" applyFont="1" applyBorder="1"/>
    <xf numFmtId="9" fontId="28" fillId="6" borderId="5" xfId="2" applyFont="1" applyFill="1" applyBorder="1" applyAlignment="1">
      <alignment horizontal="center" vertical="center"/>
    </xf>
    <xf numFmtId="166" fontId="28" fillId="6" borderId="8" xfId="1" applyNumberFormat="1" applyFont="1" applyFill="1" applyBorder="1" applyAlignment="1">
      <alignment horizontal="center" vertical="center"/>
    </xf>
    <xf numFmtId="167" fontId="28" fillId="6" borderId="8" xfId="1" applyNumberFormat="1" applyFont="1" applyFill="1" applyBorder="1" applyAlignment="1">
      <alignment horizontal="center" vertical="center"/>
    </xf>
    <xf numFmtId="167" fontId="28" fillId="7" borderId="8" xfId="1" applyNumberFormat="1" applyFont="1" applyFill="1" applyBorder="1" applyAlignment="1">
      <alignment horizontal="center" vertical="center"/>
    </xf>
    <xf numFmtId="1" fontId="28" fillId="0" borderId="5" xfId="0" applyNumberFormat="1" applyFont="1" applyBorder="1" applyAlignment="1">
      <alignment horizontal="center" vertical="center"/>
    </xf>
    <xf numFmtId="165" fontId="28" fillId="0" borderId="5" xfId="1" applyNumberFormat="1" applyFont="1" applyBorder="1" applyAlignment="1">
      <alignment horizontal="center" vertical="center"/>
    </xf>
    <xf numFmtId="0" fontId="28" fillId="4" borderId="5" xfId="0" applyFont="1" applyFill="1" applyBorder="1" applyAlignment="1">
      <alignment vertical="center"/>
    </xf>
    <xf numFmtId="1" fontId="28" fillId="0" borderId="36" xfId="0" applyNumberFormat="1" applyFont="1" applyBorder="1" applyAlignment="1">
      <alignment horizontal="center" vertical="center"/>
    </xf>
    <xf numFmtId="165" fontId="28" fillId="0" borderId="36" xfId="1" applyNumberFormat="1" applyFont="1" applyFill="1" applyBorder="1" applyAlignment="1">
      <alignment horizontal="center" vertical="center"/>
    </xf>
    <xf numFmtId="0" fontId="28" fillId="4" borderId="5" xfId="0" applyFont="1" applyFill="1" applyBorder="1" applyAlignment="1">
      <alignment horizontal="right" vertical="center"/>
    </xf>
    <xf numFmtId="0" fontId="28" fillId="4" borderId="36" xfId="0" applyFont="1" applyFill="1" applyBorder="1" applyAlignment="1">
      <alignment horizontal="center" vertical="center"/>
    </xf>
    <xf numFmtId="0" fontId="28" fillId="4" borderId="36" xfId="0" applyFont="1" applyFill="1" applyBorder="1" applyAlignment="1">
      <alignment horizontal="right" vertical="center"/>
    </xf>
    <xf numFmtId="0" fontId="28" fillId="0" borderId="36" xfId="0" applyFont="1" applyBorder="1" applyAlignment="1">
      <alignment horizontal="center" vertical="center"/>
    </xf>
    <xf numFmtId="165" fontId="28" fillId="0" borderId="0" xfId="0" applyNumberFormat="1" applyFont="1"/>
    <xf numFmtId="0" fontId="28" fillId="3" borderId="5" xfId="0" applyFont="1" applyFill="1" applyBorder="1" applyAlignment="1">
      <alignment vertical="center"/>
    </xf>
    <xf numFmtId="0" fontId="29" fillId="6" borderId="5" xfId="0" applyFont="1" applyFill="1" applyBorder="1" applyAlignment="1">
      <alignment vertical="center"/>
    </xf>
    <xf numFmtId="0" fontId="28" fillId="3" borderId="8" xfId="0" applyFont="1" applyFill="1" applyBorder="1" applyAlignment="1">
      <alignment vertical="center"/>
    </xf>
    <xf numFmtId="0" fontId="28" fillId="3" borderId="9" xfId="0" applyFont="1" applyFill="1" applyBorder="1" applyAlignment="1">
      <alignment vertical="center"/>
    </xf>
    <xf numFmtId="0" fontId="28" fillId="3" borderId="10" xfId="0" applyFont="1" applyFill="1" applyBorder="1" applyAlignment="1">
      <alignment vertical="center"/>
    </xf>
    <xf numFmtId="166" fontId="28" fillId="0" borderId="18" xfId="0" applyNumberFormat="1" applyFont="1" applyBorder="1"/>
    <xf numFmtId="166" fontId="28" fillId="0" borderId="0" xfId="0" applyNumberFormat="1" applyFont="1"/>
    <xf numFmtId="0" fontId="28" fillId="0" borderId="32" xfId="0" applyFont="1" applyBorder="1"/>
    <xf numFmtId="166" fontId="28" fillId="0" borderId="33" xfId="0" applyNumberFormat="1" applyFont="1" applyBorder="1"/>
    <xf numFmtId="166" fontId="28" fillId="6" borderId="5" xfId="1" applyNumberFormat="1" applyFont="1" applyFill="1" applyBorder="1" applyAlignment="1">
      <alignment horizontal="center" vertical="center"/>
    </xf>
    <xf numFmtId="167" fontId="28" fillId="6" borderId="5" xfId="1" applyNumberFormat="1" applyFont="1" applyFill="1" applyBorder="1" applyAlignment="1">
      <alignment horizontal="center" vertical="center"/>
    </xf>
    <xf numFmtId="167" fontId="28" fillId="7" borderId="5" xfId="1" applyNumberFormat="1" applyFont="1" applyFill="1" applyBorder="1" applyAlignment="1">
      <alignment horizontal="center" vertical="center"/>
    </xf>
    <xf numFmtId="167" fontId="28" fillId="0" borderId="0" xfId="0" applyNumberFormat="1" applyFont="1"/>
    <xf numFmtId="0" fontId="28" fillId="3" borderId="5" xfId="0" applyFont="1" applyFill="1" applyBorder="1" applyAlignment="1">
      <alignment horizontal="center" vertical="center" wrapText="1"/>
    </xf>
    <xf numFmtId="0" fontId="28" fillId="6" borderId="5" xfId="0" applyFont="1" applyFill="1" applyBorder="1" applyAlignment="1">
      <alignment horizontal="center" vertical="center" wrapText="1"/>
    </xf>
    <xf numFmtId="0" fontId="28" fillId="6" borderId="8" xfId="0" applyFont="1" applyFill="1" applyBorder="1" applyAlignment="1">
      <alignment horizontal="right" vertical="center" wrapText="1"/>
    </xf>
    <xf numFmtId="0" fontId="28" fillId="6" borderId="10" xfId="0" applyFont="1" applyFill="1" applyBorder="1" applyAlignment="1">
      <alignment horizontal="right" vertical="center" wrapText="1"/>
    </xf>
    <xf numFmtId="1" fontId="28" fillId="4" borderId="5" xfId="0" applyNumberFormat="1" applyFont="1" applyFill="1" applyBorder="1" applyAlignment="1">
      <alignment horizontal="center" vertical="center"/>
    </xf>
    <xf numFmtId="9" fontId="28" fillId="4" borderId="5" xfId="2" applyFont="1" applyFill="1" applyBorder="1" applyAlignment="1">
      <alignment horizontal="center" vertical="center"/>
    </xf>
    <xf numFmtId="167" fontId="28" fillId="8" borderId="5" xfId="0" applyNumberFormat="1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1" fontId="28" fillId="0" borderId="1" xfId="0" applyNumberFormat="1" applyFont="1" applyBorder="1" applyAlignment="1">
      <alignment horizontal="center" vertical="center"/>
    </xf>
    <xf numFmtId="165" fontId="28" fillId="0" borderId="1" xfId="1" applyNumberFormat="1" applyFont="1" applyBorder="1" applyAlignment="1">
      <alignment horizontal="center" vertical="center"/>
    </xf>
    <xf numFmtId="166" fontId="28" fillId="6" borderId="1" xfId="1" applyNumberFormat="1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167" fontId="28" fillId="6" borderId="1" xfId="1" applyNumberFormat="1" applyFont="1" applyFill="1" applyBorder="1" applyAlignment="1">
      <alignment horizontal="center" vertical="center"/>
    </xf>
    <xf numFmtId="0" fontId="30" fillId="0" borderId="0" xfId="0" applyFont="1"/>
    <xf numFmtId="0" fontId="31" fillId="9" borderId="11" xfId="0" applyFont="1" applyFill="1" applyBorder="1" applyAlignment="1">
      <alignment horizontal="center" vertical="center" readingOrder="2"/>
    </xf>
    <xf numFmtId="0" fontId="31" fillId="9" borderId="13" xfId="0" applyFont="1" applyFill="1" applyBorder="1" applyAlignment="1">
      <alignment horizontal="center" vertical="center" readingOrder="2"/>
    </xf>
    <xf numFmtId="0" fontId="31" fillId="2" borderId="14" xfId="0" applyFont="1" applyFill="1" applyBorder="1" applyAlignment="1">
      <alignment horizontal="right" vertical="center" wrapText="1" readingOrder="2"/>
    </xf>
    <xf numFmtId="0" fontId="31" fillId="2" borderId="15" xfId="0" applyFont="1" applyFill="1" applyBorder="1" applyAlignment="1">
      <alignment horizontal="center" vertical="center" wrapText="1" readingOrder="2"/>
    </xf>
    <xf numFmtId="0" fontId="32" fillId="0" borderId="14" xfId="0" applyFont="1" applyBorder="1" applyAlignment="1">
      <alignment horizontal="right" vertical="center" readingOrder="2"/>
    </xf>
    <xf numFmtId="9" fontId="32" fillId="0" borderId="15" xfId="0" applyNumberFormat="1" applyFont="1" applyBorder="1" applyAlignment="1">
      <alignment horizontal="center" vertical="center" readingOrder="1"/>
    </xf>
    <xf numFmtId="0" fontId="32" fillId="10" borderId="14" xfId="0" applyFont="1" applyFill="1" applyBorder="1" applyAlignment="1">
      <alignment horizontal="right" vertical="center" readingOrder="2"/>
    </xf>
    <xf numFmtId="0" fontId="32" fillId="0" borderId="15" xfId="0" applyFont="1" applyBorder="1" applyAlignment="1">
      <alignment horizontal="center" vertical="center" readingOrder="1"/>
    </xf>
    <xf numFmtId="164" fontId="32" fillId="0" borderId="15" xfId="1" applyFont="1" applyBorder="1" applyAlignment="1">
      <alignment horizontal="center" vertical="center" readingOrder="1"/>
    </xf>
    <xf numFmtId="167" fontId="33" fillId="6" borderId="5" xfId="1" applyNumberFormat="1" applyFont="1" applyFill="1" applyBorder="1" applyAlignment="1">
      <alignment horizontal="center" vertical="center"/>
    </xf>
    <xf numFmtId="164" fontId="32" fillId="0" borderId="15" xfId="0" applyNumberFormat="1" applyFont="1" applyBorder="1" applyAlignment="1">
      <alignment horizontal="center" vertical="center" readingOrder="1"/>
    </xf>
    <xf numFmtId="0" fontId="32" fillId="11" borderId="15" xfId="0" applyFont="1" applyFill="1" applyBorder="1" applyAlignment="1">
      <alignment horizontal="center" vertical="center" readingOrder="1"/>
    </xf>
    <xf numFmtId="0" fontId="31" fillId="2" borderId="1" xfId="0" applyFont="1" applyFill="1" applyBorder="1" applyAlignment="1">
      <alignment horizontal="right" vertical="center" wrapText="1" readingOrder="2"/>
    </xf>
    <xf numFmtId="0" fontId="31" fillId="2" borderId="1" xfId="0" applyFont="1" applyFill="1" applyBorder="1" applyAlignment="1">
      <alignment horizontal="center" vertical="center" wrapText="1" readingOrder="2"/>
    </xf>
    <xf numFmtId="0" fontId="31" fillId="2" borderId="11" xfId="0" applyFont="1" applyFill="1" applyBorder="1" applyAlignment="1">
      <alignment horizontal="center" vertical="center" wrapText="1" readingOrder="2"/>
    </xf>
    <xf numFmtId="0" fontId="32" fillId="10" borderId="1" xfId="0" applyFont="1" applyFill="1" applyBorder="1" applyAlignment="1">
      <alignment horizontal="right" vertical="center" readingOrder="2"/>
    </xf>
    <xf numFmtId="169" fontId="30" fillId="0" borderId="1" xfId="1" applyNumberFormat="1" applyFont="1" applyBorder="1"/>
    <xf numFmtId="10" fontId="32" fillId="0" borderId="1" xfId="0" applyNumberFormat="1" applyFont="1" applyBorder="1" applyAlignment="1">
      <alignment horizontal="center" vertical="center" readingOrder="1"/>
    </xf>
    <xf numFmtId="0" fontId="32" fillId="0" borderId="14" xfId="0" applyFont="1" applyBorder="1" applyAlignment="1">
      <alignment horizontal="center" vertical="center" wrapText="1" readingOrder="1"/>
    </xf>
    <xf numFmtId="0" fontId="32" fillId="11" borderId="1" xfId="0" applyFont="1" applyFill="1" applyBorder="1" applyAlignment="1">
      <alignment horizontal="right" vertical="center" readingOrder="2"/>
    </xf>
    <xf numFmtId="167" fontId="33" fillId="6" borderId="1" xfId="1" applyNumberFormat="1" applyFont="1" applyFill="1" applyBorder="1" applyAlignment="1">
      <alignment horizontal="center" vertical="center"/>
    </xf>
    <xf numFmtId="167" fontId="30" fillId="0" borderId="0" xfId="0" applyNumberFormat="1" applyFont="1"/>
    <xf numFmtId="0" fontId="33" fillId="0" borderId="1" xfId="0" applyFont="1" applyBorder="1" applyAlignment="1">
      <alignment horizontal="right"/>
    </xf>
    <xf numFmtId="0" fontId="30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3" fillId="4" borderId="1" xfId="0" applyFont="1" applyFill="1" applyBorder="1" applyAlignment="1">
      <alignment horizontal="center"/>
    </xf>
    <xf numFmtId="0" fontId="30" fillId="0" borderId="0" xfId="0" applyFont="1" applyAlignment="1">
      <alignment horizontal="center"/>
    </xf>
    <xf numFmtId="0" fontId="33" fillId="0" borderId="1" xfId="0" applyFont="1" applyBorder="1" applyAlignment="1">
      <alignment vertical="center"/>
    </xf>
    <xf numFmtId="9" fontId="30" fillId="4" borderId="1" xfId="2" applyFont="1" applyFill="1" applyBorder="1" applyAlignment="1">
      <alignment horizontal="center"/>
    </xf>
    <xf numFmtId="165" fontId="30" fillId="0" borderId="1" xfId="1" applyNumberFormat="1" applyFont="1" applyBorder="1" applyAlignment="1">
      <alignment horizontal="center"/>
    </xf>
    <xf numFmtId="164" fontId="30" fillId="0" borderId="0" xfId="0" applyNumberFormat="1" applyFont="1" applyAlignment="1">
      <alignment horizontal="center"/>
    </xf>
    <xf numFmtId="0" fontId="30" fillId="0" borderId="1" xfId="0" applyFont="1" applyBorder="1"/>
    <xf numFmtId="0" fontId="30" fillId="4" borderId="1" xfId="0" applyFont="1" applyFill="1" applyBorder="1" applyAlignment="1">
      <alignment horizontal="center"/>
    </xf>
    <xf numFmtId="165" fontId="33" fillId="0" borderId="1" xfId="0" applyNumberFormat="1" applyFont="1" applyBorder="1" applyAlignment="1">
      <alignment horizontal="center"/>
    </xf>
    <xf numFmtId="0" fontId="33" fillId="3" borderId="1" xfId="0" applyFont="1" applyFill="1" applyBorder="1" applyAlignment="1">
      <alignment horizontal="center"/>
    </xf>
    <xf numFmtId="165" fontId="33" fillId="0" borderId="1" xfId="1" applyNumberFormat="1" applyFont="1" applyBorder="1" applyAlignment="1">
      <alignment horizontal="center"/>
    </xf>
    <xf numFmtId="165" fontId="30" fillId="0" borderId="0" xfId="1" applyNumberFormat="1" applyFont="1" applyAlignment="1">
      <alignment horizontal="center"/>
    </xf>
    <xf numFmtId="0" fontId="30" fillId="3" borderId="1" xfId="0" applyFont="1" applyFill="1" applyBorder="1" applyAlignment="1">
      <alignment horizontal="center" vertical="center" wrapText="1"/>
    </xf>
    <xf numFmtId="164" fontId="30" fillId="5" borderId="1" xfId="1" applyFont="1" applyFill="1" applyBorder="1" applyAlignment="1">
      <alignment horizontal="center"/>
    </xf>
    <xf numFmtId="0" fontId="30" fillId="3" borderId="1" xfId="0" applyFont="1" applyFill="1" applyBorder="1" applyAlignment="1">
      <alignment horizontal="center"/>
    </xf>
    <xf numFmtId="0" fontId="30" fillId="3" borderId="1" xfId="0" applyFont="1" applyFill="1" applyBorder="1"/>
    <xf numFmtId="164" fontId="30" fillId="0" borderId="1" xfId="1" applyFont="1" applyBorder="1"/>
    <xf numFmtId="164" fontId="30" fillId="19" borderId="1" xfId="1" applyFont="1" applyFill="1" applyBorder="1" applyAlignment="1">
      <alignment horizontal="center"/>
    </xf>
    <xf numFmtId="164" fontId="30" fillId="19" borderId="1" xfId="0" applyNumberFormat="1" applyFont="1" applyFill="1" applyBorder="1"/>
    <xf numFmtId="1" fontId="33" fillId="4" borderId="1" xfId="0" applyNumberFormat="1" applyFont="1" applyFill="1" applyBorder="1" applyAlignment="1">
      <alignment horizontal="center"/>
    </xf>
    <xf numFmtId="0" fontId="34" fillId="4" borderId="0" xfId="0" applyFont="1" applyFill="1" applyProtection="1">
      <protection hidden="1"/>
    </xf>
    <xf numFmtId="0" fontId="30" fillId="0" borderId="0" xfId="0" applyFont="1" applyProtection="1">
      <protection hidden="1"/>
    </xf>
    <xf numFmtId="9" fontId="33" fillId="13" borderId="16" xfId="2" applyFont="1" applyFill="1" applyBorder="1" applyAlignment="1" applyProtection="1">
      <alignment horizontal="center" vertical="center"/>
      <protection hidden="1"/>
    </xf>
    <xf numFmtId="0" fontId="30" fillId="0" borderId="0" xfId="0" applyFont="1" applyAlignment="1" applyProtection="1">
      <alignment vertical="center"/>
      <protection hidden="1"/>
    </xf>
    <xf numFmtId="0" fontId="37" fillId="4" borderId="0" xfId="7" applyFont="1" applyFill="1" applyAlignment="1" applyProtection="1">
      <alignment horizontal="center" vertical="center"/>
      <protection hidden="1"/>
    </xf>
    <xf numFmtId="0" fontId="35" fillId="12" borderId="16" xfId="7" applyFont="1" applyFill="1" applyBorder="1" applyAlignment="1" applyProtection="1">
      <alignment horizontal="center" vertical="center" wrapText="1"/>
      <protection hidden="1"/>
    </xf>
    <xf numFmtId="0" fontId="35" fillId="14" borderId="16" xfId="7" applyFont="1" applyFill="1" applyBorder="1" applyAlignment="1" applyProtection="1">
      <alignment horizontal="center" vertical="center" wrapText="1"/>
      <protection hidden="1"/>
    </xf>
    <xf numFmtId="0" fontId="38" fillId="12" borderId="16" xfId="7" applyFont="1" applyFill="1" applyBorder="1" applyAlignment="1" applyProtection="1">
      <alignment horizontal="center" vertical="center" wrapText="1"/>
      <protection hidden="1"/>
    </xf>
    <xf numFmtId="0" fontId="30" fillId="0" borderId="0" xfId="7" applyFont="1" applyProtection="1">
      <protection hidden="1"/>
    </xf>
    <xf numFmtId="0" fontId="30" fillId="0" borderId="0" xfId="7" applyFont="1" applyAlignment="1" applyProtection="1">
      <alignment vertical="center"/>
      <protection hidden="1"/>
    </xf>
    <xf numFmtId="0" fontId="30" fillId="0" borderId="0" xfId="7" applyFont="1" applyAlignment="1" applyProtection="1">
      <alignment horizontal="center" vertical="center"/>
      <protection hidden="1"/>
    </xf>
    <xf numFmtId="0" fontId="30" fillId="15" borderId="16" xfId="7" applyFont="1" applyFill="1" applyBorder="1" applyAlignment="1" applyProtection="1">
      <alignment horizontal="center" vertical="center"/>
      <protection hidden="1"/>
    </xf>
    <xf numFmtId="0" fontId="30" fillId="13" borderId="16" xfId="7" applyFont="1" applyFill="1" applyBorder="1" applyAlignment="1" applyProtection="1">
      <alignment horizontal="center" vertical="center"/>
      <protection hidden="1"/>
    </xf>
    <xf numFmtId="166" fontId="30" fillId="13" borderId="16" xfId="6" applyNumberFormat="1" applyFont="1" applyFill="1" applyBorder="1" applyAlignment="1" applyProtection="1">
      <alignment horizontal="center" vertical="center"/>
      <protection hidden="1"/>
    </xf>
    <xf numFmtId="166" fontId="39" fillId="13" borderId="16" xfId="6" applyNumberFormat="1" applyFont="1" applyFill="1" applyBorder="1" applyAlignment="1" applyProtection="1">
      <alignment horizontal="center" vertical="center"/>
      <protection hidden="1"/>
    </xf>
    <xf numFmtId="166" fontId="34" fillId="13" borderId="16" xfId="6" applyNumberFormat="1" applyFont="1" applyFill="1" applyBorder="1" applyAlignment="1" applyProtection="1">
      <alignment horizontal="center" vertical="center"/>
      <protection hidden="1"/>
    </xf>
    <xf numFmtId="172" fontId="30" fillId="0" borderId="0" xfId="7" applyNumberFormat="1" applyFont="1" applyProtection="1">
      <protection hidden="1"/>
    </xf>
    <xf numFmtId="171" fontId="40" fillId="13" borderId="16" xfId="7" applyNumberFormat="1" applyFont="1" applyFill="1" applyBorder="1" applyAlignment="1" applyProtection="1">
      <alignment horizontal="center" vertical="center"/>
      <protection hidden="1"/>
    </xf>
    <xf numFmtId="173" fontId="40" fillId="13" borderId="16" xfId="2" applyNumberFormat="1" applyFont="1" applyFill="1" applyBorder="1" applyAlignment="1" applyProtection="1">
      <alignment horizontal="center" vertical="center"/>
      <protection hidden="1"/>
    </xf>
    <xf numFmtId="2" fontId="40" fillId="13" borderId="16" xfId="7" applyNumberFormat="1" applyFont="1" applyFill="1" applyBorder="1" applyAlignment="1" applyProtection="1">
      <alignment horizontal="center" vertical="center"/>
      <protection hidden="1"/>
    </xf>
    <xf numFmtId="0" fontId="41" fillId="12" borderId="16" xfId="0" applyFont="1" applyFill="1" applyBorder="1" applyAlignment="1">
      <alignment horizontal="center" vertical="center" wrapText="1"/>
    </xf>
    <xf numFmtId="166" fontId="30" fillId="13" borderId="16" xfId="6" applyNumberFormat="1" applyFont="1" applyFill="1" applyBorder="1" applyAlignment="1">
      <alignment horizontal="center" vertical="center"/>
    </xf>
    <xf numFmtId="171" fontId="30" fillId="13" borderId="16" xfId="6" applyNumberFormat="1" applyFont="1" applyFill="1" applyBorder="1" applyAlignment="1">
      <alignment horizontal="center" vertical="center"/>
    </xf>
    <xf numFmtId="0" fontId="42" fillId="4" borderId="0" xfId="0" applyFont="1" applyFill="1" applyProtection="1">
      <protection hidden="1"/>
    </xf>
    <xf numFmtId="0" fontId="43" fillId="0" borderId="0" xfId="0" applyFont="1" applyProtection="1">
      <protection hidden="1"/>
    </xf>
    <xf numFmtId="9" fontId="45" fillId="13" borderId="16" xfId="2" applyFont="1" applyFill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vertical="center"/>
      <protection hidden="1"/>
    </xf>
    <xf numFmtId="0" fontId="47" fillId="4" borderId="0" xfId="7" applyFont="1" applyFill="1" applyAlignment="1" applyProtection="1">
      <alignment horizontal="center" vertical="center"/>
      <protection hidden="1"/>
    </xf>
    <xf numFmtId="0" fontId="44" fillId="12" borderId="16" xfId="7" applyFont="1" applyFill="1" applyBorder="1" applyAlignment="1" applyProtection="1">
      <alignment horizontal="center" vertical="center" wrapText="1"/>
      <protection hidden="1"/>
    </xf>
    <xf numFmtId="0" fontId="44" fillId="14" borderId="16" xfId="7" applyFont="1" applyFill="1" applyBorder="1" applyAlignment="1" applyProtection="1">
      <alignment horizontal="center" vertical="center" wrapText="1"/>
      <protection hidden="1"/>
    </xf>
    <xf numFmtId="0" fontId="43" fillId="0" borderId="0" xfId="7" applyFont="1" applyProtection="1">
      <protection hidden="1"/>
    </xf>
    <xf numFmtId="0" fontId="43" fillId="0" borderId="0" xfId="7" applyFont="1" applyAlignment="1" applyProtection="1">
      <alignment vertical="center"/>
      <protection hidden="1"/>
    </xf>
    <xf numFmtId="0" fontId="43" fillId="0" borderId="0" xfId="7" applyFont="1" applyAlignment="1" applyProtection="1">
      <alignment horizontal="center" vertical="center"/>
      <protection hidden="1"/>
    </xf>
    <xf numFmtId="0" fontId="48" fillId="15" borderId="16" xfId="7" applyFont="1" applyFill="1" applyBorder="1" applyAlignment="1" applyProtection="1">
      <alignment horizontal="center" vertical="center"/>
      <protection hidden="1"/>
    </xf>
    <xf numFmtId="0" fontId="48" fillId="13" borderId="16" xfId="7" applyFont="1" applyFill="1" applyBorder="1" applyAlignment="1" applyProtection="1">
      <alignment horizontal="center" vertical="center"/>
      <protection hidden="1"/>
    </xf>
    <xf numFmtId="166" fontId="49" fillId="13" borderId="16" xfId="6" applyNumberFormat="1" applyFont="1" applyFill="1" applyBorder="1" applyAlignment="1" applyProtection="1">
      <alignment horizontal="center" vertical="center"/>
      <protection hidden="1"/>
    </xf>
    <xf numFmtId="166" fontId="50" fillId="13" borderId="16" xfId="6" applyNumberFormat="1" applyFont="1" applyFill="1" applyBorder="1" applyAlignment="1" applyProtection="1">
      <alignment horizontal="center" vertical="center"/>
      <protection hidden="1"/>
    </xf>
    <xf numFmtId="166" fontId="51" fillId="13" borderId="16" xfId="6" applyNumberFormat="1" applyFont="1" applyFill="1" applyBorder="1" applyAlignment="1" applyProtection="1">
      <alignment horizontal="center" vertical="center"/>
      <protection hidden="1"/>
    </xf>
    <xf numFmtId="172" fontId="43" fillId="0" borderId="0" xfId="7" applyNumberFormat="1" applyFont="1" applyProtection="1">
      <protection hidden="1"/>
    </xf>
    <xf numFmtId="171" fontId="52" fillId="13" borderId="16" xfId="7" applyNumberFormat="1" applyFont="1" applyFill="1" applyBorder="1" applyAlignment="1" applyProtection="1">
      <alignment horizontal="center" vertical="center"/>
      <protection hidden="1"/>
    </xf>
    <xf numFmtId="173" fontId="52" fillId="13" borderId="16" xfId="2" applyNumberFormat="1" applyFont="1" applyFill="1" applyBorder="1" applyAlignment="1" applyProtection="1">
      <alignment horizontal="center" vertical="center"/>
      <protection hidden="1"/>
    </xf>
    <xf numFmtId="2" fontId="52" fillId="13" borderId="16" xfId="7" applyNumberFormat="1" applyFont="1" applyFill="1" applyBorder="1" applyAlignment="1" applyProtection="1">
      <alignment horizontal="center" vertical="center"/>
      <protection hidden="1"/>
    </xf>
    <xf numFmtId="0" fontId="53" fillId="12" borderId="16" xfId="0" applyFont="1" applyFill="1" applyBorder="1" applyAlignment="1">
      <alignment horizontal="center" vertical="center" wrapText="1"/>
    </xf>
    <xf numFmtId="166" fontId="48" fillId="13" borderId="16" xfId="6" applyNumberFormat="1" applyFont="1" applyFill="1" applyBorder="1" applyAlignment="1">
      <alignment horizontal="center" vertical="center"/>
    </xf>
    <xf numFmtId="171" fontId="48" fillId="13" borderId="16" xfId="6" applyNumberFormat="1" applyFont="1" applyFill="1" applyBorder="1" applyAlignment="1">
      <alignment horizontal="center" vertical="center"/>
    </xf>
    <xf numFmtId="0" fontId="6" fillId="0" borderId="0" xfId="3"/>
    <xf numFmtId="164" fontId="33" fillId="0" borderId="1" xfId="1" applyFont="1" applyBorder="1"/>
    <xf numFmtId="0" fontId="30" fillId="0" borderId="1" xfId="0" applyFont="1" applyBorder="1" applyAlignment="1">
      <alignment horizontal="right" vertical="center" indent="1"/>
    </xf>
    <xf numFmtId="0" fontId="30" fillId="0" borderId="1" xfId="0" applyFont="1" applyBorder="1" applyAlignment="1">
      <alignment vertical="center"/>
    </xf>
    <xf numFmtId="0" fontId="35" fillId="12" borderId="1" xfId="0" applyFont="1" applyFill="1" applyBorder="1" applyAlignment="1">
      <alignment horizontal="right" vertical="center" indent="1"/>
    </xf>
    <xf numFmtId="0" fontId="41" fillId="12" borderId="1" xfId="0" applyFont="1" applyFill="1" applyBorder="1" applyAlignment="1">
      <alignment horizontal="right" vertical="center" indent="1"/>
    </xf>
    <xf numFmtId="0" fontId="33" fillId="13" borderId="1" xfId="0" applyFont="1" applyFill="1" applyBorder="1" applyAlignment="1">
      <alignment horizontal="right" vertical="center" indent="1"/>
    </xf>
    <xf numFmtId="174" fontId="30" fillId="13" borderId="1" xfId="0" applyNumberFormat="1" applyFont="1" applyFill="1" applyBorder="1" applyAlignment="1">
      <alignment horizontal="right" vertical="center" indent="1"/>
    </xf>
    <xf numFmtId="170" fontId="33" fillId="13" borderId="1" xfId="0" applyNumberFormat="1" applyFont="1" applyFill="1" applyBorder="1" applyAlignment="1">
      <alignment horizontal="right" vertical="center" indent="1"/>
    </xf>
    <xf numFmtId="0" fontId="33" fillId="0" borderId="1" xfId="0" applyFont="1" applyBorder="1" applyAlignment="1">
      <alignment horizontal="right" vertical="center" indent="1"/>
    </xf>
    <xf numFmtId="170" fontId="30" fillId="0" borderId="1" xfId="0" applyNumberFormat="1" applyFont="1" applyBorder="1" applyAlignment="1">
      <alignment horizontal="right" vertical="center" indent="1"/>
    </xf>
    <xf numFmtId="0" fontId="33" fillId="17" borderId="1" xfId="0" applyFont="1" applyFill="1" applyBorder="1" applyAlignment="1">
      <alignment horizontal="right" vertical="center" indent="1"/>
    </xf>
    <xf numFmtId="174" fontId="33" fillId="17" borderId="1" xfId="0" applyNumberFormat="1" applyFont="1" applyFill="1" applyBorder="1" applyAlignment="1">
      <alignment horizontal="right" vertical="center" indent="1"/>
    </xf>
    <xf numFmtId="174" fontId="33" fillId="13" borderId="1" xfId="0" applyNumberFormat="1" applyFont="1" applyFill="1" applyBorder="1" applyAlignment="1">
      <alignment horizontal="right" vertical="center" indent="1"/>
    </xf>
    <xf numFmtId="0" fontId="32" fillId="0" borderId="0" xfId="0" applyFont="1"/>
    <xf numFmtId="0" fontId="32" fillId="0" borderId="0" xfId="0" applyFont="1" applyAlignment="1">
      <alignment horizontal="center" vertical="center" wrapText="1" readingOrder="2"/>
    </xf>
    <xf numFmtId="0" fontId="33" fillId="0" borderId="0" xfId="0" applyFont="1" applyAlignment="1">
      <alignment horizontal="center" vertical="center" wrapText="1" readingOrder="2"/>
    </xf>
    <xf numFmtId="0" fontId="32" fillId="0" borderId="0" xfId="0" applyFont="1" applyAlignment="1">
      <alignment horizontal="right" vertical="center" wrapText="1" readingOrder="2"/>
    </xf>
    <xf numFmtId="0" fontId="32" fillId="0" borderId="0" xfId="0" applyFont="1" applyAlignment="1">
      <alignment horizontal="center" wrapText="1"/>
    </xf>
    <xf numFmtId="0" fontId="33" fillId="0" borderId="0" xfId="0" applyFont="1" applyAlignment="1">
      <alignment vertical="center" wrapText="1" readingOrder="2"/>
    </xf>
    <xf numFmtId="0" fontId="30" fillId="3" borderId="28" xfId="0" applyFont="1" applyFill="1" applyBorder="1" applyAlignment="1">
      <alignment horizontal="center"/>
    </xf>
    <xf numFmtId="0" fontId="30" fillId="3" borderId="0" xfId="0" applyFont="1" applyFill="1"/>
    <xf numFmtId="164" fontId="30" fillId="5" borderId="1" xfId="1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164" fontId="30" fillId="5" borderId="2" xfId="1" applyFont="1" applyFill="1" applyBorder="1" applyAlignment="1">
      <alignment horizontal="center"/>
    </xf>
    <xf numFmtId="0" fontId="30" fillId="3" borderId="2" xfId="0" applyFont="1" applyFill="1" applyBorder="1"/>
    <xf numFmtId="0" fontId="0" fillId="0" borderId="1" xfId="0" applyBorder="1" applyAlignment="1">
      <alignment horizontal="right"/>
    </xf>
    <xf numFmtId="0" fontId="30" fillId="0" borderId="1" xfId="0" applyFont="1" applyBorder="1" applyAlignment="1">
      <alignment horizontal="right" vertical="center"/>
    </xf>
    <xf numFmtId="164" fontId="30" fillId="0" borderId="1" xfId="1" applyFont="1" applyBorder="1" applyAlignment="1">
      <alignment vertical="center"/>
    </xf>
    <xf numFmtId="0" fontId="30" fillId="0" borderId="0" xfId="0" applyFont="1" applyAlignment="1">
      <alignment vertical="center"/>
    </xf>
    <xf numFmtId="164" fontId="30" fillId="0" borderId="1" xfId="1" applyFont="1" applyBorder="1" applyAlignment="1">
      <alignment horizontal="right" vertical="center" readingOrder="2"/>
    </xf>
    <xf numFmtId="0" fontId="30" fillId="0" borderId="0" xfId="0" applyFont="1" applyAlignment="1">
      <alignment horizontal="right" vertical="center" readingOrder="2"/>
    </xf>
    <xf numFmtId="37" fontId="30" fillId="0" borderId="1" xfId="1" applyNumberFormat="1" applyFont="1" applyBorder="1" applyAlignment="1">
      <alignment horizontal="center" vertical="center" readingOrder="2"/>
    </xf>
    <xf numFmtId="164" fontId="30" fillId="5" borderId="0" xfId="1" applyFont="1" applyFill="1" applyBorder="1" applyAlignment="1">
      <alignment horizontal="center"/>
    </xf>
    <xf numFmtId="164" fontId="30" fillId="0" borderId="0" xfId="1" applyFont="1" applyBorder="1"/>
    <xf numFmtId="164" fontId="30" fillId="19" borderId="0" xfId="1" applyFont="1" applyFill="1" applyBorder="1" applyAlignment="1">
      <alignment horizontal="center"/>
    </xf>
    <xf numFmtId="164" fontId="30" fillId="19" borderId="0" xfId="0" applyNumberFormat="1" applyFont="1" applyFill="1"/>
    <xf numFmtId="0" fontId="30" fillId="0" borderId="0" xfId="0" applyFont="1" applyAlignment="1">
      <alignment wrapText="1"/>
    </xf>
    <xf numFmtId="164" fontId="30" fillId="0" borderId="1" xfId="1" applyFont="1" applyBorder="1" applyAlignment="1">
      <alignment horizontal="right" vertical="center" wrapText="1" readingOrder="2"/>
    </xf>
    <xf numFmtId="0" fontId="55" fillId="0" borderId="1" xfId="0" applyFont="1" applyBorder="1" applyAlignment="1">
      <alignment horizontal="center" vertical="center" wrapText="1" readingOrder="2"/>
    </xf>
    <xf numFmtId="0" fontId="30" fillId="3" borderId="1" xfId="0" applyFont="1" applyFill="1" applyBorder="1" applyAlignment="1">
      <alignment vertical="center"/>
    </xf>
    <xf numFmtId="164" fontId="30" fillId="19" borderId="1" xfId="1" applyFont="1" applyFill="1" applyBorder="1" applyAlignment="1">
      <alignment horizontal="center" vertical="center"/>
    </xf>
    <xf numFmtId="164" fontId="30" fillId="19" borderId="1" xfId="0" applyNumberFormat="1" applyFont="1" applyFill="1" applyBorder="1" applyAlignment="1">
      <alignment vertical="center"/>
    </xf>
    <xf numFmtId="164" fontId="33" fillId="0" borderId="1" xfId="1" applyFont="1" applyBorder="1" applyAlignment="1">
      <alignment vertical="center"/>
    </xf>
    <xf numFmtId="164" fontId="30" fillId="0" borderId="1" xfId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 readingOrder="2"/>
    </xf>
    <xf numFmtId="0" fontId="57" fillId="0" borderId="1" xfId="3" applyFont="1" applyBorder="1"/>
    <xf numFmtId="164" fontId="30" fillId="0" borderId="1" xfId="1" applyFont="1" applyFill="1" applyBorder="1" applyAlignment="1">
      <alignment vertical="center"/>
    </xf>
    <xf numFmtId="164" fontId="30" fillId="19" borderId="37" xfId="1" applyFont="1" applyFill="1" applyBorder="1" applyAlignment="1">
      <alignment horizontal="center" vertical="center"/>
    </xf>
    <xf numFmtId="0" fontId="0" fillId="0" borderId="37" xfId="0" applyBorder="1" applyAlignment="1">
      <alignment horizontal="right"/>
    </xf>
    <xf numFmtId="0" fontId="30" fillId="0" borderId="1" xfId="0" applyFont="1" applyBorder="1" applyAlignment="1">
      <alignment horizontal="right"/>
    </xf>
    <xf numFmtId="164" fontId="30" fillId="0" borderId="1" xfId="1" applyFont="1" applyFill="1" applyBorder="1"/>
    <xf numFmtId="164" fontId="30" fillId="19" borderId="37" xfId="1" applyFont="1" applyFill="1" applyBorder="1" applyAlignment="1">
      <alignment horizontal="center"/>
    </xf>
    <xf numFmtId="0" fontId="30" fillId="0" borderId="1" xfId="0" applyFont="1" applyBorder="1" applyAlignment="1">
      <alignment horizontal="right" vertical="center" wrapText="1" readingOrder="2"/>
    </xf>
    <xf numFmtId="164" fontId="30" fillId="0" borderId="1" xfId="1" applyFont="1" applyFill="1" applyBorder="1" applyAlignment="1">
      <alignment horizontal="right" vertical="center" wrapText="1" readingOrder="2"/>
    </xf>
    <xf numFmtId="164" fontId="30" fillId="0" borderId="37" xfId="1" applyFont="1" applyBorder="1" applyAlignment="1">
      <alignment horizontal="right" vertical="center" wrapText="1" readingOrder="2"/>
    </xf>
    <xf numFmtId="164" fontId="30" fillId="0" borderId="37" xfId="1" applyFont="1" applyBorder="1" applyAlignment="1">
      <alignment vertical="center"/>
    </xf>
    <xf numFmtId="0" fontId="2" fillId="0" borderId="0" xfId="10"/>
    <xf numFmtId="164" fontId="30" fillId="19" borderId="1" xfId="11" applyFont="1" applyFill="1" applyBorder="1" applyAlignment="1"/>
    <xf numFmtId="0" fontId="30" fillId="3" borderId="18" xfId="10" applyFont="1" applyFill="1" applyBorder="1" applyAlignment="1">
      <alignment horizontal="center" vertical="center" wrapText="1"/>
    </xf>
    <xf numFmtId="164" fontId="30" fillId="0" borderId="1" xfId="11" applyFont="1" applyBorder="1"/>
    <xf numFmtId="0" fontId="30" fillId="3" borderId="1" xfId="10" applyFont="1" applyFill="1" applyBorder="1"/>
    <xf numFmtId="0" fontId="30" fillId="3" borderId="1" xfId="10" applyFont="1" applyFill="1" applyBorder="1" applyAlignment="1">
      <alignment horizontal="center"/>
    </xf>
    <xf numFmtId="0" fontId="30" fillId="3" borderId="1" xfId="10" applyFont="1" applyFill="1" applyBorder="1" applyAlignment="1">
      <alignment horizontal="center" vertical="center" wrapText="1"/>
    </xf>
    <xf numFmtId="0" fontId="2" fillId="0" borderId="0" xfId="10" applyAlignment="1">
      <alignment vertical="center" wrapText="1"/>
    </xf>
    <xf numFmtId="0" fontId="2" fillId="3" borderId="0" xfId="10" applyFill="1"/>
    <xf numFmtId="0" fontId="2" fillId="0" borderId="0" xfId="10" applyAlignment="1">
      <alignment horizontal="center" vertical="center" wrapText="1"/>
    </xf>
    <xf numFmtId="0" fontId="2" fillId="3" borderId="0" xfId="10" applyFill="1" applyAlignment="1">
      <alignment horizontal="center" vertical="center"/>
    </xf>
    <xf numFmtId="0" fontId="30" fillId="3" borderId="0" xfId="10" applyFont="1" applyFill="1" applyAlignment="1">
      <alignment horizontal="center" vertical="center" wrapText="1"/>
    </xf>
    <xf numFmtId="9" fontId="2" fillId="0" borderId="0" xfId="10" applyNumberFormat="1" applyAlignment="1">
      <alignment horizontal="center" vertical="center" wrapText="1"/>
    </xf>
    <xf numFmtId="0" fontId="58" fillId="0" borderId="0" xfId="10" applyFont="1" applyAlignment="1">
      <alignment horizontal="center" vertical="center" wrapText="1"/>
    </xf>
    <xf numFmtId="0" fontId="30" fillId="3" borderId="38" xfId="10" applyFont="1" applyFill="1" applyBorder="1" applyAlignment="1">
      <alignment horizontal="center" vertical="center"/>
    </xf>
    <xf numFmtId="0" fontId="30" fillId="3" borderId="1" xfId="10" applyFont="1" applyFill="1" applyBorder="1" applyAlignment="1">
      <alignment horizontal="center" vertical="center"/>
    </xf>
    <xf numFmtId="0" fontId="2" fillId="0" borderId="1" xfId="10" applyBorder="1" applyAlignment="1">
      <alignment horizontal="center" vertical="center" wrapText="1"/>
    </xf>
    <xf numFmtId="0" fontId="58" fillId="0" borderId="1" xfId="10" applyFont="1" applyBorder="1" applyAlignment="1">
      <alignment horizontal="center" vertical="center" wrapText="1"/>
    </xf>
    <xf numFmtId="9" fontId="2" fillId="0" borderId="1" xfId="10" applyNumberFormat="1" applyBorder="1" applyAlignment="1">
      <alignment horizontal="center" vertical="center" wrapText="1"/>
    </xf>
    <xf numFmtId="0" fontId="9" fillId="0" borderId="0" xfId="3" applyFont="1" applyAlignment="1" applyProtection="1">
      <alignment horizontal="center" vertical="center"/>
      <protection hidden="1"/>
    </xf>
    <xf numFmtId="0" fontId="35" fillId="12" borderId="1" xfId="5" applyFont="1" applyFill="1" applyBorder="1" applyAlignment="1" applyProtection="1">
      <alignment horizontal="center" vertical="center"/>
      <protection hidden="1"/>
    </xf>
    <xf numFmtId="0" fontId="9" fillId="0" borderId="0" xfId="3" applyFont="1" applyAlignment="1">
      <alignment horizontal="center" vertical="center"/>
    </xf>
    <xf numFmtId="0" fontId="8" fillId="12" borderId="26" xfId="5" applyFont="1" applyFill="1" applyBorder="1" applyAlignment="1" applyProtection="1">
      <alignment horizontal="center" vertical="center"/>
      <protection hidden="1"/>
    </xf>
    <xf numFmtId="0" fontId="8" fillId="12" borderId="27" xfId="5" applyFont="1" applyFill="1" applyBorder="1" applyAlignment="1" applyProtection="1">
      <alignment horizontal="center" vertical="center"/>
      <protection hidden="1"/>
    </xf>
    <xf numFmtId="0" fontId="8" fillId="12" borderId="28" xfId="5" applyFont="1" applyFill="1" applyBorder="1" applyAlignment="1" applyProtection="1">
      <alignment horizontal="center" vertical="center"/>
      <protection hidden="1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35" fillId="12" borderId="16" xfId="0" applyFont="1" applyFill="1" applyBorder="1" applyAlignment="1">
      <alignment horizontal="center" vertical="center"/>
    </xf>
    <xf numFmtId="0" fontId="35" fillId="12" borderId="16" xfId="0" applyFont="1" applyFill="1" applyBorder="1" applyAlignment="1" applyProtection="1">
      <alignment horizontal="right" vertical="center" indent="1"/>
      <protection hidden="1"/>
    </xf>
    <xf numFmtId="0" fontId="36" fillId="0" borderId="0" xfId="3" applyFont="1" applyAlignment="1">
      <alignment horizontal="center" vertical="center"/>
    </xf>
    <xf numFmtId="0" fontId="35" fillId="16" borderId="16" xfId="7" applyFont="1" applyFill="1" applyBorder="1" applyAlignment="1" applyProtection="1">
      <alignment horizontal="center" vertical="center" wrapText="1"/>
      <protection hidden="1"/>
    </xf>
    <xf numFmtId="0" fontId="44" fillId="12" borderId="16" xfId="0" applyFont="1" applyFill="1" applyBorder="1" applyAlignment="1">
      <alignment horizontal="center" vertical="center"/>
    </xf>
    <xf numFmtId="0" fontId="44" fillId="12" borderId="16" xfId="0" applyFont="1" applyFill="1" applyBorder="1" applyAlignment="1" applyProtection="1">
      <alignment horizontal="right" vertical="center" indent="1"/>
      <protection hidden="1"/>
    </xf>
    <xf numFmtId="0" fontId="46" fillId="0" borderId="0" xfId="3" applyFont="1" applyAlignment="1">
      <alignment horizontal="center" vertical="center"/>
    </xf>
    <xf numFmtId="0" fontId="44" fillId="16" borderId="16" xfId="7" applyFont="1" applyFill="1" applyBorder="1" applyAlignment="1" applyProtection="1">
      <alignment horizontal="center" vertical="center" wrapText="1"/>
      <protection hidden="1"/>
    </xf>
    <xf numFmtId="0" fontId="8" fillId="12" borderId="16" xfId="0" applyFont="1" applyFill="1" applyBorder="1" applyAlignment="1">
      <alignment horizontal="center" vertical="center"/>
    </xf>
    <xf numFmtId="0" fontId="8" fillId="12" borderId="16" xfId="0" applyFont="1" applyFill="1" applyBorder="1" applyAlignment="1" applyProtection="1">
      <alignment horizontal="right" vertical="center" indent="1"/>
      <protection hidden="1"/>
    </xf>
    <xf numFmtId="0" fontId="18" fillId="16" borderId="16" xfId="7" applyFont="1" applyFill="1" applyBorder="1" applyAlignment="1" applyProtection="1">
      <alignment horizontal="center" vertical="center" wrapText="1"/>
      <protection hidden="1"/>
    </xf>
    <xf numFmtId="0" fontId="12" fillId="0" borderId="0" xfId="3" applyFont="1" applyFill="1" applyAlignment="1">
      <alignment horizontal="center" vertical="center"/>
    </xf>
    <xf numFmtId="164" fontId="30" fillId="5" borderId="1" xfId="11" applyFont="1" applyFill="1" applyBorder="1" applyAlignment="1">
      <alignment horizontal="center"/>
    </xf>
    <xf numFmtId="0" fontId="30" fillId="3" borderId="28" xfId="10" applyFont="1" applyFill="1" applyBorder="1" applyAlignment="1">
      <alignment horizontal="center" vertical="center" wrapText="1"/>
    </xf>
    <xf numFmtId="0" fontId="30" fillId="3" borderId="18" xfId="10" applyFont="1" applyFill="1" applyBorder="1" applyAlignment="1">
      <alignment horizontal="center" vertical="center" wrapText="1"/>
    </xf>
    <xf numFmtId="0" fontId="2" fillId="0" borderId="1" xfId="10" applyBorder="1" applyAlignment="1">
      <alignment horizontal="center" vertical="center"/>
    </xf>
    <xf numFmtId="164" fontId="30" fillId="5" borderId="1" xfId="11" applyFont="1" applyFill="1" applyBorder="1" applyAlignment="1">
      <alignment horizontal="center" vertical="center"/>
    </xf>
    <xf numFmtId="0" fontId="32" fillId="11" borderId="12" xfId="0" applyFont="1" applyFill="1" applyBorder="1" applyAlignment="1">
      <alignment horizontal="center" vertical="center" readingOrder="2"/>
    </xf>
    <xf numFmtId="0" fontId="32" fillId="11" borderId="13" xfId="0" applyFont="1" applyFill="1" applyBorder="1" applyAlignment="1">
      <alignment horizontal="center" vertical="center" readingOrder="2"/>
    </xf>
    <xf numFmtId="0" fontId="28" fillId="6" borderId="8" xfId="0" applyFont="1" applyFill="1" applyBorder="1" applyAlignment="1">
      <alignment horizontal="right" vertical="center" wrapText="1"/>
    </xf>
    <xf numFmtId="0" fontId="28" fillId="6" borderId="10" xfId="0" applyFont="1" applyFill="1" applyBorder="1" applyAlignment="1">
      <alignment horizontal="right" vertical="center" wrapText="1"/>
    </xf>
    <xf numFmtId="0" fontId="28" fillId="6" borderId="6" xfId="0" applyFont="1" applyFill="1" applyBorder="1" applyAlignment="1">
      <alignment horizontal="center" vertical="center" wrapText="1"/>
    </xf>
    <xf numFmtId="0" fontId="28" fillId="6" borderId="7" xfId="0" applyFont="1" applyFill="1" applyBorder="1" applyAlignment="1">
      <alignment horizontal="center" vertical="center" wrapText="1"/>
    </xf>
    <xf numFmtId="0" fontId="28" fillId="3" borderId="6" xfId="0" applyFont="1" applyFill="1" applyBorder="1" applyAlignment="1">
      <alignment horizontal="center" vertical="center" wrapText="1"/>
    </xf>
    <xf numFmtId="0" fontId="28" fillId="3" borderId="7" xfId="0" applyFont="1" applyFill="1" applyBorder="1" applyAlignment="1">
      <alignment horizontal="center" vertical="center" wrapText="1"/>
    </xf>
    <xf numFmtId="0" fontId="28" fillId="6" borderId="31" xfId="0" applyFont="1" applyFill="1" applyBorder="1" applyAlignment="1">
      <alignment horizontal="center" vertical="center" wrapText="1"/>
    </xf>
    <xf numFmtId="0" fontId="28" fillId="6" borderId="30" xfId="0" applyFont="1" applyFill="1" applyBorder="1" applyAlignment="1">
      <alignment horizontal="center" vertical="center" wrapText="1"/>
    </xf>
    <xf numFmtId="0" fontId="28" fillId="3" borderId="5" xfId="0" applyFont="1" applyFill="1" applyBorder="1" applyAlignment="1">
      <alignment horizontal="center" vertical="center"/>
    </xf>
    <xf numFmtId="0" fontId="29" fillId="6" borderId="5" xfId="0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8" fillId="3" borderId="9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 wrapText="1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horizontal="center" vertical="center" wrapText="1"/>
    </xf>
    <xf numFmtId="164" fontId="28" fillId="5" borderId="1" xfId="1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165" fontId="28" fillId="5" borderId="1" xfId="1" applyNumberFormat="1" applyFont="1" applyFill="1" applyBorder="1" applyAlignment="1">
      <alignment horizontal="center"/>
    </xf>
    <xf numFmtId="0" fontId="28" fillId="6" borderId="5" xfId="0" applyFont="1" applyFill="1" applyBorder="1" applyAlignment="1">
      <alignment horizontal="center" vertical="center"/>
    </xf>
    <xf numFmtId="0" fontId="28" fillId="8" borderId="5" xfId="0" applyFont="1" applyFill="1" applyBorder="1" applyAlignment="1">
      <alignment horizontal="center" vertical="center"/>
    </xf>
    <xf numFmtId="0" fontId="2" fillId="0" borderId="0" xfId="10" applyAlignment="1">
      <alignment horizontal="center" vertical="center"/>
    </xf>
    <xf numFmtId="164" fontId="30" fillId="5" borderId="0" xfId="11" applyFont="1" applyFill="1" applyBorder="1" applyAlignment="1">
      <alignment horizontal="center" vertical="center"/>
    </xf>
    <xf numFmtId="164" fontId="30" fillId="5" borderId="1" xfId="1" applyFont="1" applyFill="1" applyBorder="1" applyAlignment="1">
      <alignment horizontal="center"/>
    </xf>
    <xf numFmtId="0" fontId="55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0" fillId="3" borderId="28" xfId="0" applyFont="1" applyFill="1" applyBorder="1" applyAlignment="1">
      <alignment horizontal="center" vertical="center" wrapText="1"/>
    </xf>
    <xf numFmtId="0" fontId="30" fillId="3" borderId="18" xfId="0" applyFont="1" applyFill="1" applyBorder="1" applyAlignment="1">
      <alignment horizontal="center" vertical="center" wrapText="1"/>
    </xf>
    <xf numFmtId="164" fontId="30" fillId="19" borderId="1" xfId="1" applyFont="1" applyFill="1" applyBorder="1" applyAlignment="1">
      <alignment horizontal="center"/>
    </xf>
    <xf numFmtId="0" fontId="30" fillId="19" borderId="1" xfId="0" applyFont="1" applyFill="1" applyBorder="1" applyAlignment="1">
      <alignment horizontal="center"/>
    </xf>
    <xf numFmtId="164" fontId="30" fillId="19" borderId="37" xfId="1" applyFont="1" applyFill="1" applyBorder="1" applyAlignment="1">
      <alignment horizontal="center"/>
    </xf>
    <xf numFmtId="0" fontId="30" fillId="0" borderId="1" xfId="0" applyFont="1" applyBorder="1" applyAlignment="1">
      <alignment horizontal="center" wrapText="1"/>
    </xf>
    <xf numFmtId="0" fontId="55" fillId="0" borderId="1" xfId="0" applyFont="1" applyBorder="1" applyAlignment="1">
      <alignment horizontal="right" vertical="center" wrapText="1" readingOrder="2"/>
    </xf>
    <xf numFmtId="0" fontId="55" fillId="0" borderId="1" xfId="0" applyFont="1" applyBorder="1" applyAlignment="1">
      <alignment horizontal="right" wrapText="1"/>
    </xf>
    <xf numFmtId="164" fontId="54" fillId="5" borderId="2" xfId="1" applyFont="1" applyFill="1" applyBorder="1" applyAlignment="1">
      <alignment horizontal="center"/>
    </xf>
    <xf numFmtId="164" fontId="54" fillId="5" borderId="4" xfId="1" applyFont="1" applyFill="1" applyBorder="1" applyAlignment="1">
      <alignment horizontal="center"/>
    </xf>
    <xf numFmtId="164" fontId="54" fillId="5" borderId="3" xfId="1" applyFont="1" applyFill="1" applyBorder="1" applyAlignment="1">
      <alignment horizontal="center"/>
    </xf>
    <xf numFmtId="164" fontId="30" fillId="5" borderId="32" xfId="1" applyFont="1" applyFill="1" applyBorder="1" applyAlignment="1">
      <alignment horizontal="center"/>
    </xf>
    <xf numFmtId="164" fontId="30" fillId="5" borderId="35" xfId="1" applyFont="1" applyFill="1" applyBorder="1" applyAlignment="1">
      <alignment horizontal="center"/>
    </xf>
    <xf numFmtId="164" fontId="30" fillId="19" borderId="1" xfId="1" applyFont="1" applyFill="1" applyBorder="1" applyAlignment="1">
      <alignment horizontal="center" vertical="center"/>
    </xf>
    <xf numFmtId="0" fontId="30" fillId="19" borderId="2" xfId="0" applyFont="1" applyFill="1" applyBorder="1" applyAlignment="1">
      <alignment horizontal="center" vertical="center"/>
    </xf>
    <xf numFmtId="0" fontId="30" fillId="19" borderId="3" xfId="0" applyFont="1" applyFill="1" applyBorder="1" applyAlignment="1">
      <alignment horizontal="center" vertical="center"/>
    </xf>
    <xf numFmtId="0" fontId="30" fillId="19" borderId="4" xfId="0" applyFont="1" applyFill="1" applyBorder="1" applyAlignment="1">
      <alignment horizontal="center" vertical="center"/>
    </xf>
    <xf numFmtId="164" fontId="30" fillId="5" borderId="1" xfId="1" applyFont="1" applyFill="1" applyBorder="1" applyAlignment="1">
      <alignment horizontal="center" vertical="center"/>
    </xf>
    <xf numFmtId="164" fontId="30" fillId="19" borderId="37" xfId="1" applyFont="1" applyFill="1" applyBorder="1" applyAlignment="1">
      <alignment horizontal="center" vertical="center"/>
    </xf>
    <xf numFmtId="164" fontId="56" fillId="5" borderId="2" xfId="1" applyFont="1" applyFill="1" applyBorder="1" applyAlignment="1">
      <alignment horizontal="center" vertical="center"/>
    </xf>
    <xf numFmtId="164" fontId="56" fillId="5" borderId="3" xfId="1" applyFont="1" applyFill="1" applyBorder="1" applyAlignment="1">
      <alignment horizontal="center" vertical="center"/>
    </xf>
    <xf numFmtId="164" fontId="56" fillId="5" borderId="4" xfId="1" applyFont="1" applyFill="1" applyBorder="1" applyAlignment="1">
      <alignment horizontal="center" vertical="center"/>
    </xf>
    <xf numFmtId="0" fontId="30" fillId="19" borderId="2" xfId="0" applyFont="1" applyFill="1" applyBorder="1" applyAlignment="1">
      <alignment horizontal="center"/>
    </xf>
    <xf numFmtId="0" fontId="30" fillId="19" borderId="3" xfId="0" applyFont="1" applyFill="1" applyBorder="1" applyAlignment="1">
      <alignment horizontal="center"/>
    </xf>
    <xf numFmtId="0" fontId="30" fillId="19" borderId="4" xfId="0" applyFont="1" applyFill="1" applyBorder="1" applyAlignment="1">
      <alignment horizontal="center"/>
    </xf>
  </cellXfs>
  <cellStyles count="12">
    <cellStyle name="Comma" xfId="1" builtinId="3"/>
    <cellStyle name="Comma 2" xfId="6" xr:uid="{CA189C23-33E1-4EF6-AB6C-ED615689C162}"/>
    <cellStyle name="Comma 2 2" xfId="8" xr:uid="{BA1EB0F7-39E7-482E-AC6F-4E497FD41A97}"/>
    <cellStyle name="Comma 2 3" xfId="11" xr:uid="{0CE95812-A25B-445F-832B-3FDD816E61F2}"/>
    <cellStyle name="Comma 3" xfId="9" xr:uid="{DB288E47-F5B3-4FC3-A0F5-7EBBF5BE63FE}"/>
    <cellStyle name="Currency 2" xfId="4" xr:uid="{58060004-FC29-49FE-8F4D-F15B653B3ADB}"/>
    <cellStyle name="Percent" xfId="2" builtinId="5"/>
    <cellStyle name="ارتباط تشعبي" xfId="3" builtinId="8"/>
    <cellStyle name="عادي" xfId="0" builtinId="0"/>
    <cellStyle name="عادي 2" xfId="5" xr:uid="{7FB71BD4-3602-4CB9-9284-95FFDA77AC9F}"/>
    <cellStyle name="عادي 2 2" xfId="7" xr:uid="{89450C58-40CD-427D-9A08-57F18AD057DF}"/>
    <cellStyle name="عادي 2 3" xfId="10" xr:uid="{B5FFEC91-A3B9-44EE-A278-15389AD311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akkal Majalla" panose="02000000000000000000" pitchFamily="2" charset="-78"/>
                <a:ea typeface="+mn-ea"/>
                <a:cs typeface="Sakkal Majalla" panose="02000000000000000000" pitchFamily="2" charset="-78"/>
              </a:defRPr>
            </a:pPr>
            <a:r>
              <a:rPr lang="ar-SA" b="1">
                <a:latin typeface="Sakkal Majalla" panose="02000000000000000000" pitchFamily="2" charset="-78"/>
                <a:cs typeface="Sakkal Majalla" panose="02000000000000000000" pitchFamily="2" charset="-78"/>
              </a:rPr>
              <a:t>رسم</a:t>
            </a:r>
            <a:r>
              <a:rPr lang="ar-SA" b="1" baseline="0">
                <a:latin typeface="Sakkal Majalla" panose="02000000000000000000" pitchFamily="2" charset="-78"/>
                <a:cs typeface="Sakkal Majalla" panose="02000000000000000000" pitchFamily="2" charset="-78"/>
              </a:rPr>
              <a:t> نقطة التعادل</a:t>
            </a:r>
            <a:endParaRPr lang="ar-SA" b="1">
              <a:latin typeface="Sakkal Majalla" panose="02000000000000000000" pitchFamily="2" charset="-78"/>
              <a:cs typeface="Sakkal Majalla" panose="02000000000000000000" pitchFamily="2" charset="-78"/>
            </a:endParaRPr>
          </a:p>
        </c:rich>
      </c:tx>
      <c:layout>
        <c:manualLayout>
          <c:xMode val="edge"/>
          <c:yMode val="edge"/>
          <c:x val="0.4027915573053368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akkal Majalla" panose="02000000000000000000" pitchFamily="2" charset="-78"/>
              <a:ea typeface="+mn-ea"/>
              <a:cs typeface="Sakkal Majalla" panose="02000000000000000000" pitchFamily="2" charset="-78"/>
            </a:defRPr>
          </a:pPr>
          <a:endParaRPr lang="ar-SA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'تحليل التعادل '!$F$7:$J$7</c:f>
              <c:strCache>
                <c:ptCount val="5"/>
                <c:pt idx="0">
                  <c:v>السنة 1</c:v>
                </c:pt>
                <c:pt idx="1">
                  <c:v>السنة 2</c:v>
                </c:pt>
                <c:pt idx="2">
                  <c:v>السنة 3</c:v>
                </c:pt>
                <c:pt idx="3">
                  <c:v>السنة 4</c:v>
                </c:pt>
                <c:pt idx="4">
                  <c:v>السنة 5</c:v>
                </c:pt>
              </c:strCache>
            </c:strRef>
          </c:cat>
          <c:val>
            <c:numRef>
              <c:f>'تحليل التعادل '!$F$9:$J$9</c:f>
              <c:numCache>
                <c:formatCode>_-* #,##0_-;_-* #,##0\-;_-* "-"??_-;_-@_-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9-4884-8278-302D77C4E56B}"/>
            </c:ext>
          </c:extLst>
        </c:ser>
        <c:ser>
          <c:idx val="1"/>
          <c:order val="1"/>
          <c:spPr>
            <a:solidFill>
              <a:srgbClr val="92D050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akkal Majalla" panose="02000000000000000000" pitchFamily="2" charset="-78"/>
                    <a:ea typeface="+mn-ea"/>
                    <a:cs typeface="Sakkal Majalla" panose="02000000000000000000" pitchFamily="2" charset="-78"/>
                  </a:defRPr>
                </a:pPr>
                <a:endParaRPr lang="ar-S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'تحليل التعادل '!$F$7:$J$7</c:f>
              <c:strCache>
                <c:ptCount val="5"/>
                <c:pt idx="0">
                  <c:v>السنة 1</c:v>
                </c:pt>
                <c:pt idx="1">
                  <c:v>السنة 2</c:v>
                </c:pt>
                <c:pt idx="2">
                  <c:v>السنة 3</c:v>
                </c:pt>
                <c:pt idx="3">
                  <c:v>السنة 4</c:v>
                </c:pt>
                <c:pt idx="4">
                  <c:v>السنة 5</c:v>
                </c:pt>
              </c:strCache>
            </c:strRef>
          </c:cat>
          <c:val>
            <c:numRef>
              <c:f>'تحليل التعادل '!$F$13:$J$13</c:f>
              <c:numCache>
                <c:formatCode>_-* #,##0_-;_-* #,##0\-;_-* "-"??_-;_-@_-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E9-4884-8278-302D77C4E5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0631296"/>
        <c:axId val="198810944"/>
        <c:axId val="0"/>
      </c:bar3DChart>
      <c:catAx>
        <c:axId val="16063129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98810944"/>
        <c:crosses val="autoZero"/>
        <c:auto val="1"/>
        <c:lblAlgn val="ctr"/>
        <c:lblOffset val="100"/>
        <c:noMultiLvlLbl val="0"/>
      </c:catAx>
      <c:valAx>
        <c:axId val="19881094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_-* #,##0\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6063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rgbClr val="FF0000"/>
                </a:solidFill>
                <a:latin typeface="+mj-lt"/>
                <a:ea typeface="+mj-ea"/>
                <a:cs typeface="+mj-cs"/>
              </a:defRPr>
            </a:pPr>
            <a:r>
              <a:rPr lang="ur-PK">
                <a:solidFill>
                  <a:srgbClr val="FF0000"/>
                </a:solidFill>
              </a:rPr>
              <a:t>صافي الربح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rgbClr val="FF0000"/>
              </a:solidFill>
              <a:latin typeface="+mj-lt"/>
              <a:ea typeface="+mj-ea"/>
              <a:cs typeface="+mj-cs"/>
            </a:defRPr>
          </a:pPr>
          <a:endParaRPr lang="ar-S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'قائمة الدخل التقديرية'!$D$4:$H$4</c:f>
              <c:strCache>
                <c:ptCount val="5"/>
                <c:pt idx="0">
                  <c:v>السنة 1</c:v>
                </c:pt>
                <c:pt idx="1">
                  <c:v>السنة 2</c:v>
                </c:pt>
                <c:pt idx="2">
                  <c:v>السنة 3</c:v>
                </c:pt>
                <c:pt idx="3">
                  <c:v>السنة 4</c:v>
                </c:pt>
                <c:pt idx="4">
                  <c:v>السنة 5</c:v>
                </c:pt>
              </c:strCache>
            </c:strRef>
          </c:cat>
          <c:val>
            <c:numRef>
              <c:f>'قائمة الدخل التقديرية'!$D$23:$H$23</c:f>
              <c:numCache>
                <c:formatCode>[$SAR]\ #,##0_);\([$SAR]\ #,##0\)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BC-4168-8FDF-D96F3E8B0D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-1437798592"/>
        <c:axId val="-1437788256"/>
      </c:barChart>
      <c:catAx>
        <c:axId val="-143779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-1437788256"/>
        <c:crosses val="autoZero"/>
        <c:auto val="1"/>
        <c:lblAlgn val="ctr"/>
        <c:lblOffset val="100"/>
        <c:noMultiLvlLbl val="0"/>
      </c:catAx>
      <c:valAx>
        <c:axId val="-143778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[&gt;=1000000]\ #,##0.0,,&quot;M&quot;;[&gt;0]\ #,##0.0,&quot;K&quot;;#,##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-143779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baseline="0">
                <a:solidFill>
                  <a:schemeClr val="accent5">
                    <a:lumMod val="50000"/>
                  </a:schemeClr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+mn-cs"/>
              </a:defRPr>
            </a:pPr>
            <a:r>
              <a:rPr lang="ur-PK" b="1"/>
              <a:t>صافي التدفقات النقدية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baseline="0">
              <a:solidFill>
                <a:schemeClr val="accent5">
                  <a:lumMod val="50000"/>
                </a:schemeClr>
              </a:solidFill>
              <a:latin typeface="Source Sans Pro" panose="020B0503030403020204" pitchFamily="34" charset="0"/>
              <a:ea typeface="Source Sans Pro" panose="020B0503030403020204" pitchFamily="34" charset="0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'مؤشرات التقييم المسبح'!$F$4</c:f>
              <c:strCache>
                <c:ptCount val="1"/>
                <c:pt idx="0">
                  <c:v>صافي التدفقات النقدية </c:v>
                </c:pt>
              </c:strCache>
            </c:strRef>
          </c:tx>
          <c:spPr>
            <a:solidFill>
              <a:srgbClr val="4BC0AF"/>
            </a:solidFill>
            <a:ln>
              <a:noFill/>
            </a:ln>
            <a:effectLst/>
          </c:spPr>
          <c:invertIfNegative val="1"/>
          <c:dLbls>
            <c:numFmt formatCode="[&gt;=1000000]\ #,##0.0,,&quot;M&quot;;[&gt;0]\ #,##0.0,&quot;K&quot;;#,##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accent5">
                        <a:lumMod val="50000"/>
                      </a:schemeClr>
                    </a:solidFill>
                    <a:latin typeface="Source Sans Pro" panose="020B0503030403020204" pitchFamily="34" charset="0"/>
                    <a:ea typeface="Source Sans Pro" panose="020B0503030403020204" pitchFamily="34" charset="0"/>
                    <a:cs typeface="+mn-cs"/>
                  </a:defRPr>
                </a:pPr>
                <a:endParaRPr lang="ar-S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'مؤشرات التقييم المسبح'!$B$5:$B$10</c:f>
              <c:strCache>
                <c:ptCount val="6"/>
                <c:pt idx="0">
                  <c:v>0</c:v>
                </c:pt>
                <c:pt idx="1">
                  <c:v>السنة 1</c:v>
                </c:pt>
                <c:pt idx="2">
                  <c:v>السنة 2</c:v>
                </c:pt>
                <c:pt idx="3">
                  <c:v>السنة 3</c:v>
                </c:pt>
                <c:pt idx="4">
                  <c:v>السنة 4</c:v>
                </c:pt>
                <c:pt idx="5">
                  <c:v>السنة 5</c:v>
                </c:pt>
              </c:strCache>
            </c:strRef>
          </c:cat>
          <c:val>
            <c:numRef>
              <c:f>'مؤشرات التقييم المسبح'!$F$5:$F$10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121548.93970320003</c:v>
                </c:pt>
                <c:pt idx="4">
                  <c:v>138167.02327226408</c:v>
                </c:pt>
                <c:pt idx="5">
                  <c:v>156046.30584695941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AD57-410B-8B91-B4D9E2E8B6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-1515682000"/>
        <c:axId val="-1515689616"/>
      </c:barChart>
      <c:catAx>
        <c:axId val="-151568200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accent5">
                    <a:lumMod val="50000"/>
                  </a:schemeClr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+mn-cs"/>
              </a:defRPr>
            </a:pPr>
            <a:endParaRPr lang="ar-SA"/>
          </a:p>
        </c:txPr>
        <c:crossAx val="-1515689616"/>
        <c:crosses val="autoZero"/>
        <c:auto val="1"/>
        <c:lblAlgn val="ctr"/>
        <c:lblOffset val="100"/>
        <c:noMultiLvlLbl val="0"/>
      </c:catAx>
      <c:valAx>
        <c:axId val="-1515689616"/>
        <c:scaling>
          <c:orientation val="minMax"/>
        </c:scaling>
        <c:delete val="1"/>
        <c:axPos val="t"/>
        <c:numFmt formatCode="_-* #,##0_-;\-* #,##0_-;_-* &quot;-&quot;??_-;_-@_-" sourceLinked="1"/>
        <c:majorTickMark val="none"/>
        <c:minorTickMark val="none"/>
        <c:tickLblPos val="nextTo"/>
        <c:crossAx val="-151568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>
      <a:outerShdw blurRad="482600" sx="89000" sy="89000" algn="ctr" rotWithShape="0">
        <a:srgbClr val="000000">
          <a:alpha val="35000"/>
        </a:srgbClr>
      </a:outerShdw>
    </a:effectLst>
  </c:spPr>
  <c:txPr>
    <a:bodyPr/>
    <a:lstStyle/>
    <a:p>
      <a:pPr>
        <a:defRPr>
          <a:solidFill>
            <a:schemeClr val="accent5">
              <a:lumMod val="50000"/>
            </a:schemeClr>
          </a:solidFill>
          <a:latin typeface="Source Sans Pro" panose="020B0503030403020204" pitchFamily="34" charset="0"/>
          <a:ea typeface="Source Sans Pro" panose="020B0503030403020204" pitchFamily="34" charset="0"/>
        </a:defRPr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400">
                <a:latin typeface="Sakkal Majalla" panose="02000000000000000000" pitchFamily="2" charset="-78"/>
                <a:cs typeface="Sakkal Majalla" panose="02000000000000000000" pitchFamily="2" charset="-78"/>
              </a:defRPr>
            </a:pPr>
            <a:r>
              <a:rPr lang="ur-PK" sz="1400">
                <a:latin typeface="Sakkal Majalla" panose="02000000000000000000" pitchFamily="2" charset="-78"/>
                <a:cs typeface="Sakkal Majalla" panose="02000000000000000000" pitchFamily="2" charset="-78"/>
              </a:rPr>
              <a:t>فترة الاسترداد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'مؤشرات التقييم المسبح'!$D$18:$D$22</c:f>
              <c:numCache>
                <c:formatCode>_-* #,##0_-;\-* #,##0_-;_-* "-"??_-;_-@_-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69-4E7D-ACB5-708787850ACD}"/>
            </c:ext>
          </c:extLst>
        </c:ser>
        <c:ser>
          <c:idx val="1"/>
          <c:order val="1"/>
          <c:marker>
            <c:symbol val="circle"/>
            <c:size val="14"/>
            <c:spPr>
              <a:solidFill>
                <a:schemeClr val="accent1">
                  <a:alpha val="45000"/>
                </a:schemeClr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'مؤشرات التقييم المسبح'!$E$18:$E$22</c:f>
              <c:numCache>
                <c:formatCode>[$SAR]\ 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69-4E7D-ACB5-708787850ACD}"/>
            </c:ext>
          </c:extLst>
        </c:ser>
        <c:ser>
          <c:idx val="2"/>
          <c:order val="2"/>
          <c:marker>
            <c:symbol val="circle"/>
            <c:size val="14"/>
            <c:spPr>
              <a:solidFill>
                <a:schemeClr val="accent2">
                  <a:alpha val="45000"/>
                </a:schemeClr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'مؤشرات التقييم المسبح'!$F$18:$F$22</c:f>
              <c:numCache>
                <c:formatCode>[$SAR]\ 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69-4E7D-ACB5-708787850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15682544"/>
        <c:axId val="-1515684720"/>
      </c:lineChart>
      <c:catAx>
        <c:axId val="-151568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ar-SA"/>
          </a:p>
        </c:txPr>
        <c:crossAx val="-1515684720"/>
        <c:crosses val="autoZero"/>
        <c:auto val="1"/>
        <c:lblAlgn val="ctr"/>
        <c:lblOffset val="700"/>
        <c:noMultiLvlLbl val="0"/>
      </c:catAx>
      <c:valAx>
        <c:axId val="-15156847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out"/>
        <c:minorTickMark val="none"/>
        <c:tickLblPos val="nextTo"/>
        <c:crossAx val="-15156825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>
          <a:alpha val="99000"/>
        </a:schemeClr>
      </a:solidFill>
      <a:round/>
    </a:ln>
    <a:effectLst>
      <a:outerShdw blurRad="482600" sx="89000" sy="89000" algn="ctr" rotWithShape="0">
        <a:srgbClr val="000000">
          <a:alpha val="35000"/>
        </a:srgbClr>
      </a:outerShdw>
    </a:effectLst>
  </c:spPr>
  <c:txPr>
    <a:bodyPr/>
    <a:lstStyle/>
    <a:p>
      <a:pPr>
        <a:defRPr>
          <a:solidFill>
            <a:schemeClr val="tx2">
              <a:lumMod val="50000"/>
            </a:schemeClr>
          </a:solidFill>
          <a:latin typeface="Source Sans Pro" panose="020B0503030403020204" pitchFamily="34" charset="0"/>
          <a:ea typeface="Source Sans Pro" panose="020B0503030403020204" pitchFamily="34" charset="0"/>
        </a:defRPr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baseline="0">
                <a:solidFill>
                  <a:schemeClr val="accent5">
                    <a:lumMod val="50000"/>
                  </a:schemeClr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+mn-cs"/>
              </a:defRPr>
            </a:pPr>
            <a:r>
              <a:rPr lang="ur-PK" b="1"/>
              <a:t>صافي التدفقات النقدية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baseline="0">
              <a:solidFill>
                <a:schemeClr val="accent5">
                  <a:lumMod val="50000"/>
                </a:schemeClr>
              </a:solidFill>
              <a:latin typeface="Source Sans Pro" panose="020B0503030403020204" pitchFamily="34" charset="0"/>
              <a:ea typeface="Source Sans Pro" panose="020B0503030403020204" pitchFamily="34" charset="0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'مؤشرات التقييم البادل'!$F$4</c:f>
              <c:strCache>
                <c:ptCount val="1"/>
                <c:pt idx="0">
                  <c:v>صافي التدفقات النقدية </c:v>
                </c:pt>
              </c:strCache>
            </c:strRef>
          </c:tx>
          <c:spPr>
            <a:solidFill>
              <a:srgbClr val="4BC0AF"/>
            </a:solidFill>
            <a:ln>
              <a:noFill/>
            </a:ln>
            <a:effectLst/>
          </c:spPr>
          <c:invertIfNegative val="1"/>
          <c:dLbls>
            <c:numFmt formatCode="[&gt;=1000000]\ #,##0.0,,&quot;M&quot;;[&gt;0]\ #,##0.0,&quot;K&quot;;#,##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accent5">
                        <a:lumMod val="50000"/>
                      </a:schemeClr>
                    </a:solidFill>
                    <a:latin typeface="Source Sans Pro" panose="020B0503030403020204" pitchFamily="34" charset="0"/>
                    <a:ea typeface="Source Sans Pro" panose="020B0503030403020204" pitchFamily="34" charset="0"/>
                    <a:cs typeface="+mn-cs"/>
                  </a:defRPr>
                </a:pPr>
                <a:endParaRPr lang="ar-S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'مؤشرات التقييم البادل'!$B$5:$B$10</c:f>
              <c:strCache>
                <c:ptCount val="6"/>
                <c:pt idx="0">
                  <c:v>0</c:v>
                </c:pt>
                <c:pt idx="1">
                  <c:v>السنة 1</c:v>
                </c:pt>
                <c:pt idx="2">
                  <c:v>السنة 2</c:v>
                </c:pt>
                <c:pt idx="3">
                  <c:v>السنة 3</c:v>
                </c:pt>
                <c:pt idx="4">
                  <c:v>السنة 4</c:v>
                </c:pt>
                <c:pt idx="5">
                  <c:v>السنة 5</c:v>
                </c:pt>
              </c:strCache>
            </c:strRef>
          </c:cat>
          <c:val>
            <c:numRef>
              <c:f>'مؤشرات التقييم البادل'!$F$5:$F$10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A75E-4585-8E15-E28CA37B95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-1515682000"/>
        <c:axId val="-1515689616"/>
      </c:barChart>
      <c:catAx>
        <c:axId val="-151568200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accent5">
                    <a:lumMod val="50000"/>
                  </a:schemeClr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+mn-cs"/>
              </a:defRPr>
            </a:pPr>
            <a:endParaRPr lang="ar-SA"/>
          </a:p>
        </c:txPr>
        <c:crossAx val="-1515689616"/>
        <c:crosses val="autoZero"/>
        <c:auto val="1"/>
        <c:lblAlgn val="ctr"/>
        <c:lblOffset val="100"/>
        <c:noMultiLvlLbl val="0"/>
      </c:catAx>
      <c:valAx>
        <c:axId val="-1515689616"/>
        <c:scaling>
          <c:orientation val="minMax"/>
        </c:scaling>
        <c:delete val="1"/>
        <c:axPos val="t"/>
        <c:numFmt formatCode="_-* #,##0_-;\-* #,##0_-;_-* &quot;-&quot;??_-;_-@_-" sourceLinked="1"/>
        <c:majorTickMark val="none"/>
        <c:minorTickMark val="none"/>
        <c:tickLblPos val="nextTo"/>
        <c:crossAx val="-151568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>
      <a:outerShdw blurRad="482600" sx="89000" sy="89000" algn="ctr" rotWithShape="0">
        <a:srgbClr val="000000">
          <a:alpha val="35000"/>
        </a:srgbClr>
      </a:outerShdw>
    </a:effectLst>
  </c:spPr>
  <c:txPr>
    <a:bodyPr/>
    <a:lstStyle/>
    <a:p>
      <a:pPr>
        <a:defRPr>
          <a:solidFill>
            <a:schemeClr val="accent5">
              <a:lumMod val="50000"/>
            </a:schemeClr>
          </a:solidFill>
          <a:latin typeface="Source Sans Pro" panose="020B0503030403020204" pitchFamily="34" charset="0"/>
          <a:ea typeface="Source Sans Pro" panose="020B0503030403020204" pitchFamily="34" charset="0"/>
        </a:defRPr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400">
                <a:latin typeface="Sakkal Majalla" panose="02000000000000000000" pitchFamily="2" charset="-78"/>
                <a:cs typeface="Sakkal Majalla" panose="02000000000000000000" pitchFamily="2" charset="-78"/>
              </a:defRPr>
            </a:pPr>
            <a:r>
              <a:rPr lang="ur-PK" sz="1400">
                <a:latin typeface="Sakkal Majalla" panose="02000000000000000000" pitchFamily="2" charset="-78"/>
                <a:cs typeface="Sakkal Majalla" panose="02000000000000000000" pitchFamily="2" charset="-78"/>
              </a:rPr>
              <a:t>فترة الاسترداد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'مؤشرات التقييم البادل'!$D$18:$D$22</c:f>
              <c:numCache>
                <c:formatCode>_-* #,##0_-;\-* #,##0_-;_-* "-"??_-;_-@_-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10-4EA5-AE46-69934DC0D0DD}"/>
            </c:ext>
          </c:extLst>
        </c:ser>
        <c:ser>
          <c:idx val="1"/>
          <c:order val="1"/>
          <c:marker>
            <c:symbol val="circle"/>
            <c:size val="14"/>
            <c:spPr>
              <a:solidFill>
                <a:schemeClr val="accent1">
                  <a:alpha val="45000"/>
                </a:schemeClr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'مؤشرات التقييم البادل'!$E$18:$E$22</c:f>
              <c:numCache>
                <c:formatCode>[$SAR]\ 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10-4EA5-AE46-69934DC0D0DD}"/>
            </c:ext>
          </c:extLst>
        </c:ser>
        <c:ser>
          <c:idx val="2"/>
          <c:order val="2"/>
          <c:marker>
            <c:symbol val="circle"/>
            <c:size val="14"/>
            <c:spPr>
              <a:solidFill>
                <a:schemeClr val="accent2">
                  <a:alpha val="45000"/>
                </a:schemeClr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'مؤشرات التقييم البادل'!$F$18:$F$22</c:f>
              <c:numCache>
                <c:formatCode>[$SAR]\ 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10-4EA5-AE46-69934DC0D0D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1515682544"/>
        <c:axId val="-1515684720"/>
      </c:lineChart>
      <c:catAx>
        <c:axId val="-151568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ar-SA"/>
          </a:p>
        </c:txPr>
        <c:crossAx val="-1515684720"/>
        <c:crosses val="autoZero"/>
        <c:auto val="1"/>
        <c:lblAlgn val="ctr"/>
        <c:lblOffset val="700"/>
        <c:noMultiLvlLbl val="0"/>
      </c:catAx>
      <c:valAx>
        <c:axId val="-15156847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out"/>
        <c:minorTickMark val="none"/>
        <c:tickLblPos val="nextTo"/>
        <c:crossAx val="-15156825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>
          <a:alpha val="99000"/>
        </a:schemeClr>
      </a:solidFill>
      <a:round/>
    </a:ln>
    <a:effectLst>
      <a:outerShdw blurRad="482600" sx="89000" sy="89000" algn="ctr" rotWithShape="0">
        <a:srgbClr val="000000">
          <a:alpha val="35000"/>
        </a:srgbClr>
      </a:outerShdw>
    </a:effectLst>
  </c:spPr>
  <c:txPr>
    <a:bodyPr/>
    <a:lstStyle/>
    <a:p>
      <a:pPr>
        <a:defRPr>
          <a:solidFill>
            <a:schemeClr val="tx2">
              <a:lumMod val="50000"/>
            </a:schemeClr>
          </a:solidFill>
          <a:latin typeface="Source Sans Pro" panose="020B0503030403020204" pitchFamily="34" charset="0"/>
          <a:ea typeface="Source Sans Pro" panose="020B0503030403020204" pitchFamily="34" charset="0"/>
        </a:defRPr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baseline="0">
                <a:solidFill>
                  <a:schemeClr val="accent5">
                    <a:lumMod val="50000"/>
                  </a:schemeClr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+mn-cs"/>
              </a:defRPr>
            </a:pPr>
            <a:r>
              <a:rPr lang="ur-PK" b="1"/>
              <a:t>صافي التدفقات النقدية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baseline="0">
              <a:solidFill>
                <a:schemeClr val="accent5">
                  <a:lumMod val="50000"/>
                </a:schemeClr>
              </a:solidFill>
              <a:latin typeface="Source Sans Pro" panose="020B0503030403020204" pitchFamily="34" charset="0"/>
              <a:ea typeface="Source Sans Pro" panose="020B0503030403020204" pitchFamily="34" charset="0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'مؤشرات التقييم الملعب'!$F$4</c:f>
              <c:strCache>
                <c:ptCount val="1"/>
                <c:pt idx="0">
                  <c:v>صافي التدفقات النقدية </c:v>
                </c:pt>
              </c:strCache>
            </c:strRef>
          </c:tx>
          <c:spPr>
            <a:solidFill>
              <a:srgbClr val="4BC0AF"/>
            </a:solidFill>
            <a:ln>
              <a:noFill/>
            </a:ln>
            <a:effectLst/>
          </c:spPr>
          <c:invertIfNegative val="1"/>
          <c:dLbls>
            <c:numFmt formatCode="[&gt;=1000000]\ #,##0.0,,&quot;M&quot;;[&gt;0]\ #,##0.0,&quot;K&quot;;#,##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accent5">
                        <a:lumMod val="50000"/>
                      </a:schemeClr>
                    </a:solidFill>
                    <a:latin typeface="Source Sans Pro" panose="020B0503030403020204" pitchFamily="34" charset="0"/>
                    <a:ea typeface="Source Sans Pro" panose="020B0503030403020204" pitchFamily="34" charset="0"/>
                    <a:cs typeface="+mn-cs"/>
                  </a:defRPr>
                </a:pPr>
                <a:endParaRPr lang="ar-S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'مؤشرات التقييم الملعب'!$B$5:$B$10</c:f>
              <c:strCache>
                <c:ptCount val="6"/>
                <c:pt idx="0">
                  <c:v>0</c:v>
                </c:pt>
                <c:pt idx="1">
                  <c:v>السنة 1</c:v>
                </c:pt>
                <c:pt idx="2">
                  <c:v>السنة 2</c:v>
                </c:pt>
                <c:pt idx="3">
                  <c:v>السنة 3</c:v>
                </c:pt>
                <c:pt idx="4">
                  <c:v>السنة 4</c:v>
                </c:pt>
                <c:pt idx="5">
                  <c:v>السنة 5</c:v>
                </c:pt>
              </c:strCache>
            </c:strRef>
          </c:cat>
          <c:val>
            <c:numRef>
              <c:f>'مؤشرات التقييم الملعب'!$F$5:$F$10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124010.7777032</c:v>
                </c:pt>
                <c:pt idx="4">
                  <c:v>139075.68993226404</c:v>
                </c:pt>
                <c:pt idx="5">
                  <c:v>155293.07917315935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61BB-49AE-980C-6FF16AA39A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-1515682000"/>
        <c:axId val="-1515689616"/>
      </c:barChart>
      <c:catAx>
        <c:axId val="-151568200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accent5">
                    <a:lumMod val="50000"/>
                  </a:schemeClr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+mn-cs"/>
              </a:defRPr>
            </a:pPr>
            <a:endParaRPr lang="ar-SA"/>
          </a:p>
        </c:txPr>
        <c:crossAx val="-1515689616"/>
        <c:crosses val="autoZero"/>
        <c:auto val="1"/>
        <c:lblAlgn val="ctr"/>
        <c:lblOffset val="100"/>
        <c:noMultiLvlLbl val="0"/>
      </c:catAx>
      <c:valAx>
        <c:axId val="-1515689616"/>
        <c:scaling>
          <c:orientation val="minMax"/>
        </c:scaling>
        <c:delete val="1"/>
        <c:axPos val="t"/>
        <c:numFmt formatCode="_-* #,##0_-;\-* #,##0_-;_-* &quot;-&quot;??_-;_-@_-" sourceLinked="1"/>
        <c:majorTickMark val="none"/>
        <c:minorTickMark val="none"/>
        <c:tickLblPos val="nextTo"/>
        <c:crossAx val="-151568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>
      <a:outerShdw blurRad="482600" sx="89000" sy="89000" algn="ctr" rotWithShape="0">
        <a:srgbClr val="000000">
          <a:alpha val="35000"/>
        </a:srgbClr>
      </a:outerShdw>
    </a:effectLst>
  </c:spPr>
  <c:txPr>
    <a:bodyPr/>
    <a:lstStyle/>
    <a:p>
      <a:pPr>
        <a:defRPr>
          <a:solidFill>
            <a:schemeClr val="accent5">
              <a:lumMod val="50000"/>
            </a:schemeClr>
          </a:solidFill>
          <a:latin typeface="Source Sans Pro" panose="020B0503030403020204" pitchFamily="34" charset="0"/>
          <a:ea typeface="Source Sans Pro" panose="020B0503030403020204" pitchFamily="34" charset="0"/>
        </a:defRPr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400">
                <a:latin typeface="Sakkal Majalla" panose="02000000000000000000" pitchFamily="2" charset="-78"/>
                <a:cs typeface="Sakkal Majalla" panose="02000000000000000000" pitchFamily="2" charset="-78"/>
              </a:defRPr>
            </a:pPr>
            <a:r>
              <a:rPr lang="ur-PK" sz="1400">
                <a:latin typeface="Sakkal Majalla" panose="02000000000000000000" pitchFamily="2" charset="-78"/>
                <a:cs typeface="Sakkal Majalla" panose="02000000000000000000" pitchFamily="2" charset="-78"/>
              </a:rPr>
              <a:t>فترة الاسترداد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'مؤشرات التقييم الملعب'!$D$18:$D$22</c:f>
              <c:numCache>
                <c:formatCode>_-* #,##0_-;\-* #,##0_-;_-* "-"??_-;_-@_-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1D-4A8D-9689-1F94C8BBF5E0}"/>
            </c:ext>
          </c:extLst>
        </c:ser>
        <c:ser>
          <c:idx val="1"/>
          <c:order val="1"/>
          <c:marker>
            <c:symbol val="circle"/>
            <c:size val="14"/>
            <c:spPr>
              <a:solidFill>
                <a:schemeClr val="accent1">
                  <a:alpha val="45000"/>
                </a:schemeClr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'مؤشرات التقييم الملعب'!$E$18:$E$22</c:f>
              <c:numCache>
                <c:formatCode>[$SAR]\ 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1D-4A8D-9689-1F94C8BBF5E0}"/>
            </c:ext>
          </c:extLst>
        </c:ser>
        <c:ser>
          <c:idx val="2"/>
          <c:order val="2"/>
          <c:marker>
            <c:symbol val="circle"/>
            <c:size val="14"/>
            <c:spPr>
              <a:solidFill>
                <a:schemeClr val="accent2">
                  <a:alpha val="45000"/>
                </a:schemeClr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'مؤشرات التقييم الملعب'!$F$18:$F$22</c:f>
              <c:numCache>
                <c:formatCode>[$SAR]\ 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1D-4A8D-9689-1F94C8BBF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15682544"/>
        <c:axId val="-1515684720"/>
      </c:lineChart>
      <c:catAx>
        <c:axId val="-151568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ar-SA"/>
          </a:p>
        </c:txPr>
        <c:crossAx val="-1515684720"/>
        <c:crosses val="autoZero"/>
        <c:auto val="1"/>
        <c:lblAlgn val="ctr"/>
        <c:lblOffset val="700"/>
        <c:noMultiLvlLbl val="0"/>
      </c:catAx>
      <c:valAx>
        <c:axId val="-15156847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out"/>
        <c:minorTickMark val="none"/>
        <c:tickLblPos val="nextTo"/>
        <c:crossAx val="-15156825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>
          <a:alpha val="99000"/>
        </a:schemeClr>
      </a:solidFill>
      <a:round/>
    </a:ln>
    <a:effectLst>
      <a:outerShdw blurRad="482600" sx="89000" sy="89000" algn="ctr" rotWithShape="0">
        <a:srgbClr val="000000">
          <a:alpha val="35000"/>
        </a:srgbClr>
      </a:outerShdw>
    </a:effectLst>
  </c:spPr>
  <c:txPr>
    <a:bodyPr/>
    <a:lstStyle/>
    <a:p>
      <a:pPr>
        <a:defRPr>
          <a:solidFill>
            <a:schemeClr val="tx2">
              <a:lumMod val="50000"/>
            </a:schemeClr>
          </a:solidFill>
          <a:latin typeface="Source Sans Pro" panose="020B0503030403020204" pitchFamily="34" charset="0"/>
          <a:ea typeface="Source Sans Pro" panose="020B0503030403020204" pitchFamily="34" charset="0"/>
        </a:defRPr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baseline="0">
                <a:solidFill>
                  <a:schemeClr val="accent5">
                    <a:lumMod val="50000"/>
                  </a:schemeClr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+mn-cs"/>
              </a:defRPr>
            </a:pPr>
            <a:r>
              <a:rPr lang="ur-PK" b="1"/>
              <a:t>صافي التدفقات النقدية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baseline="0">
              <a:solidFill>
                <a:schemeClr val="accent5">
                  <a:lumMod val="50000"/>
                </a:schemeClr>
              </a:solidFill>
              <a:latin typeface="Source Sans Pro" panose="020B0503030403020204" pitchFamily="34" charset="0"/>
              <a:ea typeface="Source Sans Pro" panose="020B0503030403020204" pitchFamily="34" charset="0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'مؤشرات التقييم الصالة الرياضية'!$F$4</c:f>
              <c:strCache>
                <c:ptCount val="1"/>
                <c:pt idx="0">
                  <c:v>صافي التدفقات النقدية </c:v>
                </c:pt>
              </c:strCache>
            </c:strRef>
          </c:tx>
          <c:spPr>
            <a:solidFill>
              <a:srgbClr val="4BC0AF"/>
            </a:solidFill>
            <a:ln>
              <a:noFill/>
            </a:ln>
            <a:effectLst/>
          </c:spPr>
          <c:invertIfNegative val="1"/>
          <c:dLbls>
            <c:numFmt formatCode="[&gt;=1000000]\ #,##0.0,,&quot;M&quot;;[&gt;0]\ #,##0.0,&quot;K&quot;;#,##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accent5">
                        <a:lumMod val="50000"/>
                      </a:schemeClr>
                    </a:solidFill>
                    <a:latin typeface="Source Sans Pro" panose="020B0503030403020204" pitchFamily="34" charset="0"/>
                    <a:ea typeface="Source Sans Pro" panose="020B0503030403020204" pitchFamily="34" charset="0"/>
                    <a:cs typeface="+mn-cs"/>
                  </a:defRPr>
                </a:pPr>
                <a:endParaRPr lang="ar-S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'مؤشرات التقييم الصالة الرياضية'!$B$5:$B$10</c:f>
              <c:strCache>
                <c:ptCount val="6"/>
                <c:pt idx="0">
                  <c:v>0</c:v>
                </c:pt>
                <c:pt idx="1">
                  <c:v>السنة 1</c:v>
                </c:pt>
                <c:pt idx="2">
                  <c:v>السنة 2</c:v>
                </c:pt>
                <c:pt idx="3">
                  <c:v>السنة 3</c:v>
                </c:pt>
                <c:pt idx="4">
                  <c:v>السنة 4</c:v>
                </c:pt>
                <c:pt idx="5">
                  <c:v>السنة 5</c:v>
                </c:pt>
              </c:strCache>
            </c:strRef>
          </c:cat>
          <c:val>
            <c:numRef>
              <c:f>'مؤشرات التقييم الصالة الرياضية'!$F$5:$F$10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59467.574703200007</c:v>
                </c:pt>
                <c:pt idx="4">
                  <c:v>70567.812722264018</c:v>
                </c:pt>
                <c:pt idx="5">
                  <c:v>82543.000558459345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A3D3-4D45-B059-8CE94F7EEA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-1515682000"/>
        <c:axId val="-1515689616"/>
      </c:barChart>
      <c:catAx>
        <c:axId val="-151568200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accent5">
                    <a:lumMod val="50000"/>
                  </a:schemeClr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+mn-cs"/>
              </a:defRPr>
            </a:pPr>
            <a:endParaRPr lang="ar-SA"/>
          </a:p>
        </c:txPr>
        <c:crossAx val="-1515689616"/>
        <c:crosses val="autoZero"/>
        <c:auto val="1"/>
        <c:lblAlgn val="ctr"/>
        <c:lblOffset val="100"/>
        <c:noMultiLvlLbl val="0"/>
      </c:catAx>
      <c:valAx>
        <c:axId val="-1515689616"/>
        <c:scaling>
          <c:orientation val="minMax"/>
        </c:scaling>
        <c:delete val="1"/>
        <c:axPos val="t"/>
        <c:numFmt formatCode="_-* #,##0_-;\-* #,##0_-;_-* &quot;-&quot;??_-;_-@_-" sourceLinked="1"/>
        <c:majorTickMark val="none"/>
        <c:minorTickMark val="none"/>
        <c:tickLblPos val="nextTo"/>
        <c:crossAx val="-151568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>
      <a:outerShdw blurRad="482600" sx="89000" sy="89000" algn="ctr" rotWithShape="0">
        <a:srgbClr val="000000">
          <a:alpha val="35000"/>
        </a:srgbClr>
      </a:outerShdw>
    </a:effectLst>
  </c:spPr>
  <c:txPr>
    <a:bodyPr/>
    <a:lstStyle/>
    <a:p>
      <a:pPr>
        <a:defRPr>
          <a:solidFill>
            <a:schemeClr val="accent5">
              <a:lumMod val="50000"/>
            </a:schemeClr>
          </a:solidFill>
          <a:latin typeface="Source Sans Pro" panose="020B0503030403020204" pitchFamily="34" charset="0"/>
          <a:ea typeface="Source Sans Pro" panose="020B0503030403020204" pitchFamily="34" charset="0"/>
        </a:defRPr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400">
                <a:latin typeface="Sakkal Majalla" panose="02000000000000000000" pitchFamily="2" charset="-78"/>
                <a:cs typeface="Sakkal Majalla" panose="02000000000000000000" pitchFamily="2" charset="-78"/>
              </a:defRPr>
            </a:pPr>
            <a:r>
              <a:rPr lang="ur-PK" sz="1400">
                <a:latin typeface="Sakkal Majalla" panose="02000000000000000000" pitchFamily="2" charset="-78"/>
                <a:cs typeface="Sakkal Majalla" panose="02000000000000000000" pitchFamily="2" charset="-78"/>
              </a:rPr>
              <a:t>فترة الاسترداد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'مؤشرات التقييم الصالة الرياضية'!$D$18:$D$22</c:f>
              <c:numCache>
                <c:formatCode>_-* #,##0_-;\-* #,##0_-;_-* "-"??_-;_-@_-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32-4A95-B4B9-D949CBA28417}"/>
            </c:ext>
          </c:extLst>
        </c:ser>
        <c:ser>
          <c:idx val="1"/>
          <c:order val="1"/>
          <c:marker>
            <c:symbol val="circle"/>
            <c:size val="14"/>
            <c:spPr>
              <a:solidFill>
                <a:schemeClr val="accent1">
                  <a:alpha val="45000"/>
                </a:schemeClr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'مؤشرات التقييم الصالة الرياضية'!$E$18:$E$22</c:f>
              <c:numCache>
                <c:formatCode>[$SAR]\ 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32-4A95-B4B9-D949CBA28417}"/>
            </c:ext>
          </c:extLst>
        </c:ser>
        <c:ser>
          <c:idx val="2"/>
          <c:order val="2"/>
          <c:marker>
            <c:symbol val="circle"/>
            <c:size val="14"/>
            <c:spPr>
              <a:solidFill>
                <a:schemeClr val="accent2">
                  <a:alpha val="45000"/>
                </a:schemeClr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'مؤشرات التقييم الصالة الرياضية'!$F$18:$F$22</c:f>
              <c:numCache>
                <c:formatCode>[$SAR]\ 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32-4A95-B4B9-D949CBA28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15682544"/>
        <c:axId val="-1515684720"/>
      </c:lineChart>
      <c:catAx>
        <c:axId val="-151568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ar-SA"/>
          </a:p>
        </c:txPr>
        <c:crossAx val="-1515684720"/>
        <c:crosses val="autoZero"/>
        <c:auto val="1"/>
        <c:lblAlgn val="ctr"/>
        <c:lblOffset val="700"/>
        <c:noMultiLvlLbl val="0"/>
      </c:catAx>
      <c:valAx>
        <c:axId val="-15156847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out"/>
        <c:minorTickMark val="none"/>
        <c:tickLblPos val="nextTo"/>
        <c:crossAx val="-15156825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>
          <a:alpha val="99000"/>
        </a:schemeClr>
      </a:solidFill>
      <a:round/>
    </a:ln>
    <a:effectLst>
      <a:outerShdw blurRad="482600" sx="89000" sy="89000" algn="ctr" rotWithShape="0">
        <a:srgbClr val="000000">
          <a:alpha val="35000"/>
        </a:srgbClr>
      </a:outerShdw>
    </a:effectLst>
  </c:spPr>
  <c:txPr>
    <a:bodyPr/>
    <a:lstStyle/>
    <a:p>
      <a:pPr>
        <a:defRPr>
          <a:solidFill>
            <a:schemeClr val="tx2">
              <a:lumMod val="50000"/>
            </a:schemeClr>
          </a:solidFill>
          <a:latin typeface="Source Sans Pro" panose="020B0503030403020204" pitchFamily="34" charset="0"/>
          <a:ea typeface="Source Sans Pro" panose="020B0503030403020204" pitchFamily="34" charset="0"/>
        </a:defRPr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400">
                <a:latin typeface="Sakkal Majalla" panose="02000000000000000000" pitchFamily="2" charset="-78"/>
                <a:cs typeface="Sakkal Majalla" panose="02000000000000000000" pitchFamily="2" charset="-78"/>
              </a:defRPr>
            </a:pPr>
            <a:r>
              <a:rPr lang="ur-PK" sz="1400">
                <a:latin typeface="Sakkal Majalla" panose="02000000000000000000" pitchFamily="2" charset="-78"/>
                <a:cs typeface="Sakkal Majalla" panose="02000000000000000000" pitchFamily="2" charset="-78"/>
              </a:rPr>
              <a:t>فترة الاسترداد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'فترة الاسترداد'!$B$8:$B$12</c:f>
              <c:numCache>
                <c:formatCode>_-* #,##0_-;\-* #,##0_-;_-* "-"??_-;_-@_-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D6-4D77-BC35-C1A589E98C8A}"/>
            </c:ext>
          </c:extLst>
        </c:ser>
        <c:ser>
          <c:idx val="1"/>
          <c:order val="1"/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4"/>
            <c:spPr>
              <a:solidFill>
                <a:schemeClr val="accent1">
                  <a:alpha val="45000"/>
                </a:schemeClr>
              </a:solidFill>
              <a:ln>
                <a:noFill/>
              </a:ln>
            </c:spPr>
          </c:marker>
          <c:dLbls>
            <c:numFmt formatCode="[&gt;=1000000]\ #,##0.0,,&quot;M&quot;;[&gt;0]\ #,##0.0,&quot;K&quot;;#,##0.0,,&quot;M&quot;" sourceLinked="0"/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ar-SA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'فترة الاسترداد'!$C$8:$C$12</c:f>
              <c:numCache>
                <c:formatCode>[$SAR]\ 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D6-4D77-BC35-C1A589E98C8A}"/>
            </c:ext>
          </c:extLst>
        </c:ser>
        <c:ser>
          <c:idx val="2"/>
          <c:order val="2"/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4"/>
            <c:spPr>
              <a:solidFill>
                <a:schemeClr val="accent2">
                  <a:alpha val="45000"/>
                </a:schemeClr>
              </a:solidFill>
              <a:ln>
                <a:noFill/>
              </a:ln>
            </c:spPr>
          </c:marker>
          <c:dLbls>
            <c:numFmt formatCode="[&gt;=1000000]\ #,##0.0,,&quot;M&quot;;[&gt;0]\ #,##0.0,&quot;K&quot;;#,##0.0,,&quot;M&quot;" sourceLinked="0"/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ar-SA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'فترة الاسترداد'!$D$8:$D$12</c:f>
              <c:numCache>
                <c:formatCode>[$SAR]\ 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6D6-4D77-BC35-C1A589E98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15682544"/>
        <c:axId val="-1515684720"/>
      </c:lineChart>
      <c:catAx>
        <c:axId val="-151568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ar-SA"/>
          </a:p>
        </c:txPr>
        <c:crossAx val="-1515684720"/>
        <c:crosses val="autoZero"/>
        <c:auto val="1"/>
        <c:lblAlgn val="ctr"/>
        <c:lblOffset val="700"/>
        <c:noMultiLvlLbl val="0"/>
      </c:catAx>
      <c:valAx>
        <c:axId val="-15156847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out"/>
        <c:minorTickMark val="none"/>
        <c:tickLblPos val="nextTo"/>
        <c:crossAx val="-15156825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>
          <a:alpha val="99000"/>
        </a:schemeClr>
      </a:solidFill>
      <a:round/>
    </a:ln>
    <a:effectLst>
      <a:outerShdw blurRad="482600" sx="89000" sy="89000" algn="ctr" rotWithShape="0">
        <a:srgbClr val="000000">
          <a:alpha val="35000"/>
        </a:srgbClr>
      </a:outerShdw>
    </a:effectLst>
  </c:spPr>
  <c:txPr>
    <a:bodyPr/>
    <a:lstStyle/>
    <a:p>
      <a:pPr>
        <a:defRPr>
          <a:solidFill>
            <a:schemeClr val="tx2">
              <a:lumMod val="50000"/>
            </a:schemeClr>
          </a:solidFill>
          <a:latin typeface="Source Sans Pro" panose="020B0503030403020204" pitchFamily="34" charset="0"/>
          <a:ea typeface="Source Sans Pro" panose="020B0503030403020204" pitchFamily="34" charset="0"/>
        </a:defRPr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baseline="0">
                <a:solidFill>
                  <a:schemeClr val="accent5">
                    <a:lumMod val="50000"/>
                  </a:schemeClr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+mn-cs"/>
              </a:defRPr>
            </a:pPr>
            <a:r>
              <a:rPr lang="ur-PK" b="1"/>
              <a:t>صافي التدفقات النقدية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baseline="0">
              <a:solidFill>
                <a:schemeClr val="accent5">
                  <a:lumMod val="50000"/>
                </a:schemeClr>
              </a:solidFill>
              <a:latin typeface="Source Sans Pro" panose="020B0503030403020204" pitchFamily="34" charset="0"/>
              <a:ea typeface="Source Sans Pro" panose="020B0503030403020204" pitchFamily="34" charset="0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'مؤشرات تقييم المشروع '!$F$4</c:f>
              <c:strCache>
                <c:ptCount val="1"/>
                <c:pt idx="0">
                  <c:v>صافي التدفقات النقدية </c:v>
                </c:pt>
              </c:strCache>
            </c:strRef>
          </c:tx>
          <c:spPr>
            <a:solidFill>
              <a:srgbClr val="4BC0AF"/>
            </a:solidFill>
            <a:ln>
              <a:noFill/>
            </a:ln>
            <a:effectLst/>
          </c:spPr>
          <c:invertIfNegative val="1"/>
          <c:dLbls>
            <c:numFmt formatCode="[&gt;=1000000]\ #,##0.0,,&quot;M&quot;;[&gt;0]\ #,##0.0,&quot;K&quot;;#,##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accent5">
                        <a:lumMod val="50000"/>
                      </a:schemeClr>
                    </a:solidFill>
                    <a:latin typeface="Source Sans Pro" panose="020B0503030403020204" pitchFamily="34" charset="0"/>
                    <a:ea typeface="Source Sans Pro" panose="020B0503030403020204" pitchFamily="34" charset="0"/>
                    <a:cs typeface="+mn-cs"/>
                  </a:defRPr>
                </a:pPr>
                <a:endParaRPr lang="ar-S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'مؤشرات تقييم المشروع '!$B$5:$B$10</c:f>
              <c:strCache>
                <c:ptCount val="6"/>
                <c:pt idx="0">
                  <c:v>0</c:v>
                </c:pt>
                <c:pt idx="1">
                  <c:v>السنة 1</c:v>
                </c:pt>
                <c:pt idx="2">
                  <c:v>السنة 2</c:v>
                </c:pt>
                <c:pt idx="3">
                  <c:v>السنة 3</c:v>
                </c:pt>
                <c:pt idx="4">
                  <c:v>السنة 4</c:v>
                </c:pt>
                <c:pt idx="5">
                  <c:v>السنة 5</c:v>
                </c:pt>
              </c:strCache>
            </c:strRef>
          </c:cat>
          <c:val>
            <c:numRef>
              <c:f>'مؤشرات تقييم المشروع '!$F$5:$F$10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486D-42CF-B216-C5175E573F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-1515682000"/>
        <c:axId val="-1515689616"/>
      </c:barChart>
      <c:catAx>
        <c:axId val="-151568200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accent5">
                    <a:lumMod val="50000"/>
                  </a:schemeClr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+mn-cs"/>
              </a:defRPr>
            </a:pPr>
            <a:endParaRPr lang="ar-SA"/>
          </a:p>
        </c:txPr>
        <c:crossAx val="-1515689616"/>
        <c:crosses val="autoZero"/>
        <c:auto val="1"/>
        <c:lblAlgn val="ctr"/>
        <c:lblOffset val="100"/>
        <c:noMultiLvlLbl val="0"/>
      </c:catAx>
      <c:valAx>
        <c:axId val="-1515689616"/>
        <c:scaling>
          <c:orientation val="minMax"/>
        </c:scaling>
        <c:delete val="1"/>
        <c:axPos val="t"/>
        <c:numFmt formatCode="_-* #,##0_-;\-* #,##0_-;_-* &quot;-&quot;??_-;_-@_-" sourceLinked="1"/>
        <c:majorTickMark val="none"/>
        <c:minorTickMark val="none"/>
        <c:tickLblPos val="nextTo"/>
        <c:crossAx val="-151568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>
      <a:outerShdw blurRad="482600" sx="89000" sy="89000" algn="ctr" rotWithShape="0">
        <a:srgbClr val="000000">
          <a:alpha val="35000"/>
        </a:srgbClr>
      </a:outerShdw>
    </a:effectLst>
  </c:spPr>
  <c:txPr>
    <a:bodyPr/>
    <a:lstStyle/>
    <a:p>
      <a:pPr>
        <a:defRPr>
          <a:solidFill>
            <a:schemeClr val="accent5">
              <a:lumMod val="50000"/>
            </a:schemeClr>
          </a:solidFill>
          <a:latin typeface="Source Sans Pro" panose="020B0503030403020204" pitchFamily="34" charset="0"/>
          <a:ea typeface="Source Sans Pro" panose="020B0503030403020204" pitchFamily="34" charset="0"/>
        </a:defRPr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624840</xdr:colOff>
      <xdr:row>13</xdr:row>
      <xdr:rowOff>190500</xdr:rowOff>
    </xdr:from>
    <xdr:to>
      <xdr:col>11</xdr:col>
      <xdr:colOff>123825</xdr:colOff>
      <xdr:row>27</xdr:row>
      <xdr:rowOff>201930</xdr:rowOff>
    </xdr:to>
    <xdr:graphicFrame macro="">
      <xdr:nvGraphicFramePr>
        <xdr:cNvPr id="2" name="مخطط 2">
          <a:extLst>
            <a:ext uri="{FF2B5EF4-FFF2-40B4-BE49-F238E27FC236}">
              <a16:creationId xmlns:a16="http://schemas.microsoft.com/office/drawing/2014/main" id="{796B667B-E36F-43DF-AD59-5D3DEB5B0C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2</xdr:row>
      <xdr:rowOff>247650</xdr:rowOff>
    </xdr:from>
    <xdr:to>
      <xdr:col>16</xdr:col>
      <xdr:colOff>273685</xdr:colOff>
      <xdr:row>12</xdr:row>
      <xdr:rowOff>193040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4121C5-DBA7-49C4-A57C-7A9A4647D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91440</xdr:colOff>
      <xdr:row>3</xdr:row>
      <xdr:rowOff>0</xdr:rowOff>
    </xdr:from>
    <xdr:to>
      <xdr:col>17</xdr:col>
      <xdr:colOff>15240</xdr:colOff>
      <xdr:row>10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9E8FB0-F98C-41C2-BC33-96D8C8496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16</xdr:col>
      <xdr:colOff>622935</xdr:colOff>
      <xdr:row>25</xdr:row>
      <xdr:rowOff>55245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460BBEEE-7DF5-4A1F-82A2-276EEB354E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91440</xdr:colOff>
      <xdr:row>3</xdr:row>
      <xdr:rowOff>0</xdr:rowOff>
    </xdr:from>
    <xdr:to>
      <xdr:col>17</xdr:col>
      <xdr:colOff>15240</xdr:colOff>
      <xdr:row>10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6530BD-6641-44D7-B73B-B5A21053A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16</xdr:col>
      <xdr:colOff>622936</xdr:colOff>
      <xdr:row>25</xdr:row>
      <xdr:rowOff>55246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295E4CF-9957-4308-A34F-FF5C81E01B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91440</xdr:colOff>
      <xdr:row>3</xdr:row>
      <xdr:rowOff>0</xdr:rowOff>
    </xdr:from>
    <xdr:to>
      <xdr:col>17</xdr:col>
      <xdr:colOff>15240</xdr:colOff>
      <xdr:row>10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3E1ADE-514D-44AC-A085-5239638E7E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16</xdr:col>
      <xdr:colOff>622935</xdr:colOff>
      <xdr:row>25</xdr:row>
      <xdr:rowOff>55245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58AC0C0C-B0AB-40BF-AF4C-F279C0C9A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91440</xdr:colOff>
      <xdr:row>3</xdr:row>
      <xdr:rowOff>0</xdr:rowOff>
    </xdr:from>
    <xdr:to>
      <xdr:col>17</xdr:col>
      <xdr:colOff>15240</xdr:colOff>
      <xdr:row>10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8D0BDD-5A9F-4425-8819-3C5EBD68E2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16</xdr:col>
      <xdr:colOff>622935</xdr:colOff>
      <xdr:row>25</xdr:row>
      <xdr:rowOff>55245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F07191AB-8560-4A80-A6DB-C34DAA14F2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272415</xdr:colOff>
      <xdr:row>2</xdr:row>
      <xdr:rowOff>81915</xdr:rowOff>
    </xdr:from>
    <xdr:to>
      <xdr:col>12</xdr:col>
      <xdr:colOff>333375</xdr:colOff>
      <xdr:row>12</xdr:row>
      <xdr:rowOff>184785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EC4B5C66-E76F-4EF1-AB5D-51AE191A0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91440</xdr:colOff>
      <xdr:row>3</xdr:row>
      <xdr:rowOff>0</xdr:rowOff>
    </xdr:from>
    <xdr:to>
      <xdr:col>17</xdr:col>
      <xdr:colOff>15240</xdr:colOff>
      <xdr:row>10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E0E148-DC57-4690-8716-58E1677DFA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champkit.sa/" TargetMode="External"/><Relationship Id="rId2" Type="http://schemas.openxmlformats.org/officeDocument/2006/relationships/hyperlink" Target="https://champkit.sa/" TargetMode="External"/><Relationship Id="rId1" Type="http://schemas.openxmlformats.org/officeDocument/2006/relationships/hyperlink" Target="https://champkit.sa/" TargetMode="External"/><Relationship Id="rId5" Type="http://schemas.openxmlformats.org/officeDocument/2006/relationships/hyperlink" Target="https://souq-proyard.com/%D8%AA%D8%AC%D9%87%D9%8A%D8%B2-%D9%85%D9%84%D8%A7%D8%B9%D8%A8-%D8%A8%D8%A7%D8%AF%D9%84-47000%D8%A3%D9%84%D9%81-%D8%B1%D9%8A%D8%A7%D9%84-%D8%A8%D8%A7%D9%84%D8%B3%D8%B9%D9%88%D8%AF%D9%8A%D8%A9/p1360615739" TargetMode="External"/><Relationship Id="rId4" Type="http://schemas.openxmlformats.org/officeDocument/2006/relationships/hyperlink" Target="https://banassersport.com/products/Football-Flick-2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s://champkit.sa/" TargetMode="External"/><Relationship Id="rId2" Type="http://schemas.openxmlformats.org/officeDocument/2006/relationships/hyperlink" Target="https://champkit.sa/" TargetMode="External"/><Relationship Id="rId1" Type="http://schemas.openxmlformats.org/officeDocument/2006/relationships/hyperlink" Target="https://champkit.sa/" TargetMode="External"/><Relationship Id="rId6" Type="http://schemas.openxmlformats.org/officeDocument/2006/relationships/hyperlink" Target="https://souq-proyard.com/%D8%AA%D8%AC%D9%87%D9%8A%D8%B2-%D9%85%D9%84%D8%A7%D8%B9%D8%A8-%D8%A8%D8%A7%D8%AF%D9%84-47000%D8%A3%D9%84%D9%81-%D8%B1%D9%8A%D8%A7%D9%84-%D8%A8%D8%A7%D9%84%D8%B3%D8%B9%D9%88%D8%AF%D9%8A%D8%A9/p1360615739" TargetMode="External"/><Relationship Id="rId5" Type="http://schemas.openxmlformats.org/officeDocument/2006/relationships/hyperlink" Target="https://banassersport.com/products/Football-Flick-2" TargetMode="External"/><Relationship Id="rId4" Type="http://schemas.openxmlformats.org/officeDocument/2006/relationships/hyperlink" Target="https://champkit.s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A449-51C0-48A1-9977-004B6B0DD03E}">
  <sheetPr codeName="Sheet20"/>
  <dimension ref="A3:S17"/>
  <sheetViews>
    <sheetView showGridLines="0" rightToLeft="1" zoomScale="85" zoomScaleNormal="85" workbookViewId="0">
      <selection activeCell="J13" sqref="D7:J13"/>
    </sheetView>
  </sheetViews>
  <sheetFormatPr defaultColWidth="8.875" defaultRowHeight="18" x14ac:dyDescent="0.45"/>
  <cols>
    <col min="1" max="3" width="8.875" style="44"/>
    <col min="4" max="4" width="17" style="44" customWidth="1"/>
    <col min="5" max="5" width="3.125" style="44" customWidth="1"/>
    <col min="6" max="6" width="12.75" style="44" customWidth="1"/>
    <col min="7" max="7" width="10" style="44" customWidth="1"/>
    <col min="8" max="10" width="9.375" style="44" customWidth="1"/>
    <col min="11" max="12" width="8.75" style="44" customWidth="1"/>
    <col min="13" max="16384" width="8.875" style="44"/>
  </cols>
  <sheetData>
    <row r="3" spans="1:19" x14ac:dyDescent="0.45">
      <c r="P3" s="311" t="s">
        <v>102</v>
      </c>
      <c r="Q3" s="311"/>
      <c r="R3" s="311"/>
      <c r="S3" s="311"/>
    </row>
    <row r="5" spans="1:19" x14ac:dyDescent="0.45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</row>
    <row r="7" spans="1:19" ht="19.5" thickBot="1" x14ac:dyDescent="0.5">
      <c r="D7" s="46"/>
      <c r="E7" s="46"/>
      <c r="F7" s="46" t="s">
        <v>5</v>
      </c>
      <c r="G7" s="46" t="s">
        <v>6</v>
      </c>
      <c r="H7" s="46" t="s">
        <v>7</v>
      </c>
      <c r="I7" s="46" t="s">
        <v>8</v>
      </c>
      <c r="J7" s="46" t="s">
        <v>9</v>
      </c>
    </row>
    <row r="9" spans="1:19" x14ac:dyDescent="0.45">
      <c r="D9" s="47" t="s">
        <v>141</v>
      </c>
      <c r="E9" s="48"/>
      <c r="F9" s="49" t="e">
        <f>'قائمة الدخل التقديرية'!D6</f>
        <v>#VALUE!</v>
      </c>
      <c r="G9" s="49" t="e">
        <f>'قائمة الدخل التقديرية'!E6</f>
        <v>#VALUE!</v>
      </c>
      <c r="H9" s="49" t="e">
        <f>'قائمة الدخل التقديرية'!F6</f>
        <v>#VALUE!</v>
      </c>
      <c r="I9" s="49" t="e">
        <f>'قائمة الدخل التقديرية'!G6</f>
        <v>#VALUE!</v>
      </c>
      <c r="J9" s="50" t="e">
        <f>'قائمة الدخل التقديرية'!H6</f>
        <v>#VALUE!</v>
      </c>
    </row>
    <row r="10" spans="1:19" x14ac:dyDescent="0.45">
      <c r="D10" s="51" t="s">
        <v>142</v>
      </c>
      <c r="E10" s="57"/>
      <c r="F10" s="52">
        <f>'قائمة الدخل التقديرية'!D10</f>
        <v>270664.8</v>
      </c>
      <c r="G10" s="52">
        <f>'قائمة الدخل التقديرية'!E10</f>
        <v>276078.09600000002</v>
      </c>
      <c r="H10" s="52">
        <f>'قائمة الدخل التقديرية'!F10</f>
        <v>281599.65792000003</v>
      </c>
      <c r="I10" s="52">
        <f>'قائمة الدخل التقديرية'!G10</f>
        <v>287231.65107839997</v>
      </c>
      <c r="J10" s="53">
        <f>'قائمة الدخل التقديرية'!H10</f>
        <v>292976.28409996798</v>
      </c>
    </row>
    <row r="11" spans="1:19" x14ac:dyDescent="0.45">
      <c r="D11" s="51" t="s">
        <v>143</v>
      </c>
      <c r="E11" s="57"/>
      <c r="F11" s="52" t="e">
        <f>'قائمة الدخل التقديرية'!D20</f>
        <v>#REF!</v>
      </c>
      <c r="G11" s="52" t="e">
        <f>'قائمة الدخل التقديرية'!E20</f>
        <v>#REF!</v>
      </c>
      <c r="H11" s="52">
        <f>'قائمة الدخل التقديرية'!F20</f>
        <v>18002337.097211998</v>
      </c>
      <c r="I11" s="52">
        <f>'قائمة الدخل التقديرية'!G20</f>
        <v>18006296.886246238</v>
      </c>
      <c r="J11" s="53">
        <f>'قائمة الدخل التقديرية'!H20</f>
        <v>18010335.871061161</v>
      </c>
    </row>
    <row r="12" spans="1:19" x14ac:dyDescent="0.45">
      <c r="D12" s="51" t="s">
        <v>144</v>
      </c>
      <c r="E12" s="57"/>
      <c r="F12" s="75" t="e">
        <f>100%-(F10/F9)</f>
        <v>#VALUE!</v>
      </c>
      <c r="G12" s="75" t="e">
        <f t="shared" ref="G12:J12" si="0">100%-(G10/G9)</f>
        <v>#VALUE!</v>
      </c>
      <c r="H12" s="75" t="e">
        <f t="shared" si="0"/>
        <v>#VALUE!</v>
      </c>
      <c r="I12" s="75" t="e">
        <f t="shared" si="0"/>
        <v>#VALUE!</v>
      </c>
      <c r="J12" s="76" t="e">
        <f t="shared" si="0"/>
        <v>#VALUE!</v>
      </c>
    </row>
    <row r="13" spans="1:19" x14ac:dyDescent="0.45">
      <c r="D13" s="54" t="s">
        <v>145</v>
      </c>
      <c r="E13" s="55"/>
      <c r="F13" s="78" t="e">
        <f>F11/F12</f>
        <v>#REF!</v>
      </c>
      <c r="G13" s="78" t="e">
        <f t="shared" ref="G13:J13" si="1">G11/G12</f>
        <v>#REF!</v>
      </c>
      <c r="H13" s="78" t="e">
        <f t="shared" si="1"/>
        <v>#VALUE!</v>
      </c>
      <c r="I13" s="78" t="e">
        <f t="shared" si="1"/>
        <v>#VALUE!</v>
      </c>
      <c r="J13" s="79" t="e">
        <f t="shared" si="1"/>
        <v>#VALUE!</v>
      </c>
    </row>
    <row r="17" spans="6:6" x14ac:dyDescent="0.45">
      <c r="F17" s="56"/>
    </row>
  </sheetData>
  <mergeCells count="1">
    <mergeCell ref="P3:S3"/>
  </mergeCells>
  <hyperlinks>
    <hyperlink ref="P3:S3" location="'جدول المحتويات '!A1" display="الرجوع إلى جدول المحتويات " xr:uid="{4C62AC61-90F3-4714-B776-247F583DFF5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E09DD-1ED0-44AC-B6DC-D459ECAD7A79}">
  <sheetPr codeName="Sheet1"/>
  <dimension ref="C2:AJ53"/>
  <sheetViews>
    <sheetView showGridLines="0" rightToLeft="1" topLeftCell="A31" zoomScale="88" workbookViewId="0">
      <selection activeCell="G48" sqref="C48:G53"/>
    </sheetView>
  </sheetViews>
  <sheetFormatPr defaultColWidth="8.75" defaultRowHeight="18.75" x14ac:dyDescent="0.2"/>
  <cols>
    <col min="1" max="1" width="8.75" style="3"/>
    <col min="2" max="2" width="0" style="3" hidden="1" customWidth="1"/>
    <col min="3" max="3" width="20.75" style="3" bestFit="1" customWidth="1"/>
    <col min="4" max="8" width="12.375" style="3" customWidth="1"/>
    <col min="9" max="9" width="8.75" style="3"/>
    <col min="10" max="10" width="20.75" style="3" bestFit="1" customWidth="1"/>
    <col min="11" max="12" width="11.375" style="3" bestFit="1" customWidth="1"/>
    <col min="13" max="13" width="15" style="3" bestFit="1" customWidth="1"/>
    <col min="14" max="14" width="11.625" style="3" bestFit="1" customWidth="1"/>
    <col min="15" max="15" width="12.875" style="3" customWidth="1"/>
    <col min="16" max="16" width="8.75" style="3"/>
    <col min="17" max="17" width="20.75" style="3" bestFit="1" customWidth="1"/>
    <col min="18" max="19" width="11.375" style="3" bestFit="1" customWidth="1"/>
    <col min="20" max="20" width="14.875" style="3" bestFit="1" customWidth="1"/>
    <col min="21" max="21" width="11.625" style="3" bestFit="1" customWidth="1"/>
    <col min="22" max="22" width="11.875" style="3" bestFit="1" customWidth="1"/>
    <col min="23" max="23" width="8.75" style="3"/>
    <col min="24" max="24" width="20.75" style="3" bestFit="1" customWidth="1"/>
    <col min="25" max="26" width="11.375" style="3" bestFit="1" customWidth="1"/>
    <col min="27" max="27" width="14.875" style="3" bestFit="1" customWidth="1"/>
    <col min="28" max="28" width="11.625" style="3" bestFit="1" customWidth="1"/>
    <col min="29" max="29" width="11.875" style="3" bestFit="1" customWidth="1"/>
    <col min="30" max="30" width="8.75" style="3"/>
    <col min="31" max="31" width="20.75" style="3" bestFit="1" customWidth="1"/>
    <col min="32" max="33" width="11.375" style="3" bestFit="1" customWidth="1"/>
    <col min="34" max="34" width="14.875" style="3" bestFit="1" customWidth="1"/>
    <col min="35" max="35" width="11.625" style="3" bestFit="1" customWidth="1"/>
    <col min="36" max="36" width="11.875" style="3" bestFit="1" customWidth="1"/>
    <col min="37" max="16384" width="8.75" style="3"/>
  </cols>
  <sheetData>
    <row r="2" spans="3:12" ht="25.15" customHeight="1" x14ac:dyDescent="0.2">
      <c r="C2" s="312" t="s">
        <v>128</v>
      </c>
      <c r="D2" s="312"/>
      <c r="E2" s="312"/>
      <c r="F2" s="312"/>
      <c r="G2" s="312"/>
      <c r="H2" s="312"/>
      <c r="J2" s="313"/>
      <c r="K2" s="313"/>
      <c r="L2" s="313"/>
    </row>
    <row r="3" spans="3:12" ht="25.15" customHeight="1" x14ac:dyDescent="0.2">
      <c r="C3" s="237"/>
      <c r="D3" s="238"/>
      <c r="E3" s="238"/>
      <c r="F3" s="238"/>
      <c r="G3" s="238"/>
      <c r="H3" s="238"/>
    </row>
    <row r="4" spans="3:12" ht="25.15" customHeight="1" x14ac:dyDescent="0.2">
      <c r="C4" s="239" t="s">
        <v>103</v>
      </c>
      <c r="D4" s="240" t="s">
        <v>5</v>
      </c>
      <c r="E4" s="240" t="s">
        <v>6</v>
      </c>
      <c r="F4" s="240" t="s">
        <v>7</v>
      </c>
      <c r="G4" s="240" t="s">
        <v>8</v>
      </c>
      <c r="H4" s="240" t="s">
        <v>9</v>
      </c>
    </row>
    <row r="5" spans="3:12" ht="25.15" customHeight="1" x14ac:dyDescent="0.2">
      <c r="C5" s="241" t="s">
        <v>122</v>
      </c>
      <c r="D5" s="242" t="e">
        <f>'تقدير الإيرادات '!I9</f>
        <v>#VALUE!</v>
      </c>
      <c r="E5" s="242" t="e">
        <f>'تقدير الإيرادات '!F17</f>
        <v>#VALUE!</v>
      </c>
      <c r="F5" s="242" t="e">
        <f>'تقدير الإيرادات '!G17</f>
        <v>#VALUE!</v>
      </c>
      <c r="G5" s="242" t="e">
        <f>'تقدير الإيرادات '!H17</f>
        <v>#VALUE!</v>
      </c>
      <c r="H5" s="242" t="e">
        <f>'تقدير الإيرادات '!I17</f>
        <v>#VALUE!</v>
      </c>
    </row>
    <row r="6" spans="3:12" ht="25.15" customHeight="1" x14ac:dyDescent="0.2">
      <c r="C6" s="241" t="s">
        <v>104</v>
      </c>
      <c r="D6" s="243" t="e">
        <f>SUM(D5:D5)</f>
        <v>#VALUE!</v>
      </c>
      <c r="E6" s="243" t="e">
        <f>SUM(E5:E5)</f>
        <v>#VALUE!</v>
      </c>
      <c r="F6" s="243" t="e">
        <f>SUM(F5:F5)</f>
        <v>#VALUE!</v>
      </c>
      <c r="G6" s="243" t="e">
        <f>SUM(G5:G5)</f>
        <v>#VALUE!</v>
      </c>
      <c r="H6" s="243" t="e">
        <f>SUM(H5:H5)</f>
        <v>#VALUE!</v>
      </c>
    </row>
    <row r="7" spans="3:12" ht="25.15" customHeight="1" x14ac:dyDescent="0.2">
      <c r="C7" s="244" t="s">
        <v>123</v>
      </c>
      <c r="D7" s="245"/>
      <c r="E7" s="245"/>
      <c r="F7" s="245"/>
      <c r="G7" s="245"/>
      <c r="H7" s="245"/>
    </row>
    <row r="8" spans="3:12" ht="25.15" customHeight="1" x14ac:dyDescent="0.2">
      <c r="C8" s="241" t="s">
        <v>131</v>
      </c>
      <c r="D8" s="242">
        <f>SUM('الدراسة الفنية '!G7:G9,'الدراسة الفنية '!G11,'الدراسة الفنية '!G15:G17,'الدراسة الفنية '!G19,'الدراسة الفنية '!G23:G25,'الدراسة الفنية '!G27,'الدراسة الفنية '!G31:G33,'الدراسة الفنية '!G35)</f>
        <v>216000</v>
      </c>
      <c r="E8" s="242">
        <f>D8*(1+'الدراسة المالية'!$D5)</f>
        <v>220320</v>
      </c>
      <c r="F8" s="242">
        <f>E8*(1+'الدراسة المالية'!$D5)</f>
        <v>224726.39999999999</v>
      </c>
      <c r="G8" s="242">
        <f>F8*(1+'الدراسة المالية'!$D5)</f>
        <v>229220.92799999999</v>
      </c>
      <c r="H8" s="242">
        <f>G8*(1+'الدراسة المالية'!$D5)</f>
        <v>233805.34655999998</v>
      </c>
    </row>
    <row r="9" spans="3:12" ht="25.15" customHeight="1" x14ac:dyDescent="0.2">
      <c r="C9" s="241" t="s">
        <v>124</v>
      </c>
      <c r="D9" s="242">
        <f>'الدراسة الفنية '!I137</f>
        <v>54664.800000000003</v>
      </c>
      <c r="E9" s="242">
        <f>D9*(1+'الدراسة المالية'!$D5)</f>
        <v>55758.096000000005</v>
      </c>
      <c r="F9" s="242">
        <f>E9*(1+'الدراسة المالية'!$D5)</f>
        <v>56873.257920000004</v>
      </c>
      <c r="G9" s="242">
        <f>F9*(1+'الدراسة المالية'!$D5)</f>
        <v>58010.723078400006</v>
      </c>
      <c r="H9" s="242">
        <f>G9*(1+'الدراسة المالية'!$D5)</f>
        <v>59170.937539968007</v>
      </c>
    </row>
    <row r="10" spans="3:12" ht="25.15" customHeight="1" x14ac:dyDescent="0.2">
      <c r="C10" s="246" t="s">
        <v>105</v>
      </c>
      <c r="D10" s="247">
        <f>SUM(D8:D9)</f>
        <v>270664.8</v>
      </c>
      <c r="E10" s="247">
        <f>SUM(E8:E9)</f>
        <v>276078.09600000002</v>
      </c>
      <c r="F10" s="247">
        <f>SUM(F8:F9)</f>
        <v>281599.65792000003</v>
      </c>
      <c r="G10" s="247">
        <f>SUM(G8:G9)</f>
        <v>287231.65107839997</v>
      </c>
      <c r="H10" s="247">
        <f>SUM(H8:H9)</f>
        <v>292976.28409996798</v>
      </c>
    </row>
    <row r="11" spans="3:12" ht="25.15" customHeight="1" x14ac:dyDescent="0.2">
      <c r="C11" s="241" t="s">
        <v>106</v>
      </c>
      <c r="D11" s="243" t="e">
        <f>D6-D10</f>
        <v>#VALUE!</v>
      </c>
      <c r="E11" s="243" t="e">
        <f>E6-E10</f>
        <v>#VALUE!</v>
      </c>
      <c r="F11" s="243" t="e">
        <f>F6-F10</f>
        <v>#VALUE!</v>
      </c>
      <c r="G11" s="243" t="e">
        <f>G6-G10</f>
        <v>#VALUE!</v>
      </c>
      <c r="H11" s="243" t="e">
        <f>H6-H10</f>
        <v>#VALUE!</v>
      </c>
    </row>
    <row r="12" spans="3:12" ht="25.15" customHeight="1" x14ac:dyDescent="0.2">
      <c r="C12" s="244" t="s">
        <v>125</v>
      </c>
      <c r="D12" s="245"/>
      <c r="E12" s="245"/>
      <c r="F12" s="245"/>
      <c r="G12" s="245"/>
      <c r="H12" s="245"/>
    </row>
    <row r="13" spans="3:12" ht="25.15" customHeight="1" x14ac:dyDescent="0.2">
      <c r="C13" s="241" t="s">
        <v>107</v>
      </c>
      <c r="D13" s="242">
        <f>SUM('الدراسة الفنية '!G6,'الدراسة الفنية '!G10,'الدراسة الفنية '!G14,'الدراسة الفنية '!G18,'الدراسة الفنية '!G22,'الدراسة الفنية '!G26,'الدراسة الفنية '!G30,'الدراسة الفنية '!G34)</f>
        <v>114000</v>
      </c>
      <c r="E13" s="242">
        <f>D13*(1+'الدراسة المالية'!$D5)</f>
        <v>116280</v>
      </c>
      <c r="F13" s="242">
        <f>E13*(1+'الدراسة المالية'!$D5)</f>
        <v>118605.6</v>
      </c>
      <c r="G13" s="242">
        <f>F13*(1+'الدراسة المالية'!$D5)</f>
        <v>120977.71200000001</v>
      </c>
      <c r="H13" s="242">
        <f>G13*(1+'الدراسة المالية'!$D5)</f>
        <v>123397.26624000001</v>
      </c>
    </row>
    <row r="14" spans="3:12" ht="25.15" customHeight="1" x14ac:dyDescent="0.2">
      <c r="C14" s="241" t="s">
        <v>132</v>
      </c>
      <c r="D14" s="242">
        <f>'الدراسة الفنية '!J137</f>
        <v>76301.279999999999</v>
      </c>
      <c r="E14" s="242">
        <f>D14*(1+'الدراسة المالية'!$D5)</f>
        <v>77827.305600000007</v>
      </c>
      <c r="F14" s="242">
        <f>E14*(1+'الدراسة المالية'!$D5)</f>
        <v>79383.851712000003</v>
      </c>
      <c r="G14" s="242">
        <f>F14*(1+'الدراسة المالية'!$D5)</f>
        <v>80971.528746240001</v>
      </c>
      <c r="H14" s="242">
        <f>G14*(1+'الدراسة المالية'!$D5)</f>
        <v>82590.959321164803</v>
      </c>
    </row>
    <row r="15" spans="3:12" ht="25.15" customHeight="1" x14ac:dyDescent="0.2">
      <c r="C15" s="241" t="s">
        <v>108</v>
      </c>
      <c r="D15" s="242">
        <f>SUM('الدراسة الفنية '!I53,'الدراسة الفنية '!I79,'الدراسة الفنية '!I102)</f>
        <v>14751612.749999998</v>
      </c>
      <c r="E15" s="242">
        <f>D15</f>
        <v>14751612.749999998</v>
      </c>
      <c r="F15" s="242">
        <f t="shared" ref="F15:H15" si="0">E15</f>
        <v>14751612.749999998</v>
      </c>
      <c r="G15" s="242">
        <f t="shared" si="0"/>
        <v>14751612.749999998</v>
      </c>
      <c r="H15" s="242">
        <f t="shared" si="0"/>
        <v>14751612.749999998</v>
      </c>
      <c r="I15" s="42"/>
    </row>
    <row r="16" spans="3:12" ht="25.15" customHeight="1" x14ac:dyDescent="0.2">
      <c r="C16" s="241" t="s">
        <v>126</v>
      </c>
      <c r="D16" s="242">
        <f>SUM('الدراسة الفنية '!I54,'الدراسة الفنية '!I80,'الدراسة الفنية '!I103)</f>
        <v>2979534.8954999996</v>
      </c>
      <c r="E16" s="242">
        <f>D16</f>
        <v>2979534.8954999996</v>
      </c>
      <c r="F16" s="242">
        <f t="shared" ref="F16:H16" si="1">E16</f>
        <v>2979534.8954999996</v>
      </c>
      <c r="G16" s="242">
        <f t="shared" si="1"/>
        <v>2979534.8954999996</v>
      </c>
      <c r="H16" s="242">
        <f t="shared" si="1"/>
        <v>2979534.8954999996</v>
      </c>
    </row>
    <row r="17" spans="3:36" ht="25.15" customHeight="1" x14ac:dyDescent="0.2">
      <c r="C17" s="241" t="s">
        <v>157</v>
      </c>
      <c r="D17" s="242"/>
      <c r="E17" s="242"/>
      <c r="F17" s="242">
        <f>'الدراسة الفنية '!$H150</f>
        <v>73200</v>
      </c>
      <c r="G17" s="242">
        <f>'الدراسة الفنية '!$H150</f>
        <v>73200</v>
      </c>
      <c r="H17" s="242">
        <f>'الدراسة الفنية '!$H150</f>
        <v>73200</v>
      </c>
    </row>
    <row r="18" spans="3:36" ht="25.15" customHeight="1" x14ac:dyDescent="0.2">
      <c r="C18" s="241" t="s">
        <v>135</v>
      </c>
      <c r="D18" s="242" t="e">
        <f>#REF!/2</f>
        <v>#REF!</v>
      </c>
      <c r="E18" s="242" t="e">
        <f>#REF!/2</f>
        <v>#REF!</v>
      </c>
      <c r="F18" s="242" t="s">
        <v>137</v>
      </c>
      <c r="G18" s="242" t="s">
        <v>137</v>
      </c>
      <c r="H18" s="242" t="s">
        <v>137</v>
      </c>
    </row>
    <row r="19" spans="3:36" ht="25.15" customHeight="1" x14ac:dyDescent="0.2">
      <c r="C19" s="241" t="s">
        <v>136</v>
      </c>
      <c r="D19" s="242" t="e">
        <f>#REF!/2</f>
        <v>#REF!</v>
      </c>
      <c r="E19" s="242" t="e">
        <f>#REF!/2</f>
        <v>#REF!</v>
      </c>
      <c r="F19" s="242" t="s">
        <v>137</v>
      </c>
      <c r="G19" s="242" t="s">
        <v>137</v>
      </c>
      <c r="H19" s="242" t="s">
        <v>137</v>
      </c>
    </row>
    <row r="20" spans="3:36" ht="25.15" customHeight="1" x14ac:dyDescent="0.2">
      <c r="C20" s="246" t="s">
        <v>127</v>
      </c>
      <c r="D20" s="247" t="e">
        <f>SUM(D13:D19)</f>
        <v>#REF!</v>
      </c>
      <c r="E20" s="247" t="e">
        <f t="shared" ref="E20:H20" si="2">SUM(E13:E19)</f>
        <v>#REF!</v>
      </c>
      <c r="F20" s="247">
        <f t="shared" si="2"/>
        <v>18002337.097211998</v>
      </c>
      <c r="G20" s="247">
        <f t="shared" si="2"/>
        <v>18006296.886246238</v>
      </c>
      <c r="H20" s="247">
        <f t="shared" si="2"/>
        <v>18010335.871061161</v>
      </c>
    </row>
    <row r="21" spans="3:36" ht="27.6" customHeight="1" x14ac:dyDescent="0.2">
      <c r="C21" s="241" t="s">
        <v>129</v>
      </c>
      <c r="D21" s="248" t="e">
        <f>D11-D20</f>
        <v>#VALUE!</v>
      </c>
      <c r="E21" s="248" t="e">
        <f t="shared" ref="E21:H21" si="3">E11-E20</f>
        <v>#VALUE!</v>
      </c>
      <c r="F21" s="248" t="e">
        <f t="shared" si="3"/>
        <v>#VALUE!</v>
      </c>
      <c r="G21" s="248" t="e">
        <f t="shared" si="3"/>
        <v>#VALUE!</v>
      </c>
      <c r="H21" s="248" t="e">
        <f t="shared" si="3"/>
        <v>#VALUE!</v>
      </c>
    </row>
    <row r="22" spans="3:36" x14ac:dyDescent="0.2">
      <c r="C22" s="241" t="s">
        <v>130</v>
      </c>
      <c r="D22" s="242" t="e">
        <f>D21*'الدراسة المالية'!$D6</f>
        <v>#VALUE!</v>
      </c>
      <c r="E22" s="242" t="e">
        <f>E21*'الدراسة المالية'!$D6</f>
        <v>#VALUE!</v>
      </c>
      <c r="F22" s="242" t="e">
        <f>F21*'الدراسة المالية'!$D6</f>
        <v>#VALUE!</v>
      </c>
      <c r="G22" s="242" t="e">
        <f>G21*'الدراسة المالية'!$D6</f>
        <v>#VALUE!</v>
      </c>
      <c r="H22" s="242" t="e">
        <f>H21*'الدراسة المالية'!$D6</f>
        <v>#VALUE!</v>
      </c>
    </row>
    <row r="23" spans="3:36" ht="27.6" customHeight="1" x14ac:dyDescent="0.2">
      <c r="C23" s="241" t="s">
        <v>109</v>
      </c>
      <c r="D23" s="243" t="e">
        <f>H46</f>
        <v>#VALUE!</v>
      </c>
      <c r="E23" s="243" t="e">
        <f>O46</f>
        <v>#VALUE!</v>
      </c>
      <c r="F23" s="243" t="e">
        <f>V46</f>
        <v>#VALUE!</v>
      </c>
      <c r="G23" s="243" t="e">
        <f>AC46</f>
        <v>#VALUE!</v>
      </c>
      <c r="H23" s="243" t="e">
        <f>AJ46</f>
        <v>#VALUE!</v>
      </c>
    </row>
    <row r="24" spans="3:36" x14ac:dyDescent="0.2">
      <c r="D24" s="43"/>
    </row>
    <row r="26" spans="3:36" ht="23.25" x14ac:dyDescent="0.2">
      <c r="C26" s="314" t="s">
        <v>140</v>
      </c>
      <c r="D26" s="315"/>
      <c r="E26" s="315"/>
      <c r="F26" s="315"/>
      <c r="G26" s="315"/>
      <c r="H26" s="316"/>
      <c r="J26" s="314" t="s">
        <v>140</v>
      </c>
      <c r="K26" s="315"/>
      <c r="L26" s="315"/>
      <c r="M26" s="315"/>
      <c r="N26" s="315"/>
      <c r="O26" s="316"/>
      <c r="Q26" s="314" t="s">
        <v>140</v>
      </c>
      <c r="R26" s="315"/>
      <c r="S26" s="315"/>
      <c r="T26" s="315"/>
      <c r="U26" s="315"/>
      <c r="V26" s="316"/>
      <c r="X26" s="314" t="s">
        <v>140</v>
      </c>
      <c r="Y26" s="315"/>
      <c r="Z26" s="315"/>
      <c r="AA26" s="315"/>
      <c r="AB26" s="315"/>
      <c r="AC26" s="316"/>
      <c r="AE26" s="314" t="s">
        <v>140</v>
      </c>
      <c r="AF26" s="315"/>
      <c r="AG26" s="315"/>
      <c r="AH26" s="315"/>
      <c r="AI26" s="315"/>
      <c r="AJ26" s="316"/>
    </row>
    <row r="27" spans="3:36" ht="19.5" thickBot="1" x14ac:dyDescent="0.25">
      <c r="C27" s="317" t="s">
        <v>5</v>
      </c>
      <c r="D27" s="318"/>
      <c r="E27" s="318"/>
      <c r="F27" s="318"/>
      <c r="G27" s="318"/>
      <c r="H27" s="319"/>
      <c r="J27" s="317" t="s">
        <v>6</v>
      </c>
      <c r="K27" s="318"/>
      <c r="L27" s="318"/>
      <c r="M27" s="318"/>
      <c r="N27" s="318"/>
      <c r="O27" s="319"/>
      <c r="Q27" s="317" t="s">
        <v>158</v>
      </c>
      <c r="R27" s="318"/>
      <c r="S27" s="318"/>
      <c r="T27" s="318"/>
      <c r="U27" s="318"/>
      <c r="V27" s="319"/>
      <c r="X27" s="317" t="s">
        <v>8</v>
      </c>
      <c r="Y27" s="318"/>
      <c r="Z27" s="318"/>
      <c r="AA27" s="318"/>
      <c r="AB27" s="318"/>
      <c r="AC27" s="319"/>
      <c r="AE27" s="317" t="s">
        <v>9</v>
      </c>
      <c r="AF27" s="318"/>
      <c r="AG27" s="318"/>
      <c r="AH27" s="318"/>
      <c r="AI27" s="318"/>
      <c r="AJ27" s="319"/>
    </row>
    <row r="28" spans="3:36" ht="20.25" thickTop="1" thickBot="1" x14ac:dyDescent="0.25">
      <c r="C28" s="39" t="s">
        <v>103</v>
      </c>
      <c r="D28" s="40" t="s">
        <v>10</v>
      </c>
      <c r="E28" s="40" t="s">
        <v>11</v>
      </c>
      <c r="F28" s="40" t="s">
        <v>138</v>
      </c>
      <c r="G28" s="41" t="s">
        <v>13</v>
      </c>
      <c r="H28" s="41" t="s">
        <v>139</v>
      </c>
      <c r="J28" s="39" t="s">
        <v>103</v>
      </c>
      <c r="K28" s="40" t="s">
        <v>10</v>
      </c>
      <c r="L28" s="40" t="s">
        <v>11</v>
      </c>
      <c r="M28" s="40" t="s">
        <v>138</v>
      </c>
      <c r="N28" s="41" t="s">
        <v>13</v>
      </c>
      <c r="O28" s="41" t="s">
        <v>139</v>
      </c>
      <c r="Q28" s="39" t="s">
        <v>103</v>
      </c>
      <c r="R28" s="40" t="s">
        <v>10</v>
      </c>
      <c r="S28" s="40" t="s">
        <v>11</v>
      </c>
      <c r="T28" s="40" t="s">
        <v>138</v>
      </c>
      <c r="U28" s="41" t="s">
        <v>13</v>
      </c>
      <c r="V28" s="41" t="s">
        <v>139</v>
      </c>
      <c r="X28" s="39" t="s">
        <v>103</v>
      </c>
      <c r="Y28" s="40" t="s">
        <v>10</v>
      </c>
      <c r="Z28" s="40" t="s">
        <v>11</v>
      </c>
      <c r="AA28" s="40" t="s">
        <v>138</v>
      </c>
      <c r="AB28" s="41" t="s">
        <v>13</v>
      </c>
      <c r="AC28" s="41" t="s">
        <v>139</v>
      </c>
      <c r="AE28" s="39" t="s">
        <v>103</v>
      </c>
      <c r="AF28" s="40" t="s">
        <v>10</v>
      </c>
      <c r="AG28" s="40" t="s">
        <v>11</v>
      </c>
      <c r="AH28" s="40" t="s">
        <v>138</v>
      </c>
      <c r="AI28" s="41" t="s">
        <v>13</v>
      </c>
      <c r="AJ28" s="41" t="s">
        <v>139</v>
      </c>
    </row>
    <row r="29" spans="3:36" ht="20.25" thickTop="1" thickBot="1" x14ac:dyDescent="0.25">
      <c r="C29" s="27" t="s">
        <v>122</v>
      </c>
      <c r="D29" s="24">
        <f>'تقدير الإيرادات '!I5</f>
        <v>272700</v>
      </c>
      <c r="E29" s="24" t="e">
        <f>'تقدير الإيرادات '!I6</f>
        <v>#VALUE!</v>
      </c>
      <c r="F29" s="24">
        <f>'تقدير الإيرادات '!I7</f>
        <v>249900</v>
      </c>
      <c r="G29" s="28">
        <f>'تقدير الإيرادات '!I8</f>
        <v>191700</v>
      </c>
      <c r="H29" s="28" t="e">
        <f>SUM(D29:G29)</f>
        <v>#VALUE!</v>
      </c>
      <c r="J29" s="27" t="s">
        <v>122</v>
      </c>
      <c r="K29" s="24">
        <f>'تقدير الإيرادات '!F13</f>
        <v>291789</v>
      </c>
      <c r="L29" s="24" t="e">
        <f>'تقدير الإيرادات '!F14</f>
        <v>#VALUE!</v>
      </c>
      <c r="M29" s="24">
        <f>'تقدير الإيرادات '!F15</f>
        <v>267393</v>
      </c>
      <c r="N29" s="28">
        <f>'تقدير الإيرادات '!F16</f>
        <v>205119</v>
      </c>
      <c r="O29" s="28" t="e">
        <f>SUM(K29:N29)</f>
        <v>#VALUE!</v>
      </c>
      <c r="Q29" s="27" t="s">
        <v>122</v>
      </c>
      <c r="R29" s="24">
        <f>'تقدير الإيرادات '!G13</f>
        <v>312214.23000000004</v>
      </c>
      <c r="S29" s="24" t="e">
        <f>'تقدير الإيرادات '!G14</f>
        <v>#VALUE!</v>
      </c>
      <c r="T29" s="24">
        <f>'تقدير الإيرادات '!G15</f>
        <v>286110.51</v>
      </c>
      <c r="U29" s="28">
        <f>'تقدير الإيرادات '!G16</f>
        <v>219477.33000000002</v>
      </c>
      <c r="V29" s="28" t="e">
        <f>SUM(R29:U29)</f>
        <v>#VALUE!</v>
      </c>
      <c r="X29" s="27" t="s">
        <v>122</v>
      </c>
      <c r="Y29" s="24">
        <f>'تقدير الإيرادات '!H13</f>
        <v>334069.22610000009</v>
      </c>
      <c r="Z29" s="24" t="e">
        <f>'تقدير الإيرادات '!H14</f>
        <v>#VALUE!</v>
      </c>
      <c r="AA29" s="24">
        <f>'تقدير الإيرادات '!H15</f>
        <v>306138.24570000003</v>
      </c>
      <c r="AB29" s="28">
        <f>'تقدير الإيرادات '!H16</f>
        <v>234840.74310000002</v>
      </c>
      <c r="AC29" s="28" t="e">
        <f>SUM(Y29:AB29)</f>
        <v>#VALUE!</v>
      </c>
      <c r="AE29" s="27" t="s">
        <v>122</v>
      </c>
      <c r="AF29" s="24">
        <f>'تقدير الإيرادات '!I13</f>
        <v>357454.07192700013</v>
      </c>
      <c r="AG29" s="24" t="e">
        <f>'تقدير الإيرادات '!I14</f>
        <v>#VALUE!</v>
      </c>
      <c r="AH29" s="24">
        <f>'تقدير الإيرادات '!I15</f>
        <v>327567.92289900006</v>
      </c>
      <c r="AI29" s="28">
        <f>'تقدير الإيرادات '!I16</f>
        <v>251279.59511700005</v>
      </c>
      <c r="AJ29" s="28" t="e">
        <f>SUM(AF29:AI29)</f>
        <v>#VALUE!</v>
      </c>
    </row>
    <row r="30" spans="3:36" ht="20.25" thickTop="1" thickBot="1" x14ac:dyDescent="0.25">
      <c r="C30" s="27" t="s">
        <v>104</v>
      </c>
      <c r="D30" s="25">
        <f>SUM(D29:D29)</f>
        <v>272700</v>
      </c>
      <c r="E30" s="25" t="e">
        <f>SUM(E29:E29)</f>
        <v>#VALUE!</v>
      </c>
      <c r="F30" s="25">
        <f>SUM(F29:F29)</f>
        <v>249900</v>
      </c>
      <c r="G30" s="29">
        <f>SUM(G29:G29)</f>
        <v>191700</v>
      </c>
      <c r="H30" s="29" t="e">
        <f>SUM(H29:H29)</f>
        <v>#VALUE!</v>
      </c>
      <c r="J30" s="27" t="s">
        <v>104</v>
      </c>
      <c r="K30" s="25">
        <f>SUM(K29:K29)</f>
        <v>291789</v>
      </c>
      <c r="L30" s="25" t="e">
        <f>SUM(L29:L29)</f>
        <v>#VALUE!</v>
      </c>
      <c r="M30" s="25">
        <f>SUM(M29:M29)</f>
        <v>267393</v>
      </c>
      <c r="N30" s="29">
        <f>SUM(N29:N29)</f>
        <v>205119</v>
      </c>
      <c r="O30" s="29" t="e">
        <f>SUM(O29:O29)</f>
        <v>#VALUE!</v>
      </c>
      <c r="Q30" s="27" t="s">
        <v>104</v>
      </c>
      <c r="R30" s="25">
        <f>SUM(R29:R29)</f>
        <v>312214.23000000004</v>
      </c>
      <c r="S30" s="25" t="e">
        <f>SUM(S29:S29)</f>
        <v>#VALUE!</v>
      </c>
      <c r="T30" s="25">
        <f>SUM(T29:T29)</f>
        <v>286110.51</v>
      </c>
      <c r="U30" s="29">
        <f>SUM(U29:U29)</f>
        <v>219477.33000000002</v>
      </c>
      <c r="V30" s="29" t="e">
        <f>SUM(V29:V29)</f>
        <v>#VALUE!</v>
      </c>
      <c r="X30" s="27" t="s">
        <v>104</v>
      </c>
      <c r="Y30" s="25">
        <f>SUM(Y29:Y29)</f>
        <v>334069.22610000009</v>
      </c>
      <c r="Z30" s="25" t="e">
        <f>SUM(Z29:Z29)</f>
        <v>#VALUE!</v>
      </c>
      <c r="AA30" s="25">
        <f>SUM(AA29:AA29)</f>
        <v>306138.24570000003</v>
      </c>
      <c r="AB30" s="29">
        <f>SUM(AB29:AB29)</f>
        <v>234840.74310000002</v>
      </c>
      <c r="AC30" s="29" t="e">
        <f>SUM(AC29:AC29)</f>
        <v>#VALUE!</v>
      </c>
      <c r="AE30" s="27" t="s">
        <v>104</v>
      </c>
      <c r="AF30" s="25">
        <f>SUM(AF29:AF29)</f>
        <v>357454.07192700013</v>
      </c>
      <c r="AG30" s="25" t="e">
        <f>SUM(AG29:AG29)</f>
        <v>#VALUE!</v>
      </c>
      <c r="AH30" s="25">
        <f>SUM(AH29:AH29)</f>
        <v>327567.92289900006</v>
      </c>
      <c r="AI30" s="29">
        <f>SUM(AI29:AI29)</f>
        <v>251279.59511700005</v>
      </c>
      <c r="AJ30" s="29" t="e">
        <f>SUM(AJ29:AJ29)</f>
        <v>#VALUE!</v>
      </c>
    </row>
    <row r="31" spans="3:36" ht="20.25" thickTop="1" thickBot="1" x14ac:dyDescent="0.25">
      <c r="C31" s="30" t="s">
        <v>123</v>
      </c>
      <c r="D31" s="61" t="e">
        <f>D30/$H30</f>
        <v>#VALUE!</v>
      </c>
      <c r="E31" s="61" t="e">
        <f t="shared" ref="E31:G31" si="4">E30/$H30</f>
        <v>#VALUE!</v>
      </c>
      <c r="F31" s="61" t="e">
        <f t="shared" si="4"/>
        <v>#VALUE!</v>
      </c>
      <c r="G31" s="61" t="e">
        <f t="shared" si="4"/>
        <v>#VALUE!</v>
      </c>
      <c r="H31" s="62" t="e">
        <f>H30/$H30</f>
        <v>#VALUE!</v>
      </c>
      <c r="J31" s="30" t="s">
        <v>123</v>
      </c>
      <c r="K31" s="61" t="e">
        <f>K30/$H30</f>
        <v>#VALUE!</v>
      </c>
      <c r="L31" s="61" t="e">
        <f t="shared" ref="L31:N31" si="5">L30/$H30</f>
        <v>#VALUE!</v>
      </c>
      <c r="M31" s="61" t="e">
        <f t="shared" si="5"/>
        <v>#VALUE!</v>
      </c>
      <c r="N31" s="61" t="e">
        <f t="shared" si="5"/>
        <v>#VALUE!</v>
      </c>
      <c r="O31" s="62" t="e">
        <f>O30/$H30</f>
        <v>#VALUE!</v>
      </c>
      <c r="Q31" s="30" t="s">
        <v>123</v>
      </c>
      <c r="R31" s="61" t="e">
        <f>R30/$H30</f>
        <v>#VALUE!</v>
      </c>
      <c r="S31" s="61" t="e">
        <f t="shared" ref="S31:U31" si="6">S30/$H30</f>
        <v>#VALUE!</v>
      </c>
      <c r="T31" s="61" t="e">
        <f t="shared" si="6"/>
        <v>#VALUE!</v>
      </c>
      <c r="U31" s="61" t="e">
        <f t="shared" si="6"/>
        <v>#VALUE!</v>
      </c>
      <c r="V31" s="62" t="e">
        <f>V30/$H30</f>
        <v>#VALUE!</v>
      </c>
      <c r="X31" s="30" t="s">
        <v>123</v>
      </c>
      <c r="Y31" s="61" t="e">
        <f>Y30/$H30</f>
        <v>#VALUE!</v>
      </c>
      <c r="Z31" s="61" t="e">
        <f t="shared" ref="Z31:AB31" si="7">Z30/$H30</f>
        <v>#VALUE!</v>
      </c>
      <c r="AA31" s="61" t="e">
        <f t="shared" si="7"/>
        <v>#VALUE!</v>
      </c>
      <c r="AB31" s="61" t="e">
        <f t="shared" si="7"/>
        <v>#VALUE!</v>
      </c>
      <c r="AC31" s="62" t="e">
        <f>AC30/$H30</f>
        <v>#VALUE!</v>
      </c>
      <c r="AE31" s="30" t="s">
        <v>123</v>
      </c>
      <c r="AF31" s="61" t="e">
        <f>AF30/$H30</f>
        <v>#VALUE!</v>
      </c>
      <c r="AG31" s="61" t="e">
        <f t="shared" ref="AG31:AI31" si="8">AG30/$H30</f>
        <v>#VALUE!</v>
      </c>
      <c r="AH31" s="61" t="e">
        <f t="shared" si="8"/>
        <v>#VALUE!</v>
      </c>
      <c r="AI31" s="61" t="e">
        <f t="shared" si="8"/>
        <v>#VALUE!</v>
      </c>
      <c r="AJ31" s="62" t="e">
        <f>AJ30/$H30</f>
        <v>#VALUE!</v>
      </c>
    </row>
    <row r="32" spans="3:36" ht="20.25" thickTop="1" thickBot="1" x14ac:dyDescent="0.25">
      <c r="C32" s="27" t="s">
        <v>131</v>
      </c>
      <c r="D32" s="24">
        <f>SUM('الدراسة الفنية '!G7:G9,'الدراسة الفنية '!G11)</f>
        <v>54000</v>
      </c>
      <c r="E32" s="24">
        <f>SUM('الدراسة الفنية '!G15:G17,'الدراسة الفنية '!G19)</f>
        <v>54000</v>
      </c>
      <c r="F32" s="24">
        <f>SUM('الدراسة الفنية '!G23:G25,'الدراسة الفنية '!G27)</f>
        <v>54000</v>
      </c>
      <c r="G32" s="28">
        <f>SUM('الدراسة الفنية '!G31:G33,'الدراسة الفنية '!G35)</f>
        <v>54000</v>
      </c>
      <c r="H32" s="28">
        <f>SUM(D32:G32)</f>
        <v>216000</v>
      </c>
      <c r="J32" s="27" t="s">
        <v>131</v>
      </c>
      <c r="K32" s="24">
        <f>SUM('الدراسة الفنية '!G7:G9,'الدراسة الفنية '!G11)*(1+'الدراسة المالية'!$D5)</f>
        <v>55080</v>
      </c>
      <c r="L32" s="24">
        <f>E32*1.02</f>
        <v>55080</v>
      </c>
      <c r="M32" s="24">
        <f>F32*1.02</f>
        <v>55080</v>
      </c>
      <c r="N32" s="28">
        <f>G32*1.02</f>
        <v>55080</v>
      </c>
      <c r="O32" s="28">
        <f>SUM(K32:N32)</f>
        <v>220320</v>
      </c>
      <c r="Q32" s="27" t="s">
        <v>131</v>
      </c>
      <c r="R32" s="24">
        <f>K32*1.02</f>
        <v>56181.599999999999</v>
      </c>
      <c r="S32" s="24">
        <f t="shared" ref="S32:U33" si="9">L32*1.02</f>
        <v>56181.599999999999</v>
      </c>
      <c r="T32" s="24">
        <f t="shared" si="9"/>
        <v>56181.599999999999</v>
      </c>
      <c r="U32" s="24">
        <f t="shared" si="9"/>
        <v>56181.599999999999</v>
      </c>
      <c r="V32" s="28">
        <f>SUM(R32:U32)</f>
        <v>224726.39999999999</v>
      </c>
      <c r="X32" s="27" t="s">
        <v>131</v>
      </c>
      <c r="Y32" s="24">
        <f>R32*1.02</f>
        <v>57305.231999999996</v>
      </c>
      <c r="Z32" s="24">
        <f t="shared" ref="Z32:AB32" si="10">S32*1.02</f>
        <v>57305.231999999996</v>
      </c>
      <c r="AA32" s="24">
        <f t="shared" si="10"/>
        <v>57305.231999999996</v>
      </c>
      <c r="AB32" s="24">
        <f t="shared" si="10"/>
        <v>57305.231999999996</v>
      </c>
      <c r="AC32" s="28">
        <f>SUM(Y32:AB32)</f>
        <v>229220.92799999999</v>
      </c>
      <c r="AE32" s="27" t="s">
        <v>131</v>
      </c>
      <c r="AF32" s="24">
        <f>Y32*1.02</f>
        <v>58451.336639999994</v>
      </c>
      <c r="AG32" s="24">
        <f t="shared" ref="AG32:AI33" si="11">Z32*1.02</f>
        <v>58451.336639999994</v>
      </c>
      <c r="AH32" s="24">
        <f t="shared" si="11"/>
        <v>58451.336639999994</v>
      </c>
      <c r="AI32" s="24">
        <f t="shared" si="11"/>
        <v>58451.336639999994</v>
      </c>
      <c r="AJ32" s="28">
        <f>SUM(AF32:AI32)</f>
        <v>233805.34655999998</v>
      </c>
    </row>
    <row r="33" spans="3:36" ht="20.25" thickTop="1" thickBot="1" x14ac:dyDescent="0.25">
      <c r="C33" s="27" t="s">
        <v>124</v>
      </c>
      <c r="D33" s="24">
        <f>'الدراسة الفنية '!$I137/4</f>
        <v>13666.2</v>
      </c>
      <c r="E33" s="24">
        <f>'الدراسة الفنية '!$I137/4</f>
        <v>13666.2</v>
      </c>
      <c r="F33" s="24">
        <f>'الدراسة الفنية '!$I137/4</f>
        <v>13666.2</v>
      </c>
      <c r="G33" s="24">
        <f>'الدراسة الفنية '!$I137/4</f>
        <v>13666.2</v>
      </c>
      <c r="H33" s="28">
        <f>SUM(D33:G33)</f>
        <v>54664.800000000003</v>
      </c>
      <c r="J33" s="27" t="s">
        <v>124</v>
      </c>
      <c r="K33" s="24">
        <f>('الدراسة الفنية '!$I137/4)*(1+'الدراسة المالية'!$D5)</f>
        <v>13939.524000000001</v>
      </c>
      <c r="L33" s="24">
        <f>('الدراسة الفنية '!$I137/4)*(1+'الدراسة المالية'!$D5)</f>
        <v>13939.524000000001</v>
      </c>
      <c r="M33" s="24">
        <f>('الدراسة الفنية '!$I137/4)*(1+'الدراسة المالية'!$D5)</f>
        <v>13939.524000000001</v>
      </c>
      <c r="N33" s="24">
        <f>('الدراسة الفنية '!$I137/4)*(1+'الدراسة المالية'!$D5)</f>
        <v>13939.524000000001</v>
      </c>
      <c r="O33" s="28">
        <f>SUM(K33:N33)</f>
        <v>55758.096000000005</v>
      </c>
      <c r="Q33" s="27" t="s">
        <v>124</v>
      </c>
      <c r="R33" s="24">
        <f>K33*1.02</f>
        <v>14218.314480000001</v>
      </c>
      <c r="S33" s="24">
        <f t="shared" si="9"/>
        <v>14218.314480000001</v>
      </c>
      <c r="T33" s="24">
        <f t="shared" si="9"/>
        <v>14218.314480000001</v>
      </c>
      <c r="U33" s="24">
        <f t="shared" si="9"/>
        <v>14218.314480000001</v>
      </c>
      <c r="V33" s="28">
        <f>SUM(R33:U33)</f>
        <v>56873.257920000004</v>
      </c>
      <c r="X33" s="27" t="s">
        <v>124</v>
      </c>
      <c r="Y33" s="24">
        <f>R33*1.02</f>
        <v>14502.680769600001</v>
      </c>
      <c r="Z33" s="24">
        <f t="shared" ref="Z33:AB33" si="12">S33*1.02</f>
        <v>14502.680769600001</v>
      </c>
      <c r="AA33" s="24">
        <f t="shared" si="12"/>
        <v>14502.680769600001</v>
      </c>
      <c r="AB33" s="24">
        <f t="shared" si="12"/>
        <v>14502.680769600001</v>
      </c>
      <c r="AC33" s="28">
        <f>SUM(Y33:AB33)</f>
        <v>58010.723078400006</v>
      </c>
      <c r="AE33" s="27" t="s">
        <v>124</v>
      </c>
      <c r="AF33" s="24">
        <f>Y33*1.02</f>
        <v>14792.734384992002</v>
      </c>
      <c r="AG33" s="24">
        <f t="shared" si="11"/>
        <v>14792.734384992002</v>
      </c>
      <c r="AH33" s="24">
        <f t="shared" si="11"/>
        <v>14792.734384992002</v>
      </c>
      <c r="AI33" s="24">
        <f t="shared" si="11"/>
        <v>14792.734384992002</v>
      </c>
      <c r="AJ33" s="28">
        <f>SUM(AF33:AI33)</f>
        <v>59170.937539968007</v>
      </c>
    </row>
    <row r="34" spans="3:36" ht="20.25" thickTop="1" thickBot="1" x14ac:dyDescent="0.25">
      <c r="C34" s="36" t="s">
        <v>105</v>
      </c>
      <c r="D34" s="37">
        <f>SUM(D32:D33)</f>
        <v>67666.2</v>
      </c>
      <c r="E34" s="37">
        <f>SUM(E32:E33)</f>
        <v>67666.2</v>
      </c>
      <c r="F34" s="37">
        <f>SUM(F32:F33)</f>
        <v>67666.2</v>
      </c>
      <c r="G34" s="38">
        <f>SUM(G32:G33)</f>
        <v>67666.2</v>
      </c>
      <c r="H34" s="38">
        <f>SUM(H32:H33)</f>
        <v>270664.8</v>
      </c>
      <c r="J34" s="36" t="s">
        <v>105</v>
      </c>
      <c r="K34" s="37">
        <f>SUM(K32:K33)</f>
        <v>69019.524000000005</v>
      </c>
      <c r="L34" s="37">
        <f>SUM(L32:L33)</f>
        <v>69019.524000000005</v>
      </c>
      <c r="M34" s="37">
        <f>SUM(M32:M33)</f>
        <v>69019.524000000005</v>
      </c>
      <c r="N34" s="38">
        <f>SUM(N32:N33)</f>
        <v>69019.524000000005</v>
      </c>
      <c r="O34" s="38">
        <f>SUM(O32:O33)</f>
        <v>276078.09600000002</v>
      </c>
      <c r="Q34" s="36" t="s">
        <v>105</v>
      </c>
      <c r="R34" s="37">
        <f>SUM(R32:R33)</f>
        <v>70399.914480000007</v>
      </c>
      <c r="S34" s="37">
        <f>SUM(S32:S33)</f>
        <v>70399.914480000007</v>
      </c>
      <c r="T34" s="37">
        <f>SUM(T32:T33)</f>
        <v>70399.914480000007</v>
      </c>
      <c r="U34" s="38">
        <f>SUM(U32:U33)</f>
        <v>70399.914480000007</v>
      </c>
      <c r="V34" s="38">
        <f>SUM(V32:V33)</f>
        <v>281599.65792000003</v>
      </c>
      <c r="X34" s="36" t="s">
        <v>105</v>
      </c>
      <c r="Y34" s="37">
        <f>SUM(Y32:Y33)</f>
        <v>71807.912769599992</v>
      </c>
      <c r="Z34" s="37">
        <f>SUM(Z32:Z33)</f>
        <v>71807.912769599992</v>
      </c>
      <c r="AA34" s="37">
        <f>SUM(AA32:AA33)</f>
        <v>71807.912769599992</v>
      </c>
      <c r="AB34" s="38">
        <f>SUM(AB32:AB33)</f>
        <v>71807.912769599992</v>
      </c>
      <c r="AC34" s="38">
        <f>SUM(AC32:AC33)</f>
        <v>287231.65107839997</v>
      </c>
      <c r="AE34" s="36" t="s">
        <v>105</v>
      </c>
      <c r="AF34" s="37">
        <f>SUM(AF32:AF33)</f>
        <v>73244.071024991994</v>
      </c>
      <c r="AG34" s="37">
        <f>SUM(AG32:AG33)</f>
        <v>73244.071024991994</v>
      </c>
      <c r="AH34" s="37">
        <f>SUM(AH32:AH33)</f>
        <v>73244.071024991994</v>
      </c>
      <c r="AI34" s="38">
        <f>SUM(AI32:AI33)</f>
        <v>73244.071024991994</v>
      </c>
      <c r="AJ34" s="38">
        <f>SUM(AJ32:AJ33)</f>
        <v>292976.28409996798</v>
      </c>
    </row>
    <row r="35" spans="3:36" ht="20.25" thickTop="1" thickBot="1" x14ac:dyDescent="0.25">
      <c r="C35" s="27" t="s">
        <v>106</v>
      </c>
      <c r="D35" s="25">
        <f>D30-D34</f>
        <v>205033.8</v>
      </c>
      <c r="E35" s="25" t="e">
        <f>E30-E34</f>
        <v>#VALUE!</v>
      </c>
      <c r="F35" s="25">
        <f>F30-F34</f>
        <v>182233.8</v>
      </c>
      <c r="G35" s="29">
        <f>G30-G34</f>
        <v>124033.8</v>
      </c>
      <c r="H35" s="29" t="e">
        <f>H30-H34</f>
        <v>#VALUE!</v>
      </c>
      <c r="J35" s="27" t="s">
        <v>106</v>
      </c>
      <c r="K35" s="25">
        <f>K30-K34</f>
        <v>222769.476</v>
      </c>
      <c r="L35" s="25" t="e">
        <f>L30-L34</f>
        <v>#VALUE!</v>
      </c>
      <c r="M35" s="25">
        <f>M30-M34</f>
        <v>198373.476</v>
      </c>
      <c r="N35" s="29">
        <f>N30-N34</f>
        <v>136099.476</v>
      </c>
      <c r="O35" s="29" t="e">
        <f>O30-O34</f>
        <v>#VALUE!</v>
      </c>
      <c r="Q35" s="27" t="s">
        <v>106</v>
      </c>
      <c r="R35" s="25">
        <f>R30-R34</f>
        <v>241814.31552000003</v>
      </c>
      <c r="S35" s="25" t="e">
        <f>S30-S34</f>
        <v>#VALUE!</v>
      </c>
      <c r="T35" s="25">
        <f>T30-T34</f>
        <v>215710.59552</v>
      </c>
      <c r="U35" s="29">
        <f>U30-U34</f>
        <v>149077.41552000001</v>
      </c>
      <c r="V35" s="29" t="e">
        <f>V30-V34</f>
        <v>#VALUE!</v>
      </c>
      <c r="X35" s="27" t="s">
        <v>106</v>
      </c>
      <c r="Y35" s="25">
        <f>Y30-Y34</f>
        <v>262261.31333040009</v>
      </c>
      <c r="Z35" s="25" t="e">
        <f>Z30-Z34</f>
        <v>#VALUE!</v>
      </c>
      <c r="AA35" s="25">
        <f>AA30-AA34</f>
        <v>234330.33293040004</v>
      </c>
      <c r="AB35" s="29">
        <f>AB30-AB34</f>
        <v>163032.83033040003</v>
      </c>
      <c r="AC35" s="29" t="e">
        <f>AC30-AC34</f>
        <v>#VALUE!</v>
      </c>
      <c r="AE35" s="27" t="s">
        <v>106</v>
      </c>
      <c r="AF35" s="25">
        <f>AF30-AF34</f>
        <v>284210.00090200815</v>
      </c>
      <c r="AG35" s="25" t="e">
        <f>AG30-AG34</f>
        <v>#VALUE!</v>
      </c>
      <c r="AH35" s="25">
        <f>AH30-AH34</f>
        <v>254323.85187400808</v>
      </c>
      <c r="AI35" s="29">
        <f>AI30-AI34</f>
        <v>178035.52409200807</v>
      </c>
      <c r="AJ35" s="29" t="e">
        <f>AJ30-AJ34</f>
        <v>#VALUE!</v>
      </c>
    </row>
    <row r="36" spans="3:36" ht="20.25" thickTop="1" thickBot="1" x14ac:dyDescent="0.25">
      <c r="C36" s="30" t="s">
        <v>125</v>
      </c>
      <c r="D36" s="4"/>
      <c r="E36" s="4"/>
      <c r="F36" s="4"/>
      <c r="G36" s="31"/>
      <c r="H36" s="31"/>
      <c r="J36" s="30" t="s">
        <v>125</v>
      </c>
      <c r="K36" s="4"/>
      <c r="L36" s="4"/>
      <c r="M36" s="4"/>
      <c r="N36" s="31"/>
      <c r="O36" s="31"/>
      <c r="Q36" s="30" t="s">
        <v>125</v>
      </c>
      <c r="R36" s="4"/>
      <c r="S36" s="4"/>
      <c r="T36" s="4"/>
      <c r="U36" s="31"/>
      <c r="V36" s="31"/>
      <c r="X36" s="30" t="s">
        <v>125</v>
      </c>
      <c r="Y36" s="4"/>
      <c r="Z36" s="4"/>
      <c r="AA36" s="4"/>
      <c r="AB36" s="31"/>
      <c r="AC36" s="31"/>
      <c r="AE36" s="30" t="s">
        <v>125</v>
      </c>
      <c r="AF36" s="4"/>
      <c r="AG36" s="4"/>
      <c r="AH36" s="4"/>
      <c r="AI36" s="31"/>
      <c r="AJ36" s="31"/>
    </row>
    <row r="37" spans="3:36" ht="20.25" thickTop="1" thickBot="1" x14ac:dyDescent="0.25">
      <c r="C37" s="27" t="s">
        <v>107</v>
      </c>
      <c r="D37" s="24">
        <f>SUM('الدراسة الفنية '!G6,'الدراسة الفنية '!G10)</f>
        <v>24000</v>
      </c>
      <c r="E37" s="24">
        <f>SUM('الدراسة الفنية '!G14,'الدراسة الفنية '!G18)</f>
        <v>42000</v>
      </c>
      <c r="F37" s="24">
        <f>SUM('الدراسة الفنية '!G22,'الدراسة الفنية '!G26)</f>
        <v>24000</v>
      </c>
      <c r="G37" s="28">
        <f>SUM('الدراسة الفنية '!G30,'الدراسة الفنية '!G34)</f>
        <v>24000</v>
      </c>
      <c r="H37" s="28">
        <f t="shared" ref="H37:H42" si="13">SUM(D37:G37)</f>
        <v>114000</v>
      </c>
      <c r="J37" s="27" t="s">
        <v>107</v>
      </c>
      <c r="K37" s="24">
        <f>SUM('الدراسة الفنية '!G6,'الدراسة الفنية '!G10)*(1+'الدراسة المالية'!D5)</f>
        <v>24480</v>
      </c>
      <c r="L37" s="24">
        <f>E37*1.02</f>
        <v>42840</v>
      </c>
      <c r="M37" s="24">
        <f>F37*1.02</f>
        <v>24480</v>
      </c>
      <c r="N37" s="28">
        <f>G37*1.02</f>
        <v>24480</v>
      </c>
      <c r="O37" s="28">
        <f t="shared" ref="O37:O38" si="14">SUM(K37:N37)</f>
        <v>116280</v>
      </c>
      <c r="Q37" s="27" t="s">
        <v>107</v>
      </c>
      <c r="R37" s="24">
        <f>K37*1.02</f>
        <v>24969.600000000002</v>
      </c>
      <c r="S37" s="24">
        <f t="shared" ref="S37:U38" si="15">L37*1.02</f>
        <v>43696.800000000003</v>
      </c>
      <c r="T37" s="24">
        <f t="shared" si="15"/>
        <v>24969.600000000002</v>
      </c>
      <c r="U37" s="24">
        <f t="shared" si="15"/>
        <v>24969.600000000002</v>
      </c>
      <c r="V37" s="28">
        <f t="shared" ref="V37:V38" si="16">SUM(R37:U37)</f>
        <v>118605.60000000002</v>
      </c>
      <c r="X37" s="27" t="s">
        <v>107</v>
      </c>
      <c r="Y37" s="24">
        <f>R37*1.02</f>
        <v>25468.992000000002</v>
      </c>
      <c r="Z37" s="24">
        <f t="shared" ref="Z37:AB38" si="17">S37*1.02</f>
        <v>44570.736000000004</v>
      </c>
      <c r="AA37" s="24">
        <f t="shared" si="17"/>
        <v>25468.992000000002</v>
      </c>
      <c r="AB37" s="24">
        <f t="shared" si="17"/>
        <v>25468.992000000002</v>
      </c>
      <c r="AC37" s="28">
        <f t="shared" ref="AC37:AC38" si="18">SUM(Y37:AB37)</f>
        <v>120977.712</v>
      </c>
      <c r="AE37" s="27" t="s">
        <v>107</v>
      </c>
      <c r="AF37" s="24">
        <f>Y37*1.02</f>
        <v>25978.371840000003</v>
      </c>
      <c r="AG37" s="24">
        <f t="shared" ref="AG37:AG38" si="19">Z37*1.02</f>
        <v>45462.150720000005</v>
      </c>
      <c r="AH37" s="24">
        <f t="shared" ref="AH37:AH38" si="20">AA37*1.02</f>
        <v>25978.371840000003</v>
      </c>
      <c r="AI37" s="24">
        <f t="shared" ref="AI37:AI38" si="21">AB37*1.02</f>
        <v>25978.371840000003</v>
      </c>
      <c r="AJ37" s="28">
        <f t="shared" ref="AJ37:AJ38" si="22">SUM(AF37:AI37)</f>
        <v>123397.26624000003</v>
      </c>
    </row>
    <row r="38" spans="3:36" ht="20.25" thickTop="1" thickBot="1" x14ac:dyDescent="0.25">
      <c r="C38" s="27" t="s">
        <v>132</v>
      </c>
      <c r="D38" s="24">
        <f>'الدراسة الفنية '!$J137/4</f>
        <v>19075.32</v>
      </c>
      <c r="E38" s="24">
        <f>'الدراسة الفنية '!$J137/4</f>
        <v>19075.32</v>
      </c>
      <c r="F38" s="24">
        <f>'الدراسة الفنية '!$J137/4</f>
        <v>19075.32</v>
      </c>
      <c r="G38" s="24">
        <f>'الدراسة الفنية '!$J137/4</f>
        <v>19075.32</v>
      </c>
      <c r="H38" s="28">
        <f t="shared" si="13"/>
        <v>76301.279999999999</v>
      </c>
      <c r="I38" s="42"/>
      <c r="J38" s="27" t="s">
        <v>132</v>
      </c>
      <c r="K38" s="24">
        <f>D38*1.02</f>
        <v>19456.826400000002</v>
      </c>
      <c r="L38" s="24">
        <f t="shared" ref="L38:N38" si="23">E38*1.02</f>
        <v>19456.826400000002</v>
      </c>
      <c r="M38" s="24">
        <f t="shared" si="23"/>
        <v>19456.826400000002</v>
      </c>
      <c r="N38" s="24">
        <f t="shared" si="23"/>
        <v>19456.826400000002</v>
      </c>
      <c r="O38" s="28">
        <f t="shared" si="14"/>
        <v>77827.305600000007</v>
      </c>
      <c r="Q38" s="27" t="s">
        <v>132</v>
      </c>
      <c r="R38" s="24">
        <f>K38*1.02</f>
        <v>19845.962928000001</v>
      </c>
      <c r="S38" s="24">
        <f t="shared" si="15"/>
        <v>19845.962928000001</v>
      </c>
      <c r="T38" s="24">
        <f t="shared" si="15"/>
        <v>19845.962928000001</v>
      </c>
      <c r="U38" s="24">
        <f t="shared" si="15"/>
        <v>19845.962928000001</v>
      </c>
      <c r="V38" s="28">
        <f t="shared" si="16"/>
        <v>79383.851712000003</v>
      </c>
      <c r="X38" s="27" t="s">
        <v>132</v>
      </c>
      <c r="Y38" s="24">
        <f>R38*1.02</f>
        <v>20242.88218656</v>
      </c>
      <c r="Z38" s="24">
        <f t="shared" si="17"/>
        <v>20242.88218656</v>
      </c>
      <c r="AA38" s="24">
        <f t="shared" si="17"/>
        <v>20242.88218656</v>
      </c>
      <c r="AB38" s="24">
        <f t="shared" si="17"/>
        <v>20242.88218656</v>
      </c>
      <c r="AC38" s="28">
        <f t="shared" si="18"/>
        <v>80971.528746240001</v>
      </c>
      <c r="AE38" s="27" t="s">
        <v>132</v>
      </c>
      <c r="AF38" s="24">
        <f>Y38*1.02</f>
        <v>20647.739830291201</v>
      </c>
      <c r="AG38" s="24">
        <f t="shared" si="19"/>
        <v>20647.739830291201</v>
      </c>
      <c r="AH38" s="24">
        <f t="shared" si="20"/>
        <v>20647.739830291201</v>
      </c>
      <c r="AI38" s="24">
        <f t="shared" si="21"/>
        <v>20647.739830291201</v>
      </c>
      <c r="AJ38" s="28">
        <f t="shared" si="22"/>
        <v>82590.959321164803</v>
      </c>
    </row>
    <row r="39" spans="3:36" ht="20.25" thickTop="1" thickBot="1" x14ac:dyDescent="0.25">
      <c r="C39" s="27" t="s">
        <v>108</v>
      </c>
      <c r="D39" s="24">
        <f>'الدراسة الفنية '!R95</f>
        <v>0</v>
      </c>
      <c r="E39" s="24">
        <f>'الدراسة الفنية '!R73</f>
        <v>0</v>
      </c>
      <c r="F39" s="24">
        <f>'الدراسة الفنية '!R117</f>
        <v>0</v>
      </c>
      <c r="G39" s="24">
        <f>'الدراسة الفنية '!R152</f>
        <v>0</v>
      </c>
      <c r="H39" s="28">
        <f>SUM(D39:G39)</f>
        <v>0</v>
      </c>
      <c r="I39" s="42"/>
      <c r="J39" s="27" t="s">
        <v>108</v>
      </c>
      <c r="K39" s="24">
        <f>D39</f>
        <v>0</v>
      </c>
      <c r="L39" s="24">
        <f t="shared" ref="L39:N40" si="24">E39</f>
        <v>0</v>
      </c>
      <c r="M39" s="24">
        <f t="shared" si="24"/>
        <v>0</v>
      </c>
      <c r="N39" s="24">
        <f t="shared" si="24"/>
        <v>0</v>
      </c>
      <c r="O39" s="28">
        <f>SUM(K39:N39)</f>
        <v>0</v>
      </c>
      <c r="Q39" s="27" t="s">
        <v>108</v>
      </c>
      <c r="R39" s="24">
        <f>K39</f>
        <v>0</v>
      </c>
      <c r="S39" s="24">
        <f t="shared" ref="S39:U40" si="25">L39</f>
        <v>0</v>
      </c>
      <c r="T39" s="24">
        <f t="shared" si="25"/>
        <v>0</v>
      </c>
      <c r="U39" s="24">
        <f t="shared" si="25"/>
        <v>0</v>
      </c>
      <c r="V39" s="28">
        <f>SUM(R39:U39)</f>
        <v>0</v>
      </c>
      <c r="X39" s="27" t="s">
        <v>108</v>
      </c>
      <c r="Y39" s="24">
        <f>R39</f>
        <v>0</v>
      </c>
      <c r="Z39" s="24">
        <f t="shared" ref="Z39:AB40" si="26">S39</f>
        <v>0</v>
      </c>
      <c r="AA39" s="24">
        <f t="shared" si="26"/>
        <v>0</v>
      </c>
      <c r="AB39" s="24">
        <f t="shared" si="26"/>
        <v>0</v>
      </c>
      <c r="AC39" s="28">
        <f>SUM(Y39:AB39)</f>
        <v>0</v>
      </c>
      <c r="AE39" s="27" t="s">
        <v>108</v>
      </c>
      <c r="AF39" s="24">
        <f>Y39</f>
        <v>0</v>
      </c>
      <c r="AG39" s="24">
        <f t="shared" ref="AG39:AG41" si="27">Z39</f>
        <v>0</v>
      </c>
      <c r="AH39" s="24">
        <f t="shared" ref="AH39:AH41" si="28">AA39</f>
        <v>0</v>
      </c>
      <c r="AI39" s="24">
        <f t="shared" ref="AI39:AI41" si="29">AB39</f>
        <v>0</v>
      </c>
      <c r="AJ39" s="28">
        <f>SUM(AF39:AI39)</f>
        <v>0</v>
      </c>
    </row>
    <row r="40" spans="3:36" ht="20.25" thickTop="1" thickBot="1" x14ac:dyDescent="0.25">
      <c r="C40" s="27" t="s">
        <v>126</v>
      </c>
      <c r="D40" s="24">
        <f>'الدراسة الفنية '!R96</f>
        <v>0</v>
      </c>
      <c r="E40" s="24">
        <f>'الدراسة الفنية '!R74</f>
        <v>0</v>
      </c>
      <c r="F40" s="24">
        <f>'الدراسة الفنية '!R118</f>
        <v>0</v>
      </c>
      <c r="G40" s="24">
        <f>'الدراسة الفنية '!R153</f>
        <v>0</v>
      </c>
      <c r="H40" s="28">
        <f>SUM(D40:G40)</f>
        <v>0</v>
      </c>
      <c r="J40" s="27" t="s">
        <v>126</v>
      </c>
      <c r="K40" s="24">
        <f>D40</f>
        <v>0</v>
      </c>
      <c r="L40" s="24">
        <f t="shared" si="24"/>
        <v>0</v>
      </c>
      <c r="M40" s="24">
        <f t="shared" si="24"/>
        <v>0</v>
      </c>
      <c r="N40" s="24">
        <f t="shared" si="24"/>
        <v>0</v>
      </c>
      <c r="O40" s="28">
        <f>SUM(K40:N40)</f>
        <v>0</v>
      </c>
      <c r="Q40" s="27" t="s">
        <v>126</v>
      </c>
      <c r="R40" s="24">
        <f>K40</f>
        <v>0</v>
      </c>
      <c r="S40" s="24">
        <f t="shared" si="25"/>
        <v>0</v>
      </c>
      <c r="T40" s="24">
        <f t="shared" si="25"/>
        <v>0</v>
      </c>
      <c r="U40" s="24">
        <f t="shared" si="25"/>
        <v>0</v>
      </c>
      <c r="V40" s="28">
        <f>SUM(R40:U40)</f>
        <v>0</v>
      </c>
      <c r="X40" s="27" t="s">
        <v>126</v>
      </c>
      <c r="Y40" s="24">
        <f>R40</f>
        <v>0</v>
      </c>
      <c r="Z40" s="24">
        <f t="shared" si="26"/>
        <v>0</v>
      </c>
      <c r="AA40" s="24">
        <f t="shared" si="26"/>
        <v>0</v>
      </c>
      <c r="AB40" s="24">
        <f t="shared" si="26"/>
        <v>0</v>
      </c>
      <c r="AC40" s="28">
        <f>SUM(Y40:AB40)</f>
        <v>0</v>
      </c>
      <c r="AE40" s="27" t="s">
        <v>126</v>
      </c>
      <c r="AF40" s="24">
        <f>Y40</f>
        <v>0</v>
      </c>
      <c r="AG40" s="24">
        <f t="shared" si="27"/>
        <v>0</v>
      </c>
      <c r="AH40" s="24">
        <f t="shared" si="28"/>
        <v>0</v>
      </c>
      <c r="AI40" s="24">
        <f t="shared" si="29"/>
        <v>0</v>
      </c>
      <c r="AJ40" s="28">
        <f>SUM(AF40:AI40)</f>
        <v>0</v>
      </c>
    </row>
    <row r="41" spans="3:36" ht="20.25" thickTop="1" thickBot="1" x14ac:dyDescent="0.25">
      <c r="C41" s="27" t="s">
        <v>135</v>
      </c>
      <c r="D41" s="24" t="e">
        <f>(#REF!/2)/4</f>
        <v>#REF!</v>
      </c>
      <c r="E41" s="24" t="e">
        <f>(#REF!/2)/4</f>
        <v>#REF!</v>
      </c>
      <c r="F41" s="24" t="e">
        <f>(#REF!/2)/4</f>
        <v>#REF!</v>
      </c>
      <c r="G41" s="24" t="e">
        <f>(#REF!/2)/4</f>
        <v>#REF!</v>
      </c>
      <c r="H41" s="28" t="e">
        <f t="shared" si="13"/>
        <v>#REF!</v>
      </c>
      <c r="J41" s="27" t="s">
        <v>135</v>
      </c>
      <c r="K41" s="24" t="e">
        <f>(#REF!/2)/4</f>
        <v>#REF!</v>
      </c>
      <c r="L41" s="24" t="e">
        <f>(#REF!/2)/4</f>
        <v>#REF!</v>
      </c>
      <c r="M41" s="24" t="e">
        <f>(#REF!/2)/4</f>
        <v>#REF!</v>
      </c>
      <c r="N41" s="24" t="e">
        <f>(#REF!/2)/4</f>
        <v>#REF!</v>
      </c>
      <c r="O41" s="28" t="e">
        <f t="shared" ref="O41:O42" si="30">SUM(K41:N41)</f>
        <v>#REF!</v>
      </c>
      <c r="Q41" s="27" t="s">
        <v>157</v>
      </c>
      <c r="R41" s="24">
        <f>'الدراسة الفنية '!$H144</f>
        <v>54000</v>
      </c>
      <c r="S41" s="24">
        <f>'الدراسة الفنية '!$H145</f>
        <v>19200</v>
      </c>
      <c r="T41" s="24">
        <f>'الدراسة الفنية '!$H146</f>
        <v>25000</v>
      </c>
      <c r="U41" s="24">
        <f>'الدراسة الفنية '!$H147</f>
        <v>34300</v>
      </c>
      <c r="V41" s="28">
        <f t="shared" ref="V41:V42" si="31">SUM(R41:U41)</f>
        <v>132500</v>
      </c>
      <c r="X41" s="27" t="s">
        <v>157</v>
      </c>
      <c r="Y41" s="24">
        <f>'الدراسة الفنية '!$H144</f>
        <v>54000</v>
      </c>
      <c r="Z41" s="24">
        <f>'الدراسة الفنية '!$H145</f>
        <v>19200</v>
      </c>
      <c r="AA41" s="24">
        <f>'الدراسة الفنية '!$H146</f>
        <v>25000</v>
      </c>
      <c r="AB41" s="24">
        <f>'الدراسة الفنية '!$H147</f>
        <v>34300</v>
      </c>
      <c r="AC41" s="28">
        <f t="shared" ref="AC41:AC42" si="32">SUM(Y41:AB41)</f>
        <v>132500</v>
      </c>
      <c r="AE41" s="27" t="s">
        <v>157</v>
      </c>
      <c r="AF41" s="24">
        <f>Y41</f>
        <v>54000</v>
      </c>
      <c r="AG41" s="24">
        <f t="shared" si="27"/>
        <v>19200</v>
      </c>
      <c r="AH41" s="24">
        <f t="shared" si="28"/>
        <v>25000</v>
      </c>
      <c r="AI41" s="24">
        <f t="shared" si="29"/>
        <v>34300</v>
      </c>
      <c r="AJ41" s="28">
        <f t="shared" ref="AJ41:AJ42" si="33">SUM(AF41:AI41)</f>
        <v>132500</v>
      </c>
    </row>
    <row r="42" spans="3:36" ht="20.25" thickTop="1" thickBot="1" x14ac:dyDescent="0.25">
      <c r="C42" s="27" t="s">
        <v>136</v>
      </c>
      <c r="D42" s="24" t="e">
        <f>#REF!/2/4</f>
        <v>#REF!</v>
      </c>
      <c r="E42" s="24" t="e">
        <f>#REF!/2/4</f>
        <v>#REF!</v>
      </c>
      <c r="F42" s="24" t="e">
        <f>#REF!/2/4</f>
        <v>#REF!</v>
      </c>
      <c r="G42" s="24" t="e">
        <f>#REF!/2/4</f>
        <v>#REF!</v>
      </c>
      <c r="H42" s="28" t="e">
        <f t="shared" si="13"/>
        <v>#REF!</v>
      </c>
      <c r="J42" s="27" t="s">
        <v>136</v>
      </c>
      <c r="K42" s="24" t="e">
        <f>#REF!/2/4</f>
        <v>#REF!</v>
      </c>
      <c r="L42" s="24" t="e">
        <f>#REF!/2/4</f>
        <v>#REF!</v>
      </c>
      <c r="M42" s="24" t="e">
        <f>#REF!/2/4</f>
        <v>#REF!</v>
      </c>
      <c r="N42" s="24" t="e">
        <f>#REF!/2/4</f>
        <v>#REF!</v>
      </c>
      <c r="O42" s="28" t="e">
        <f t="shared" si="30"/>
        <v>#REF!</v>
      </c>
      <c r="Q42" s="27">
        <v>0</v>
      </c>
      <c r="R42" s="24"/>
      <c r="S42" s="24"/>
      <c r="T42" s="24"/>
      <c r="U42" s="24"/>
      <c r="V42" s="28">
        <f t="shared" si="31"/>
        <v>0</v>
      </c>
      <c r="X42" s="27">
        <v>0</v>
      </c>
      <c r="Y42" s="24"/>
      <c r="Z42" s="24"/>
      <c r="AA42" s="24"/>
      <c r="AB42" s="24"/>
      <c r="AC42" s="28">
        <f t="shared" si="32"/>
        <v>0</v>
      </c>
      <c r="AE42" s="27">
        <v>0</v>
      </c>
      <c r="AF42" s="24"/>
      <c r="AG42" s="24"/>
      <c r="AH42" s="24"/>
      <c r="AI42" s="24"/>
      <c r="AJ42" s="28">
        <f t="shared" si="33"/>
        <v>0</v>
      </c>
    </row>
    <row r="43" spans="3:36" ht="20.25" thickTop="1" thickBot="1" x14ac:dyDescent="0.25">
      <c r="C43" s="36" t="s">
        <v>127</v>
      </c>
      <c r="D43" s="37" t="e">
        <f>SUM(D37:D42)</f>
        <v>#REF!</v>
      </c>
      <c r="E43" s="37" t="e">
        <f t="shared" ref="E43" si="34">SUM(E37:E42)</f>
        <v>#REF!</v>
      </c>
      <c r="F43" s="37" t="e">
        <f t="shared" ref="F43" si="35">SUM(F37:F42)</f>
        <v>#REF!</v>
      </c>
      <c r="G43" s="38" t="e">
        <f t="shared" ref="G43" si="36">SUM(G37:G42)</f>
        <v>#REF!</v>
      </c>
      <c r="H43" s="38" t="e">
        <f>SUM(H37:H42)</f>
        <v>#REF!</v>
      </c>
      <c r="I43" s="42"/>
      <c r="J43" s="36" t="s">
        <v>127</v>
      </c>
      <c r="K43" s="37" t="e">
        <f>SUM(K37:K42)</f>
        <v>#REF!</v>
      </c>
      <c r="L43" s="37" t="e">
        <f t="shared" ref="L43:N43" si="37">SUM(L37:L42)</f>
        <v>#REF!</v>
      </c>
      <c r="M43" s="37" t="e">
        <f t="shared" si="37"/>
        <v>#REF!</v>
      </c>
      <c r="N43" s="38" t="e">
        <f t="shared" si="37"/>
        <v>#REF!</v>
      </c>
      <c r="O43" s="38" t="e">
        <f>SUM(O37:O42)</f>
        <v>#REF!</v>
      </c>
      <c r="Q43" s="36" t="s">
        <v>127</v>
      </c>
      <c r="R43" s="37">
        <f>SUM(R37:R42)</f>
        <v>98815.562927999999</v>
      </c>
      <c r="S43" s="37">
        <f t="shared" ref="S43:U43" si="38">SUM(S37:S42)</f>
        <v>82742.762928000011</v>
      </c>
      <c r="T43" s="37">
        <f t="shared" si="38"/>
        <v>69815.562927999999</v>
      </c>
      <c r="U43" s="38">
        <f t="shared" si="38"/>
        <v>79115.562927999999</v>
      </c>
      <c r="V43" s="38">
        <f>SUM(V37:V42)</f>
        <v>330489.45171200001</v>
      </c>
      <c r="X43" s="36" t="s">
        <v>127</v>
      </c>
      <c r="Y43" s="37">
        <f>SUM(Y37:Y42)</f>
        <v>99711.874186560002</v>
      </c>
      <c r="Z43" s="37">
        <f t="shared" ref="Z43:AB43" si="39">SUM(Z37:Z42)</f>
        <v>84013.618186560008</v>
      </c>
      <c r="AA43" s="37">
        <f t="shared" si="39"/>
        <v>70711.874186560002</v>
      </c>
      <c r="AB43" s="38">
        <f t="shared" si="39"/>
        <v>80011.874186560002</v>
      </c>
      <c r="AC43" s="38">
        <f>SUM(AC37:AC42)</f>
        <v>334449.24074624002</v>
      </c>
      <c r="AE43" s="36" t="s">
        <v>127</v>
      </c>
      <c r="AF43" s="37">
        <f>SUM(AF37:AF42)</f>
        <v>100626.1116702912</v>
      </c>
      <c r="AG43" s="37">
        <f t="shared" ref="AG43:AI43" si="40">SUM(AG37:AG42)</f>
        <v>85309.890550291209</v>
      </c>
      <c r="AH43" s="37">
        <f t="shared" si="40"/>
        <v>71626.111670291197</v>
      </c>
      <c r="AI43" s="38">
        <f t="shared" si="40"/>
        <v>80926.111670291197</v>
      </c>
      <c r="AJ43" s="38">
        <f>SUM(AJ37:AJ42)</f>
        <v>338488.22556116484</v>
      </c>
    </row>
    <row r="44" spans="3:36" ht="20.25" thickTop="1" thickBot="1" x14ac:dyDescent="0.25">
      <c r="C44" s="27" t="s">
        <v>129</v>
      </c>
      <c r="D44" s="26" t="e">
        <f>D35-D43</f>
        <v>#REF!</v>
      </c>
      <c r="E44" s="26" t="e">
        <f t="shared" ref="E44" si="41">E35-E43</f>
        <v>#VALUE!</v>
      </c>
      <c r="F44" s="26" t="e">
        <f t="shared" ref="F44" si="42">F35-F43</f>
        <v>#REF!</v>
      </c>
      <c r="G44" s="32" t="e">
        <f t="shared" ref="G44:H44" si="43">G35-G43</f>
        <v>#REF!</v>
      </c>
      <c r="H44" s="32" t="e">
        <f t="shared" si="43"/>
        <v>#VALUE!</v>
      </c>
      <c r="J44" s="27" t="s">
        <v>129</v>
      </c>
      <c r="K44" s="26" t="e">
        <f>K35-K43</f>
        <v>#REF!</v>
      </c>
      <c r="L44" s="26" t="e">
        <f t="shared" ref="L44:O44" si="44">L35-L43</f>
        <v>#VALUE!</v>
      </c>
      <c r="M44" s="26" t="e">
        <f t="shared" si="44"/>
        <v>#REF!</v>
      </c>
      <c r="N44" s="32" t="e">
        <f t="shared" si="44"/>
        <v>#REF!</v>
      </c>
      <c r="O44" s="32" t="e">
        <f t="shared" si="44"/>
        <v>#VALUE!</v>
      </c>
      <c r="Q44" s="27" t="s">
        <v>129</v>
      </c>
      <c r="R44" s="26">
        <f>R35-R43</f>
        <v>142998.75259200003</v>
      </c>
      <c r="S44" s="26" t="e">
        <f t="shared" ref="S44:V44" si="45">S35-S43</f>
        <v>#VALUE!</v>
      </c>
      <c r="T44" s="26">
        <f t="shared" si="45"/>
        <v>145895.032592</v>
      </c>
      <c r="U44" s="32">
        <f t="shared" si="45"/>
        <v>69961.85259200001</v>
      </c>
      <c r="V44" s="32" t="e">
        <f t="shared" si="45"/>
        <v>#VALUE!</v>
      </c>
      <c r="X44" s="27" t="s">
        <v>129</v>
      </c>
      <c r="Y44" s="26">
        <f>Y35-Y43</f>
        <v>162549.43914384011</v>
      </c>
      <c r="Z44" s="26" t="e">
        <f t="shared" ref="Z44:AC44" si="46">Z35-Z43</f>
        <v>#VALUE!</v>
      </c>
      <c r="AA44" s="26">
        <f t="shared" si="46"/>
        <v>163618.45874384005</v>
      </c>
      <c r="AB44" s="32">
        <f t="shared" si="46"/>
        <v>83020.956143840027</v>
      </c>
      <c r="AC44" s="32" t="e">
        <f t="shared" si="46"/>
        <v>#VALUE!</v>
      </c>
      <c r="AE44" s="27" t="s">
        <v>129</v>
      </c>
      <c r="AF44" s="26">
        <f>AF35-AF43</f>
        <v>183583.88923171695</v>
      </c>
      <c r="AG44" s="26" t="e">
        <f t="shared" ref="AG44:AJ44" si="47">AG35-AG43</f>
        <v>#VALUE!</v>
      </c>
      <c r="AH44" s="26">
        <f t="shared" si="47"/>
        <v>182697.74020371688</v>
      </c>
      <c r="AI44" s="32">
        <f t="shared" si="47"/>
        <v>97109.412421716872</v>
      </c>
      <c r="AJ44" s="32" t="e">
        <f t="shared" si="47"/>
        <v>#VALUE!</v>
      </c>
    </row>
    <row r="45" spans="3:36" ht="20.25" thickTop="1" thickBot="1" x14ac:dyDescent="0.25">
      <c r="C45" s="27" t="s">
        <v>130</v>
      </c>
      <c r="D45" s="24" t="e">
        <f>D44*'الدراسة المالية'!$D6</f>
        <v>#REF!</v>
      </c>
      <c r="E45" s="24" t="e">
        <f>E44*'الدراسة المالية'!$D6</f>
        <v>#VALUE!</v>
      </c>
      <c r="F45" s="24" t="e">
        <f>F44*'الدراسة المالية'!$D6</f>
        <v>#REF!</v>
      </c>
      <c r="G45" s="24" t="e">
        <f>G44*'الدراسة المالية'!$D6</f>
        <v>#REF!</v>
      </c>
      <c r="H45" s="28" t="e">
        <f t="shared" ref="H45" si="48">SUM(D45:G45)</f>
        <v>#REF!</v>
      </c>
      <c r="J45" s="27" t="s">
        <v>130</v>
      </c>
      <c r="K45" s="24" t="e">
        <f>K44*'الدراسة المالية'!$D6</f>
        <v>#REF!</v>
      </c>
      <c r="L45" s="24" t="e">
        <f>L44*'الدراسة المالية'!$D6</f>
        <v>#VALUE!</v>
      </c>
      <c r="M45" s="24" t="e">
        <f>M44*'الدراسة المالية'!$D6</f>
        <v>#REF!</v>
      </c>
      <c r="N45" s="24" t="e">
        <f>N44*'الدراسة المالية'!$D6</f>
        <v>#REF!</v>
      </c>
      <c r="O45" s="28" t="e">
        <f t="shared" ref="O45" si="49">SUM(K45:N45)</f>
        <v>#REF!</v>
      </c>
      <c r="Q45" s="27" t="s">
        <v>130</v>
      </c>
      <c r="R45" s="24">
        <f>R44*'الدراسة المالية'!$D6</f>
        <v>21449.812888800003</v>
      </c>
      <c r="S45" s="24" t="e">
        <f>S44*'الدراسة المالية'!$D6</f>
        <v>#VALUE!</v>
      </c>
      <c r="T45" s="24">
        <f>T44*'الدراسة المالية'!$D6</f>
        <v>21884.254888799998</v>
      </c>
      <c r="U45" s="24">
        <f>U44*'الدراسة المالية'!$D6</f>
        <v>10494.277888800001</v>
      </c>
      <c r="V45" s="28" t="e">
        <f t="shared" ref="V45" si="50">SUM(R45:U45)</f>
        <v>#VALUE!</v>
      </c>
      <c r="X45" s="27" t="s">
        <v>130</v>
      </c>
      <c r="Y45" s="24">
        <f>Y44*'الدراسة المالية'!$D6</f>
        <v>24382.415871576017</v>
      </c>
      <c r="Z45" s="24" t="e">
        <f>Z44*'الدراسة المالية'!$D6</f>
        <v>#VALUE!</v>
      </c>
      <c r="AA45" s="24">
        <f>AA44*'الدراسة المالية'!$D6</f>
        <v>24542.768811576007</v>
      </c>
      <c r="AB45" s="24">
        <f>AB44*'الدراسة المالية'!$D6</f>
        <v>12453.143421576004</v>
      </c>
      <c r="AC45" s="28" t="e">
        <f t="shared" ref="AC45" si="51">SUM(Y45:AB45)</f>
        <v>#VALUE!</v>
      </c>
      <c r="AE45" s="27" t="s">
        <v>130</v>
      </c>
      <c r="AF45" s="24">
        <f>AF44*'الدراسة المالية'!$D6</f>
        <v>27537.583384757541</v>
      </c>
      <c r="AG45" s="24" t="e">
        <f>AG44*'الدراسة المالية'!$D6</f>
        <v>#VALUE!</v>
      </c>
      <c r="AH45" s="24">
        <f>AH44*'الدراسة المالية'!$D6</f>
        <v>27404.66103055753</v>
      </c>
      <c r="AI45" s="24">
        <f>AI44*'الدراسة المالية'!$D6</f>
        <v>14566.41186325753</v>
      </c>
      <c r="AJ45" s="28" t="e">
        <f t="shared" ref="AJ45" si="52">SUM(AF45:AI45)</f>
        <v>#VALUE!</v>
      </c>
    </row>
    <row r="46" spans="3:36" ht="19.5" thickTop="1" x14ac:dyDescent="0.2">
      <c r="C46" s="33" t="s">
        <v>109</v>
      </c>
      <c r="D46" s="34" t="e">
        <f>D44-D45</f>
        <v>#REF!</v>
      </c>
      <c r="E46" s="34" t="e">
        <f t="shared" ref="E46" si="53">E44-E45</f>
        <v>#VALUE!</v>
      </c>
      <c r="F46" s="34" t="e">
        <f t="shared" ref="F46" si="54">F44-F45</f>
        <v>#REF!</v>
      </c>
      <c r="G46" s="35" t="e">
        <f t="shared" ref="G46:H46" si="55">G44-G45</f>
        <v>#REF!</v>
      </c>
      <c r="H46" s="35" t="e">
        <f t="shared" si="55"/>
        <v>#VALUE!</v>
      </c>
      <c r="J46" s="33" t="s">
        <v>109</v>
      </c>
      <c r="K46" s="34" t="e">
        <f>K44-K45</f>
        <v>#REF!</v>
      </c>
      <c r="L46" s="34" t="e">
        <f t="shared" ref="L46:O46" si="56">L44-L45</f>
        <v>#VALUE!</v>
      </c>
      <c r="M46" s="34" t="e">
        <f t="shared" si="56"/>
        <v>#REF!</v>
      </c>
      <c r="N46" s="35" t="e">
        <f t="shared" si="56"/>
        <v>#REF!</v>
      </c>
      <c r="O46" s="35" t="e">
        <f t="shared" si="56"/>
        <v>#VALUE!</v>
      </c>
      <c r="Q46" s="33" t="s">
        <v>109</v>
      </c>
      <c r="R46" s="34">
        <f>R44-R45</f>
        <v>121548.93970320003</v>
      </c>
      <c r="S46" s="34" t="e">
        <f t="shared" ref="S46:V46" si="57">S44-S45</f>
        <v>#VALUE!</v>
      </c>
      <c r="T46" s="34">
        <f t="shared" si="57"/>
        <v>124010.7777032</v>
      </c>
      <c r="U46" s="35">
        <f t="shared" si="57"/>
        <v>59467.574703200007</v>
      </c>
      <c r="V46" s="35" t="e">
        <f t="shared" si="57"/>
        <v>#VALUE!</v>
      </c>
      <c r="X46" s="33" t="s">
        <v>109</v>
      </c>
      <c r="Y46" s="34">
        <f>Y44-Y45</f>
        <v>138167.02327226408</v>
      </c>
      <c r="Z46" s="34" t="e">
        <f t="shared" ref="Z46:AC46" si="58">Z44-Z45</f>
        <v>#VALUE!</v>
      </c>
      <c r="AA46" s="34">
        <f t="shared" si="58"/>
        <v>139075.68993226404</v>
      </c>
      <c r="AB46" s="35">
        <f t="shared" si="58"/>
        <v>70567.812722264018</v>
      </c>
      <c r="AC46" s="35" t="e">
        <f t="shared" si="58"/>
        <v>#VALUE!</v>
      </c>
      <c r="AE46" s="33" t="s">
        <v>109</v>
      </c>
      <c r="AF46" s="34">
        <f>AF44-AF45</f>
        <v>156046.30584695941</v>
      </c>
      <c r="AG46" s="34" t="e">
        <f t="shared" ref="AG46:AJ46" si="59">AG44-AG45</f>
        <v>#VALUE!</v>
      </c>
      <c r="AH46" s="34">
        <f t="shared" si="59"/>
        <v>155293.07917315935</v>
      </c>
      <c r="AI46" s="35">
        <f t="shared" si="59"/>
        <v>82543.000558459345</v>
      </c>
      <c r="AJ46" s="35" t="e">
        <f t="shared" si="59"/>
        <v>#VALUE!</v>
      </c>
    </row>
    <row r="48" spans="3:36" x14ac:dyDescent="0.2">
      <c r="C48" s="63"/>
      <c r="D48" s="64" t="str">
        <f>D28</f>
        <v xml:space="preserve">المسبح </v>
      </c>
      <c r="E48" s="64" t="str">
        <f t="shared" ref="E48:G48" si="60">E28</f>
        <v xml:space="preserve">البادل </v>
      </c>
      <c r="F48" s="64" t="str">
        <f t="shared" si="60"/>
        <v>الملعب متعدد الأغراض</v>
      </c>
      <c r="G48" s="65" t="str">
        <f t="shared" si="60"/>
        <v xml:space="preserve">الصالة الرياضية </v>
      </c>
      <c r="H48" s="43"/>
    </row>
    <row r="49" spans="3:8" x14ac:dyDescent="0.2">
      <c r="C49" s="67" t="str">
        <f>'تحليل التعادل '!D9</f>
        <v>الإيرادات</v>
      </c>
      <c r="D49" s="68">
        <f>D29</f>
        <v>272700</v>
      </c>
      <c r="E49" s="68" t="e">
        <f t="shared" ref="E49:G49" si="61">E29</f>
        <v>#VALUE!</v>
      </c>
      <c r="F49" s="68">
        <f t="shared" si="61"/>
        <v>249900</v>
      </c>
      <c r="G49" s="69">
        <f t="shared" si="61"/>
        <v>191700</v>
      </c>
      <c r="H49" s="43"/>
    </row>
    <row r="50" spans="3:8" x14ac:dyDescent="0.2">
      <c r="C50" s="67" t="str">
        <f>'تحليل التعادل '!D10</f>
        <v xml:space="preserve">التكاليف المتغيرة </v>
      </c>
      <c r="D50" s="68">
        <f>D34</f>
        <v>67666.2</v>
      </c>
      <c r="E50" s="68">
        <f t="shared" ref="E50:G50" si="62">E34</f>
        <v>67666.2</v>
      </c>
      <c r="F50" s="68">
        <f t="shared" si="62"/>
        <v>67666.2</v>
      </c>
      <c r="G50" s="69">
        <f t="shared" si="62"/>
        <v>67666.2</v>
      </c>
    </row>
    <row r="51" spans="3:8" x14ac:dyDescent="0.2">
      <c r="C51" s="66" t="str">
        <f>'تحليل التعادل '!D11</f>
        <v xml:space="preserve">التكاليف الثابتة </v>
      </c>
      <c r="D51" s="68" t="e">
        <f>D43</f>
        <v>#REF!</v>
      </c>
      <c r="E51" s="68" t="e">
        <f t="shared" ref="E51:G51" si="63">E43</f>
        <v>#REF!</v>
      </c>
      <c r="F51" s="68" t="e">
        <f t="shared" si="63"/>
        <v>#REF!</v>
      </c>
      <c r="G51" s="69" t="e">
        <f t="shared" si="63"/>
        <v>#REF!</v>
      </c>
    </row>
    <row r="52" spans="3:8" x14ac:dyDescent="0.2">
      <c r="C52" s="67" t="str">
        <f>'تحليل التعادل '!D12</f>
        <v xml:space="preserve">نسبة هامش المساهمة </v>
      </c>
      <c r="D52" s="70">
        <f>100%-(D50/D49)</f>
        <v>0.75186578657865788</v>
      </c>
      <c r="E52" s="70" t="e">
        <f t="shared" ref="E52:G52" si="64">100%-(E50/E49)</f>
        <v>#VALUE!</v>
      </c>
      <c r="F52" s="70">
        <f t="shared" si="64"/>
        <v>0.72922689075630254</v>
      </c>
      <c r="G52" s="71">
        <f t="shared" si="64"/>
        <v>0.64702034428794986</v>
      </c>
    </row>
    <row r="53" spans="3:8" x14ac:dyDescent="0.2">
      <c r="C53" s="72" t="str">
        <f>'تحليل التعادل '!D13</f>
        <v xml:space="preserve">نقطة التعادل بالقيمة </v>
      </c>
      <c r="D53" s="73" t="e">
        <f>D51/D52</f>
        <v>#REF!</v>
      </c>
      <c r="E53" s="73" t="e">
        <f t="shared" ref="E53:G53" si="65">E51/E52</f>
        <v>#REF!</v>
      </c>
      <c r="F53" s="73" t="e">
        <f>F51/F52</f>
        <v>#REF!</v>
      </c>
      <c r="G53" s="74" t="e">
        <f t="shared" si="65"/>
        <v>#REF!</v>
      </c>
    </row>
  </sheetData>
  <mergeCells count="12">
    <mergeCell ref="Q26:V26"/>
    <mergeCell ref="Q27:V27"/>
    <mergeCell ref="X26:AC26"/>
    <mergeCell ref="X27:AC27"/>
    <mergeCell ref="AE26:AJ26"/>
    <mergeCell ref="AE27:AJ27"/>
    <mergeCell ref="C2:H2"/>
    <mergeCell ref="J2:L2"/>
    <mergeCell ref="C26:H26"/>
    <mergeCell ref="C27:H27"/>
    <mergeCell ref="J26:O26"/>
    <mergeCell ref="J27:O27"/>
  </mergeCells>
  <hyperlinks>
    <hyperlink ref="J2:L2" location="'جدول المحتويات '!A1" display="الرجوع إلى جدول المحتويات " xr:uid="{63BE8952-78DC-4E94-B6D2-7038A02BE722}"/>
  </hyperlink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34AAB-0909-40B0-91E9-93361477A000}">
  <dimension ref="A1:R23"/>
  <sheetViews>
    <sheetView showGridLines="0" rightToLeft="1" zoomScale="85" zoomScaleNormal="85" workbookViewId="0">
      <selection activeCell="B4" sqref="B4:H22"/>
    </sheetView>
  </sheetViews>
  <sheetFormatPr defaultColWidth="8.75" defaultRowHeight="16.5" x14ac:dyDescent="0.45"/>
  <cols>
    <col min="1" max="1" width="9" style="190" bestFit="1" customWidth="1"/>
    <col min="2" max="2" width="13.625" style="191" customWidth="1"/>
    <col min="3" max="3" width="0" style="191" hidden="1" customWidth="1"/>
    <col min="4" max="4" width="12.75" style="191" customWidth="1"/>
    <col min="5" max="5" width="12.875" style="191" bestFit="1" customWidth="1"/>
    <col min="6" max="6" width="24.125" style="191" customWidth="1"/>
    <col min="7" max="7" width="9.125" style="191" hidden="1" customWidth="1"/>
    <col min="8" max="8" width="14.125" style="191" bestFit="1" customWidth="1"/>
    <col min="9" max="12" width="8.75" style="191"/>
    <col min="13" max="13" width="12.125" style="191" bestFit="1" customWidth="1"/>
    <col min="14" max="16384" width="8.75" style="191"/>
  </cols>
  <sheetData>
    <row r="1" spans="1:18" ht="17.25" thickBot="1" x14ac:dyDescent="0.5"/>
    <row r="2" spans="1:18" ht="25.15" customHeight="1" thickTop="1" thickBot="1" x14ac:dyDescent="0.5">
      <c r="B2" s="321" t="s">
        <v>113</v>
      </c>
      <c r="C2" s="321"/>
      <c r="D2" s="321"/>
      <c r="E2" s="192">
        <f>'الدراسة المالية'!D7</f>
        <v>0.05</v>
      </c>
      <c r="F2" s="193"/>
      <c r="G2" s="193"/>
      <c r="H2" s="193"/>
      <c r="O2" s="322"/>
      <c r="P2" s="322"/>
      <c r="Q2" s="322"/>
      <c r="R2" s="322"/>
    </row>
    <row r="3" spans="1:18" ht="25.15" customHeight="1" thickTop="1" thickBot="1" x14ac:dyDescent="0.5">
      <c r="B3" s="193"/>
      <c r="C3" s="193"/>
      <c r="D3" s="193"/>
      <c r="E3" s="193"/>
      <c r="F3" s="193"/>
      <c r="G3" s="193"/>
      <c r="H3" s="193"/>
    </row>
    <row r="4" spans="1:18" ht="38.450000000000003" customHeight="1" thickTop="1" thickBot="1" x14ac:dyDescent="0.5">
      <c r="A4" s="194"/>
      <c r="B4" s="195" t="s">
        <v>114</v>
      </c>
      <c r="C4" s="195"/>
      <c r="D4" s="196" t="s">
        <v>115</v>
      </c>
      <c r="E4" s="196" t="s">
        <v>116</v>
      </c>
      <c r="F4" s="196" t="s">
        <v>117</v>
      </c>
      <c r="G4" s="197"/>
      <c r="H4" s="196" t="s">
        <v>118</v>
      </c>
      <c r="I4" s="198"/>
      <c r="J4" s="198"/>
      <c r="K4" s="199"/>
      <c r="L4" s="198"/>
      <c r="M4" s="200"/>
    </row>
    <row r="5" spans="1:18" ht="25.15" customHeight="1" thickTop="1" thickBot="1" x14ac:dyDescent="0.5">
      <c r="A5" s="194">
        <v>0</v>
      </c>
      <c r="B5" s="201">
        <v>0</v>
      </c>
      <c r="C5" s="202"/>
      <c r="D5" s="203"/>
      <c r="E5" s="203"/>
      <c r="F5" s="204" t="e">
        <f>-'الدراسة المالية'!G27</f>
        <v>#REF!</v>
      </c>
      <c r="G5" s="205" t="e">
        <f>F5</f>
        <v>#REF!</v>
      </c>
      <c r="H5" s="204" t="e">
        <f>F5</f>
        <v>#REF!</v>
      </c>
      <c r="I5" s="206"/>
      <c r="J5" s="198"/>
      <c r="K5" s="199"/>
      <c r="L5" s="198"/>
      <c r="M5" s="200"/>
    </row>
    <row r="6" spans="1:18" ht="25.15" customHeight="1" thickTop="1" thickBot="1" x14ac:dyDescent="0.5">
      <c r="A6" s="194">
        <v>1</v>
      </c>
      <c r="B6" s="201" t="s">
        <v>5</v>
      </c>
      <c r="C6" s="202"/>
      <c r="D6" s="203" t="e">
        <f>'قائمة الدخل التقديرية'!D46</f>
        <v>#REF!</v>
      </c>
      <c r="E6" s="203">
        <f>'قائمة الدخل التقديرية'!D$39</f>
        <v>0</v>
      </c>
      <c r="F6" s="203" t="e">
        <f>E6+D6</f>
        <v>#REF!</v>
      </c>
      <c r="G6" s="205" t="e">
        <f>G5+F6</f>
        <v>#REF!</v>
      </c>
      <c r="H6" s="203" t="e">
        <f>(F6*(1/((1+E$2)^A6)))</f>
        <v>#REF!</v>
      </c>
      <c r="I6" s="206"/>
    </row>
    <row r="7" spans="1:18" ht="25.15" customHeight="1" thickTop="1" thickBot="1" x14ac:dyDescent="0.5">
      <c r="A7" s="194">
        <v>2</v>
      </c>
      <c r="B7" s="201" t="s">
        <v>6</v>
      </c>
      <c r="C7" s="202"/>
      <c r="D7" s="203" t="e">
        <f>'قائمة الدخل التقديرية'!K46</f>
        <v>#REF!</v>
      </c>
      <c r="E7" s="203">
        <f>'قائمة الدخل التقديرية'!D$39</f>
        <v>0</v>
      </c>
      <c r="F7" s="203" t="e">
        <f t="shared" ref="F7:F10" si="0">E7+D7</f>
        <v>#REF!</v>
      </c>
      <c r="G7" s="205" t="e">
        <f>G6+F7</f>
        <v>#REF!</v>
      </c>
      <c r="H7" s="203" t="e">
        <f t="shared" ref="H7:H10" si="1">(F7*(1/((1+E$2)^A7)))</f>
        <v>#REF!</v>
      </c>
      <c r="I7" s="206"/>
    </row>
    <row r="8" spans="1:18" ht="25.15" customHeight="1" thickTop="1" thickBot="1" x14ac:dyDescent="0.5">
      <c r="A8" s="194">
        <v>3</v>
      </c>
      <c r="B8" s="201" t="s">
        <v>7</v>
      </c>
      <c r="C8" s="202"/>
      <c r="D8" s="203">
        <f>'قائمة الدخل التقديرية'!R46</f>
        <v>121548.93970320003</v>
      </c>
      <c r="E8" s="203">
        <f>'قائمة الدخل التقديرية'!D$39</f>
        <v>0</v>
      </c>
      <c r="F8" s="203">
        <f t="shared" si="0"/>
        <v>121548.93970320003</v>
      </c>
      <c r="G8" s="205" t="e">
        <f>G7+F8</f>
        <v>#REF!</v>
      </c>
      <c r="H8" s="203">
        <f t="shared" si="1"/>
        <v>104998.54417725949</v>
      </c>
      <c r="I8" s="206"/>
    </row>
    <row r="9" spans="1:18" ht="25.15" customHeight="1" thickTop="1" thickBot="1" x14ac:dyDescent="0.5">
      <c r="A9" s="194">
        <v>4</v>
      </c>
      <c r="B9" s="201" t="s">
        <v>8</v>
      </c>
      <c r="C9" s="202"/>
      <c r="D9" s="203">
        <f>'قائمة الدخل التقديرية'!Y46</f>
        <v>138167.02327226408</v>
      </c>
      <c r="E9" s="203">
        <f>'قائمة الدخل التقديرية'!D$39</f>
        <v>0</v>
      </c>
      <c r="F9" s="203">
        <f t="shared" si="0"/>
        <v>138167.02327226408</v>
      </c>
      <c r="G9" s="205" t="e">
        <f>G8+F9</f>
        <v>#REF!</v>
      </c>
      <c r="H9" s="203">
        <f t="shared" si="1"/>
        <v>113670.35198071921</v>
      </c>
      <c r="I9" s="206"/>
    </row>
    <row r="10" spans="1:18" ht="25.15" customHeight="1" thickTop="1" thickBot="1" x14ac:dyDescent="0.5">
      <c r="A10" s="194">
        <v>5</v>
      </c>
      <c r="B10" s="201" t="s">
        <v>9</v>
      </c>
      <c r="C10" s="202"/>
      <c r="D10" s="203">
        <f>'قائمة الدخل التقديرية'!AF46</f>
        <v>156046.30584695941</v>
      </c>
      <c r="E10" s="203">
        <f>'قائمة الدخل التقديرية'!D$39</f>
        <v>0</v>
      </c>
      <c r="F10" s="203">
        <f t="shared" si="0"/>
        <v>156046.30584695941</v>
      </c>
      <c r="G10" s="205" t="e">
        <f>G9+F10</f>
        <v>#REF!</v>
      </c>
      <c r="H10" s="203">
        <f t="shared" si="1"/>
        <v>122266.36381183278</v>
      </c>
      <c r="I10" s="206"/>
    </row>
    <row r="11" spans="1:18" ht="25.15" customHeight="1" thickTop="1" thickBot="1" x14ac:dyDescent="0.5">
      <c r="B11" s="193"/>
      <c r="C11" s="193"/>
      <c r="D11" s="193"/>
      <c r="E11" s="323" t="s">
        <v>119</v>
      </c>
      <c r="F11" s="323"/>
      <c r="G11" s="323"/>
      <c r="H11" s="207" t="e">
        <f>H5+NPV(E2,F6:F10)</f>
        <v>#REF!</v>
      </c>
    </row>
    <row r="12" spans="1:18" ht="25.15" customHeight="1" thickTop="1" thickBot="1" x14ac:dyDescent="0.5">
      <c r="B12" s="193"/>
      <c r="C12" s="193"/>
      <c r="D12" s="193"/>
      <c r="E12" s="323" t="s">
        <v>120</v>
      </c>
      <c r="F12" s="323"/>
      <c r="G12" s="323"/>
      <c r="H12" s="208" t="e">
        <f>IRR(F5:F10)</f>
        <v>#VALUE!</v>
      </c>
    </row>
    <row r="13" spans="1:18" ht="25.15" customHeight="1" thickTop="1" thickBot="1" x14ac:dyDescent="0.5">
      <c r="B13" s="193"/>
      <c r="C13" s="193"/>
      <c r="D13" s="193"/>
      <c r="E13" s="323" t="s">
        <v>121</v>
      </c>
      <c r="F13" s="323"/>
      <c r="G13" s="323"/>
      <c r="H13" s="209" t="e">
        <f>LOOKUP(0,G5:G10,(A5:A10)-(G5:G10/(F6:F10)))</f>
        <v>#N/A</v>
      </c>
    </row>
    <row r="14" spans="1:18" ht="18" thickTop="1" thickBot="1" x14ac:dyDescent="0.5">
      <c r="D14" s="320" t="s">
        <v>110</v>
      </c>
      <c r="E14" s="320"/>
      <c r="F14" s="320"/>
    </row>
    <row r="15" spans="1:18" ht="18" thickTop="1" thickBot="1" x14ac:dyDescent="0.5">
      <c r="D15" s="320"/>
      <c r="E15" s="320"/>
      <c r="F15" s="320"/>
    </row>
    <row r="16" spans="1:18" ht="34.5" thickTop="1" thickBot="1" x14ac:dyDescent="0.5">
      <c r="D16" s="210" t="s">
        <v>0</v>
      </c>
      <c r="E16" s="210" t="s">
        <v>111</v>
      </c>
      <c r="F16" s="210" t="s">
        <v>112</v>
      </c>
    </row>
    <row r="17" spans="4:6" ht="18" thickTop="1" thickBot="1" x14ac:dyDescent="0.5">
      <c r="D17" s="211">
        <v>0</v>
      </c>
      <c r="E17" s="212" t="e">
        <f>-F5</f>
        <v>#REF!</v>
      </c>
      <c r="F17" s="212">
        <v>0</v>
      </c>
    </row>
    <row r="18" spans="4:6" ht="18" thickTop="1" thickBot="1" x14ac:dyDescent="0.5">
      <c r="D18" s="211">
        <v>1</v>
      </c>
      <c r="E18" s="212" t="e">
        <f>E17</f>
        <v>#REF!</v>
      </c>
      <c r="F18" s="212" t="e">
        <f>F6</f>
        <v>#REF!</v>
      </c>
    </row>
    <row r="19" spans="4:6" ht="18" thickTop="1" thickBot="1" x14ac:dyDescent="0.5">
      <c r="D19" s="211">
        <v>2</v>
      </c>
      <c r="E19" s="212" t="e">
        <f>E18</f>
        <v>#REF!</v>
      </c>
      <c r="F19" s="212" t="e">
        <f>F18+F7</f>
        <v>#REF!</v>
      </c>
    </row>
    <row r="20" spans="4:6" ht="18" thickTop="1" thickBot="1" x14ac:dyDescent="0.5">
      <c r="D20" s="211">
        <v>3</v>
      </c>
      <c r="E20" s="212" t="e">
        <f>E19</f>
        <v>#REF!</v>
      </c>
      <c r="F20" s="212" t="e">
        <f>F19+F8</f>
        <v>#REF!</v>
      </c>
    </row>
    <row r="21" spans="4:6" ht="18" thickTop="1" thickBot="1" x14ac:dyDescent="0.5">
      <c r="D21" s="211">
        <v>4</v>
      </c>
      <c r="E21" s="212" t="e">
        <f>E20</f>
        <v>#REF!</v>
      </c>
      <c r="F21" s="212" t="e">
        <f>F20+F9</f>
        <v>#REF!</v>
      </c>
    </row>
    <row r="22" spans="4:6" ht="18" thickTop="1" thickBot="1" x14ac:dyDescent="0.5">
      <c r="D22" s="211">
        <v>5</v>
      </c>
      <c r="E22" s="212" t="e">
        <f>E21</f>
        <v>#REF!</v>
      </c>
      <c r="F22" s="212" t="e">
        <f>F21+F10</f>
        <v>#REF!</v>
      </c>
    </row>
    <row r="23" spans="4:6" ht="17.25" thickTop="1" x14ac:dyDescent="0.45"/>
  </sheetData>
  <mergeCells count="6">
    <mergeCell ref="D14:F15"/>
    <mergeCell ref="B2:D2"/>
    <mergeCell ref="O2:R2"/>
    <mergeCell ref="E11:G11"/>
    <mergeCell ref="E12:G12"/>
    <mergeCell ref="E13:G1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100C-7FC2-46A1-906E-383FDD8C1A6D}">
  <dimension ref="A1:R23"/>
  <sheetViews>
    <sheetView showGridLines="0" rightToLeft="1" topLeftCell="A4" workbookViewId="0">
      <selection activeCell="H4" sqref="B4:H22"/>
    </sheetView>
  </sheetViews>
  <sheetFormatPr defaultColWidth="8.75" defaultRowHeight="12.75" x14ac:dyDescent="0.3"/>
  <cols>
    <col min="1" max="1" width="8.875" style="213" bestFit="1" customWidth="1"/>
    <col min="2" max="2" width="22" style="214" customWidth="1"/>
    <col min="3" max="3" width="0" style="214" hidden="1" customWidth="1"/>
    <col min="4" max="4" width="12.75" style="214" customWidth="1"/>
    <col min="5" max="5" width="11.125" style="214" bestFit="1" customWidth="1"/>
    <col min="6" max="6" width="14.375" style="214" customWidth="1"/>
    <col min="7" max="7" width="7.75" style="214" hidden="1" customWidth="1"/>
    <col min="8" max="8" width="13" style="214" customWidth="1"/>
    <col min="9" max="12" width="8.75" style="214"/>
    <col min="13" max="13" width="12.125" style="214" bestFit="1" customWidth="1"/>
    <col min="14" max="16384" width="8.75" style="214"/>
  </cols>
  <sheetData>
    <row r="1" spans="1:18" ht="13.5" thickBot="1" x14ac:dyDescent="0.35"/>
    <row r="2" spans="1:18" ht="25.15" customHeight="1" thickTop="1" thickBot="1" x14ac:dyDescent="0.35">
      <c r="B2" s="325" t="s">
        <v>113</v>
      </c>
      <c r="C2" s="325"/>
      <c r="D2" s="325"/>
      <c r="E2" s="215">
        <f>'الدراسة المالية'!D7</f>
        <v>0.05</v>
      </c>
      <c r="F2" s="216"/>
      <c r="G2" s="216"/>
      <c r="H2" s="216"/>
      <c r="O2" s="326"/>
      <c r="P2" s="326"/>
      <c r="Q2" s="326"/>
      <c r="R2" s="326"/>
    </row>
    <row r="3" spans="1:18" ht="25.15" customHeight="1" thickTop="1" thickBot="1" x14ac:dyDescent="0.35">
      <c r="B3" s="216"/>
      <c r="C3" s="216"/>
      <c r="D3" s="216"/>
      <c r="E3" s="216"/>
      <c r="F3" s="216"/>
      <c r="G3" s="216"/>
      <c r="H3" s="216"/>
    </row>
    <row r="4" spans="1:18" ht="38.450000000000003" customHeight="1" thickTop="1" thickBot="1" x14ac:dyDescent="0.35">
      <c r="A4" s="217"/>
      <c r="B4" s="218" t="s">
        <v>114</v>
      </c>
      <c r="C4" s="218"/>
      <c r="D4" s="219" t="s">
        <v>115</v>
      </c>
      <c r="E4" s="219" t="s">
        <v>116</v>
      </c>
      <c r="F4" s="219" t="s">
        <v>117</v>
      </c>
      <c r="G4" s="218"/>
      <c r="H4" s="219" t="s">
        <v>118</v>
      </c>
      <c r="I4" s="220"/>
      <c r="J4" s="220"/>
      <c r="K4" s="221"/>
      <c r="L4" s="220"/>
      <c r="M4" s="222"/>
    </row>
    <row r="5" spans="1:18" ht="25.15" customHeight="1" thickTop="1" thickBot="1" x14ac:dyDescent="0.35">
      <c r="A5" s="217">
        <v>0</v>
      </c>
      <c r="B5" s="223">
        <v>0</v>
      </c>
      <c r="C5" s="224"/>
      <c r="D5" s="225"/>
      <c r="E5" s="225"/>
      <c r="F5" s="226" t="e">
        <f>-'الدراسة المالية'!H27</f>
        <v>#REF!</v>
      </c>
      <c r="G5" s="227" t="e">
        <f>F5</f>
        <v>#REF!</v>
      </c>
      <c r="H5" s="226" t="e">
        <f>F5</f>
        <v>#REF!</v>
      </c>
      <c r="I5" s="228"/>
      <c r="J5" s="220"/>
      <c r="K5" s="221"/>
      <c r="L5" s="220"/>
      <c r="M5" s="222"/>
    </row>
    <row r="6" spans="1:18" ht="25.15" customHeight="1" thickTop="1" thickBot="1" x14ac:dyDescent="0.35">
      <c r="A6" s="217">
        <v>1</v>
      </c>
      <c r="B6" s="223" t="s">
        <v>5</v>
      </c>
      <c r="C6" s="224"/>
      <c r="D6" s="225" t="e">
        <f>'قائمة الدخل التقديرية'!E46</f>
        <v>#VALUE!</v>
      </c>
      <c r="E6" s="225">
        <f>'قائمة الدخل التقديرية'!E$39</f>
        <v>0</v>
      </c>
      <c r="F6" s="225" t="e">
        <f>E6+D6</f>
        <v>#VALUE!</v>
      </c>
      <c r="G6" s="227" t="e">
        <f>G5+F6</f>
        <v>#REF!</v>
      </c>
      <c r="H6" s="225" t="e">
        <f>(F6*(1/((1+E$2)^A6)))</f>
        <v>#VALUE!</v>
      </c>
      <c r="I6" s="228"/>
    </row>
    <row r="7" spans="1:18" ht="25.15" customHeight="1" thickTop="1" thickBot="1" x14ac:dyDescent="0.35">
      <c r="A7" s="217">
        <v>2</v>
      </c>
      <c r="B7" s="223" t="s">
        <v>6</v>
      </c>
      <c r="C7" s="224"/>
      <c r="D7" s="225" t="e">
        <f>'قائمة الدخل التقديرية'!L46</f>
        <v>#VALUE!</v>
      </c>
      <c r="E7" s="225">
        <f>'قائمة الدخل التقديرية'!E$39</f>
        <v>0</v>
      </c>
      <c r="F7" s="225" t="e">
        <f t="shared" ref="F7:F10" si="0">E7+D7</f>
        <v>#VALUE!</v>
      </c>
      <c r="G7" s="227" t="e">
        <f>G6+F7</f>
        <v>#REF!</v>
      </c>
      <c r="H7" s="225" t="e">
        <f t="shared" ref="H7:H10" si="1">(F7*(1/((1+E$2)^A7)))</f>
        <v>#VALUE!</v>
      </c>
      <c r="I7" s="228"/>
    </row>
    <row r="8" spans="1:18" ht="25.15" customHeight="1" thickTop="1" thickBot="1" x14ac:dyDescent="0.35">
      <c r="A8" s="217">
        <v>3</v>
      </c>
      <c r="B8" s="223" t="s">
        <v>7</v>
      </c>
      <c r="C8" s="224"/>
      <c r="D8" s="225" t="e">
        <f>'قائمة الدخل التقديرية'!S46</f>
        <v>#VALUE!</v>
      </c>
      <c r="E8" s="225">
        <f>'قائمة الدخل التقديرية'!E$39</f>
        <v>0</v>
      </c>
      <c r="F8" s="225" t="e">
        <f t="shared" si="0"/>
        <v>#VALUE!</v>
      </c>
      <c r="G8" s="227" t="e">
        <f>G7+F8</f>
        <v>#REF!</v>
      </c>
      <c r="H8" s="225" t="e">
        <f t="shared" si="1"/>
        <v>#VALUE!</v>
      </c>
      <c r="I8" s="228"/>
    </row>
    <row r="9" spans="1:18" ht="25.15" customHeight="1" thickTop="1" thickBot="1" x14ac:dyDescent="0.35">
      <c r="A9" s="217">
        <v>4</v>
      </c>
      <c r="B9" s="223" t="s">
        <v>8</v>
      </c>
      <c r="C9" s="224"/>
      <c r="D9" s="225" t="e">
        <f>'قائمة الدخل التقديرية'!Z46</f>
        <v>#VALUE!</v>
      </c>
      <c r="E9" s="225">
        <f>'قائمة الدخل التقديرية'!E$39</f>
        <v>0</v>
      </c>
      <c r="F9" s="225" t="e">
        <f t="shared" si="0"/>
        <v>#VALUE!</v>
      </c>
      <c r="G9" s="227" t="e">
        <f>G8+F9</f>
        <v>#REF!</v>
      </c>
      <c r="H9" s="225" t="e">
        <f t="shared" si="1"/>
        <v>#VALUE!</v>
      </c>
      <c r="I9" s="228"/>
    </row>
    <row r="10" spans="1:18" ht="25.15" customHeight="1" thickTop="1" thickBot="1" x14ac:dyDescent="0.35">
      <c r="A10" s="217">
        <v>5</v>
      </c>
      <c r="B10" s="223" t="s">
        <v>9</v>
      </c>
      <c r="C10" s="224"/>
      <c r="D10" s="225" t="e">
        <f>'قائمة الدخل التقديرية'!AG46</f>
        <v>#VALUE!</v>
      </c>
      <c r="E10" s="225">
        <f>'قائمة الدخل التقديرية'!E$39</f>
        <v>0</v>
      </c>
      <c r="F10" s="225" t="e">
        <f t="shared" si="0"/>
        <v>#VALUE!</v>
      </c>
      <c r="G10" s="227" t="e">
        <f>G9+F10</f>
        <v>#REF!</v>
      </c>
      <c r="H10" s="225" t="e">
        <f t="shared" si="1"/>
        <v>#VALUE!</v>
      </c>
      <c r="I10" s="228"/>
    </row>
    <row r="11" spans="1:18" ht="25.15" customHeight="1" thickTop="1" thickBot="1" x14ac:dyDescent="0.35">
      <c r="B11" s="216"/>
      <c r="C11" s="216"/>
      <c r="D11" s="216"/>
      <c r="E11" s="327" t="s">
        <v>119</v>
      </c>
      <c r="F11" s="327"/>
      <c r="G11" s="327"/>
      <c r="H11" s="229" t="e">
        <f>H5+NPV(E2,F6:F10)</f>
        <v>#REF!</v>
      </c>
    </row>
    <row r="12" spans="1:18" ht="25.15" customHeight="1" thickTop="1" thickBot="1" x14ac:dyDescent="0.35">
      <c r="B12" s="216"/>
      <c r="C12" s="216"/>
      <c r="D12" s="216"/>
      <c r="E12" s="327" t="s">
        <v>120</v>
      </c>
      <c r="F12" s="327"/>
      <c r="G12" s="327"/>
      <c r="H12" s="230" t="e">
        <f>IRR(F5:F10)</f>
        <v>#VALUE!</v>
      </c>
    </row>
    <row r="13" spans="1:18" ht="25.15" customHeight="1" thickTop="1" thickBot="1" x14ac:dyDescent="0.35">
      <c r="B13" s="216"/>
      <c r="C13" s="216"/>
      <c r="D13" s="216"/>
      <c r="E13" s="327" t="s">
        <v>121</v>
      </c>
      <c r="F13" s="327"/>
      <c r="G13" s="327"/>
      <c r="H13" s="231" t="e" cm="1">
        <f t="array" ref="H13">LOOKUP(0,G5:G10,(A5:A10)-(G5:G10/(F6:F10)))</f>
        <v>#N/A</v>
      </c>
    </row>
    <row r="14" spans="1:18" ht="14.25" thickTop="1" thickBot="1" x14ac:dyDescent="0.35">
      <c r="D14" s="324" t="s">
        <v>110</v>
      </c>
      <c r="E14" s="324"/>
      <c r="F14" s="324"/>
    </row>
    <row r="15" spans="1:18" ht="14.25" thickTop="1" thickBot="1" x14ac:dyDescent="0.35">
      <c r="D15" s="324"/>
      <c r="E15" s="324"/>
      <c r="F15" s="324"/>
    </row>
    <row r="16" spans="1:18" ht="14.25" thickTop="1" thickBot="1" x14ac:dyDescent="0.35">
      <c r="D16" s="232" t="s">
        <v>0</v>
      </c>
      <c r="E16" s="232" t="s">
        <v>111</v>
      </c>
      <c r="F16" s="232" t="s">
        <v>112</v>
      </c>
    </row>
    <row r="17" spans="4:6" ht="14.25" thickTop="1" thickBot="1" x14ac:dyDescent="0.35">
      <c r="D17" s="233">
        <v>0</v>
      </c>
      <c r="E17" s="234" t="e">
        <f>-F5</f>
        <v>#REF!</v>
      </c>
      <c r="F17" s="234">
        <v>0</v>
      </c>
    </row>
    <row r="18" spans="4:6" ht="14.25" thickTop="1" thickBot="1" x14ac:dyDescent="0.35">
      <c r="D18" s="233">
        <v>1</v>
      </c>
      <c r="E18" s="234" t="e">
        <f>E17</f>
        <v>#REF!</v>
      </c>
      <c r="F18" s="234" t="e">
        <f>F6</f>
        <v>#VALUE!</v>
      </c>
    </row>
    <row r="19" spans="4:6" ht="14.25" thickTop="1" thickBot="1" x14ac:dyDescent="0.35">
      <c r="D19" s="233">
        <v>2</v>
      </c>
      <c r="E19" s="234" t="e">
        <f>E18</f>
        <v>#REF!</v>
      </c>
      <c r="F19" s="234" t="e">
        <f>F18+F7</f>
        <v>#VALUE!</v>
      </c>
    </row>
    <row r="20" spans="4:6" ht="14.25" thickTop="1" thickBot="1" x14ac:dyDescent="0.35">
      <c r="D20" s="233">
        <v>3</v>
      </c>
      <c r="E20" s="234" t="e">
        <f>E19</f>
        <v>#REF!</v>
      </c>
      <c r="F20" s="234" t="e">
        <f>F19+F8</f>
        <v>#VALUE!</v>
      </c>
    </row>
    <row r="21" spans="4:6" ht="14.25" thickTop="1" thickBot="1" x14ac:dyDescent="0.35">
      <c r="D21" s="233">
        <v>4</v>
      </c>
      <c r="E21" s="234" t="e">
        <f>E20</f>
        <v>#REF!</v>
      </c>
      <c r="F21" s="234" t="e">
        <f>F20+F9</f>
        <v>#VALUE!</v>
      </c>
    </row>
    <row r="22" spans="4:6" ht="14.25" thickTop="1" thickBot="1" x14ac:dyDescent="0.35">
      <c r="D22" s="233">
        <v>5</v>
      </c>
      <c r="E22" s="234" t="e">
        <f>E21</f>
        <v>#REF!</v>
      </c>
      <c r="F22" s="234" t="e">
        <f>F21+F10</f>
        <v>#VALUE!</v>
      </c>
    </row>
    <row r="23" spans="4:6" ht="13.5" thickTop="1" x14ac:dyDescent="0.3"/>
  </sheetData>
  <mergeCells count="6">
    <mergeCell ref="D14:F15"/>
    <mergeCell ref="B2:D2"/>
    <mergeCell ref="O2:R2"/>
    <mergeCell ref="E11:G11"/>
    <mergeCell ref="E12:G12"/>
    <mergeCell ref="E13:G1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2F0A-D324-41AB-93B1-BBFF69BB8927}">
  <dimension ref="A1:R23"/>
  <sheetViews>
    <sheetView showGridLines="0" rightToLeft="1" workbookViewId="0">
      <selection activeCell="H4" sqref="B4:H22"/>
    </sheetView>
  </sheetViews>
  <sheetFormatPr defaultColWidth="8.75" defaultRowHeight="15" x14ac:dyDescent="0.35"/>
  <cols>
    <col min="1" max="1" width="8.875" style="8" bestFit="1" customWidth="1"/>
    <col min="2" max="2" width="14.625" style="9" customWidth="1"/>
    <col min="3" max="3" width="0" style="9" hidden="1" customWidth="1"/>
    <col min="4" max="4" width="12.75" style="9" customWidth="1"/>
    <col min="5" max="5" width="11.125" style="9" bestFit="1" customWidth="1"/>
    <col min="6" max="6" width="14.375" style="9" customWidth="1"/>
    <col min="7" max="7" width="5.375" style="9" hidden="1" customWidth="1"/>
    <col min="8" max="8" width="13" style="9" customWidth="1"/>
    <col min="9" max="12" width="8.75" style="9"/>
    <col min="13" max="13" width="12.125" style="9" bestFit="1" customWidth="1"/>
    <col min="14" max="16384" width="8.75" style="9"/>
  </cols>
  <sheetData>
    <row r="1" spans="1:18" ht="15.75" thickBot="1" x14ac:dyDescent="0.4"/>
    <row r="2" spans="1:18" ht="25.15" customHeight="1" thickTop="1" thickBot="1" x14ac:dyDescent="0.4">
      <c r="B2" s="329" t="s">
        <v>113</v>
      </c>
      <c r="C2" s="329"/>
      <c r="D2" s="329"/>
      <c r="E2" s="58">
        <f>'الدراسة المالية'!D7</f>
        <v>0.05</v>
      </c>
      <c r="F2" s="10"/>
      <c r="G2" s="10"/>
      <c r="H2" s="10"/>
      <c r="O2" s="313"/>
      <c r="P2" s="313"/>
      <c r="Q2" s="313"/>
      <c r="R2" s="313"/>
    </row>
    <row r="3" spans="1:18" ht="25.15" customHeight="1" thickTop="1" thickBot="1" x14ac:dyDescent="0.4">
      <c r="B3" s="10"/>
      <c r="C3" s="10"/>
      <c r="D3" s="10"/>
      <c r="E3" s="10"/>
      <c r="F3" s="10"/>
      <c r="G3" s="10"/>
      <c r="H3" s="10"/>
    </row>
    <row r="4" spans="1:18" ht="38.450000000000003" customHeight="1" thickTop="1" thickBot="1" x14ac:dyDescent="0.4">
      <c r="A4" s="11"/>
      <c r="B4" s="59" t="s">
        <v>114</v>
      </c>
      <c r="C4" s="59"/>
      <c r="D4" s="60" t="s">
        <v>115</v>
      </c>
      <c r="E4" s="60" t="s">
        <v>116</v>
      </c>
      <c r="F4" s="60" t="s">
        <v>117</v>
      </c>
      <c r="G4" s="59"/>
      <c r="H4" s="60" t="s">
        <v>118</v>
      </c>
      <c r="I4" s="12"/>
      <c r="J4" s="12"/>
      <c r="K4" s="13"/>
      <c r="L4" s="12"/>
      <c r="M4" s="14"/>
    </row>
    <row r="5" spans="1:18" ht="25.15" customHeight="1" thickTop="1" thickBot="1" x14ac:dyDescent="0.4">
      <c r="A5" s="11">
        <v>0</v>
      </c>
      <c r="B5" s="15">
        <v>0</v>
      </c>
      <c r="C5" s="16"/>
      <c r="D5" s="17"/>
      <c r="E5" s="17"/>
      <c r="F5" s="18" t="e">
        <f>-'الدراسة المالية'!I27</f>
        <v>#REF!</v>
      </c>
      <c r="G5" s="19" t="e">
        <f>F5</f>
        <v>#REF!</v>
      </c>
      <c r="H5" s="18" t="e">
        <f>F5</f>
        <v>#REF!</v>
      </c>
      <c r="I5" s="20"/>
      <c r="J5" s="12"/>
      <c r="K5" s="13"/>
      <c r="L5" s="12"/>
      <c r="M5" s="14"/>
    </row>
    <row r="6" spans="1:18" ht="25.15" customHeight="1" thickTop="1" thickBot="1" x14ac:dyDescent="0.4">
      <c r="A6" s="11">
        <v>1</v>
      </c>
      <c r="B6" s="15" t="s">
        <v>5</v>
      </c>
      <c r="C6" s="16"/>
      <c r="D6" s="17" t="e">
        <f>'قائمة الدخل التقديرية'!F46</f>
        <v>#REF!</v>
      </c>
      <c r="E6" s="17">
        <f>'قائمة الدخل التقديرية'!F$39</f>
        <v>0</v>
      </c>
      <c r="F6" s="17" t="e">
        <f>E6+D6</f>
        <v>#REF!</v>
      </c>
      <c r="G6" s="19" t="e">
        <f>G5+F6</f>
        <v>#REF!</v>
      </c>
      <c r="H6" s="17" t="e">
        <f>(F6*(1/((1+E$2)^A6)))</f>
        <v>#REF!</v>
      </c>
      <c r="I6" s="20"/>
    </row>
    <row r="7" spans="1:18" ht="25.15" customHeight="1" thickTop="1" thickBot="1" x14ac:dyDescent="0.4">
      <c r="A7" s="11">
        <v>2</v>
      </c>
      <c r="B7" s="15" t="s">
        <v>6</v>
      </c>
      <c r="C7" s="16"/>
      <c r="D7" s="17" t="e">
        <f>'قائمة الدخل التقديرية'!M46</f>
        <v>#REF!</v>
      </c>
      <c r="E7" s="17">
        <f>'قائمة الدخل التقديرية'!F$39</f>
        <v>0</v>
      </c>
      <c r="F7" s="17" t="e">
        <f t="shared" ref="F7:F10" si="0">E7+D7</f>
        <v>#REF!</v>
      </c>
      <c r="G7" s="19" t="e">
        <f>G6+F7</f>
        <v>#REF!</v>
      </c>
      <c r="H7" s="17" t="e">
        <f t="shared" ref="H7:H10" si="1">(F7*(1/((1+E$2)^A7)))</f>
        <v>#REF!</v>
      </c>
      <c r="I7" s="20"/>
    </row>
    <row r="8" spans="1:18" ht="25.15" customHeight="1" thickTop="1" thickBot="1" x14ac:dyDescent="0.4">
      <c r="A8" s="11">
        <v>3</v>
      </c>
      <c r="B8" s="15" t="s">
        <v>7</v>
      </c>
      <c r="C8" s="16"/>
      <c r="D8" s="17">
        <f>'قائمة الدخل التقديرية'!T46</f>
        <v>124010.7777032</v>
      </c>
      <c r="E8" s="17">
        <f>'قائمة الدخل التقديرية'!F$39</f>
        <v>0</v>
      </c>
      <c r="F8" s="17">
        <f t="shared" si="0"/>
        <v>124010.7777032</v>
      </c>
      <c r="G8" s="19" t="e">
        <f>G7+F8</f>
        <v>#REF!</v>
      </c>
      <c r="H8" s="17">
        <f t="shared" si="1"/>
        <v>107125.172403153</v>
      </c>
      <c r="I8" s="20"/>
    </row>
    <row r="9" spans="1:18" ht="25.15" customHeight="1" thickTop="1" thickBot="1" x14ac:dyDescent="0.4">
      <c r="A9" s="11">
        <v>4</v>
      </c>
      <c r="B9" s="15" t="s">
        <v>8</v>
      </c>
      <c r="C9" s="16"/>
      <c r="D9" s="17">
        <f>'قائمة الدخل التقديرية'!AA46</f>
        <v>139075.68993226404</v>
      </c>
      <c r="E9" s="17">
        <f>'قائمة الدخل التقديرية'!F$39</f>
        <v>0</v>
      </c>
      <c r="F9" s="17">
        <f t="shared" si="0"/>
        <v>139075.68993226404</v>
      </c>
      <c r="G9" s="19" t="e">
        <f>G8+F9</f>
        <v>#REF!</v>
      </c>
      <c r="H9" s="17">
        <f t="shared" si="1"/>
        <v>114417.91429066205</v>
      </c>
      <c r="I9" s="20"/>
    </row>
    <row r="10" spans="1:18" ht="25.15" customHeight="1" thickTop="1" thickBot="1" x14ac:dyDescent="0.4">
      <c r="A10" s="11">
        <v>5</v>
      </c>
      <c r="B10" s="15" t="s">
        <v>9</v>
      </c>
      <c r="C10" s="16"/>
      <c r="D10" s="17">
        <f>'قائمة الدخل التقديرية'!AH46</f>
        <v>155293.07917315935</v>
      </c>
      <c r="E10" s="17">
        <f>'قائمة الدخل التقديرية'!F$39</f>
        <v>0</v>
      </c>
      <c r="F10" s="17">
        <f t="shared" si="0"/>
        <v>155293.07917315935</v>
      </c>
      <c r="G10" s="19" t="e">
        <f>G9+F10</f>
        <v>#REF!</v>
      </c>
      <c r="H10" s="17">
        <f t="shared" si="1"/>
        <v>121676.19100362842</v>
      </c>
      <c r="I10" s="20"/>
    </row>
    <row r="11" spans="1:18" ht="25.15" customHeight="1" thickTop="1" thickBot="1" x14ac:dyDescent="0.4">
      <c r="B11" s="10"/>
      <c r="C11" s="10"/>
      <c r="D11" s="10"/>
      <c r="E11" s="330" t="s">
        <v>119</v>
      </c>
      <c r="F11" s="330"/>
      <c r="G11" s="330"/>
      <c r="H11" s="21" t="e">
        <f>H5+NPV(E2,F6:F10)</f>
        <v>#REF!</v>
      </c>
    </row>
    <row r="12" spans="1:18" ht="25.15" customHeight="1" thickTop="1" thickBot="1" x14ac:dyDescent="0.4">
      <c r="B12" s="10"/>
      <c r="C12" s="10"/>
      <c r="D12" s="10"/>
      <c r="E12" s="330" t="s">
        <v>120</v>
      </c>
      <c r="F12" s="330"/>
      <c r="G12" s="330"/>
      <c r="H12" s="22" t="e">
        <f>IRR(F5:F10)</f>
        <v>#VALUE!</v>
      </c>
    </row>
    <row r="13" spans="1:18" ht="25.15" customHeight="1" thickTop="1" thickBot="1" x14ac:dyDescent="0.4">
      <c r="B13" s="10"/>
      <c r="C13" s="10"/>
      <c r="D13" s="10"/>
      <c r="E13" s="330" t="s">
        <v>121</v>
      </c>
      <c r="F13" s="330"/>
      <c r="G13" s="330"/>
      <c r="H13" s="23" t="e">
        <f>LOOKUP(0,G5:G10,(A5:A10)-(G5:G10/(F6:F10)))</f>
        <v>#N/A</v>
      </c>
    </row>
    <row r="14" spans="1:18" ht="16.5" thickTop="1" thickBot="1" x14ac:dyDescent="0.4">
      <c r="D14" s="328" t="s">
        <v>110</v>
      </c>
      <c r="E14" s="328"/>
      <c r="F14" s="328"/>
    </row>
    <row r="15" spans="1:18" ht="16.5" thickTop="1" thickBot="1" x14ac:dyDescent="0.4">
      <c r="D15" s="328"/>
      <c r="E15" s="328"/>
      <c r="F15" s="328"/>
    </row>
    <row r="16" spans="1:18" ht="71.25" thickTop="1" thickBot="1" x14ac:dyDescent="0.4">
      <c r="D16" s="5" t="s">
        <v>0</v>
      </c>
      <c r="E16" s="5" t="s">
        <v>111</v>
      </c>
      <c r="F16" s="5" t="s">
        <v>112</v>
      </c>
    </row>
    <row r="17" spans="4:6" ht="17.25" thickTop="1" thickBot="1" x14ac:dyDescent="0.4">
      <c r="D17" s="6">
        <v>0</v>
      </c>
      <c r="E17" s="7" t="e">
        <f>-F5</f>
        <v>#REF!</v>
      </c>
      <c r="F17" s="7">
        <v>0</v>
      </c>
    </row>
    <row r="18" spans="4:6" ht="17.25" thickTop="1" thickBot="1" x14ac:dyDescent="0.4">
      <c r="D18" s="6">
        <v>1</v>
      </c>
      <c r="E18" s="7" t="e">
        <f>E17</f>
        <v>#REF!</v>
      </c>
      <c r="F18" s="7" t="e">
        <f>F6</f>
        <v>#REF!</v>
      </c>
    </row>
    <row r="19" spans="4:6" ht="17.25" thickTop="1" thickBot="1" x14ac:dyDescent="0.4">
      <c r="D19" s="6">
        <v>2</v>
      </c>
      <c r="E19" s="7" t="e">
        <f>E18</f>
        <v>#REF!</v>
      </c>
      <c r="F19" s="7" t="e">
        <f>F18+F7</f>
        <v>#REF!</v>
      </c>
    </row>
    <row r="20" spans="4:6" ht="17.25" thickTop="1" thickBot="1" x14ac:dyDescent="0.4">
      <c r="D20" s="6">
        <v>3</v>
      </c>
      <c r="E20" s="7" t="e">
        <f>E19</f>
        <v>#REF!</v>
      </c>
      <c r="F20" s="7" t="e">
        <f>F19+F8</f>
        <v>#REF!</v>
      </c>
    </row>
    <row r="21" spans="4:6" ht="17.25" thickTop="1" thickBot="1" x14ac:dyDescent="0.4">
      <c r="D21" s="6">
        <v>4</v>
      </c>
      <c r="E21" s="7" t="e">
        <f>E20</f>
        <v>#REF!</v>
      </c>
      <c r="F21" s="7" t="e">
        <f>F20+F9</f>
        <v>#REF!</v>
      </c>
    </row>
    <row r="22" spans="4:6" ht="17.25" thickTop="1" thickBot="1" x14ac:dyDescent="0.4">
      <c r="D22" s="6">
        <v>5</v>
      </c>
      <c r="E22" s="7" t="e">
        <f>E21</f>
        <v>#REF!</v>
      </c>
      <c r="F22" s="7" t="e">
        <f>F21+F10</f>
        <v>#REF!</v>
      </c>
    </row>
    <row r="23" spans="4:6" ht="15.75" thickTop="1" x14ac:dyDescent="0.35"/>
  </sheetData>
  <mergeCells count="6">
    <mergeCell ref="D14:F15"/>
    <mergeCell ref="B2:D2"/>
    <mergeCell ref="O2:R2"/>
    <mergeCell ref="E11:G11"/>
    <mergeCell ref="E12:G12"/>
    <mergeCell ref="E13:G13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DE055-9BF0-4C9E-B45E-E15F568DEC46}">
  <dimension ref="A1:R23"/>
  <sheetViews>
    <sheetView showGridLines="0" rightToLeft="1" topLeftCell="A9" workbookViewId="0">
      <selection activeCell="J11" sqref="J11"/>
    </sheetView>
  </sheetViews>
  <sheetFormatPr defaultColWidth="8.75" defaultRowHeight="16.5" x14ac:dyDescent="0.45"/>
  <cols>
    <col min="1" max="1" width="8.875" style="190" bestFit="1" customWidth="1"/>
    <col min="2" max="2" width="12.375" style="191" customWidth="1"/>
    <col min="3" max="3" width="0" style="191" hidden="1" customWidth="1"/>
    <col min="4" max="4" width="12.75" style="191" customWidth="1"/>
    <col min="5" max="5" width="11.125" style="191" bestFit="1" customWidth="1"/>
    <col min="6" max="6" width="14.375" style="191" customWidth="1"/>
    <col min="7" max="7" width="5.375" style="191" hidden="1" customWidth="1"/>
    <col min="8" max="8" width="13" style="191" customWidth="1"/>
    <col min="9" max="12" width="8.75" style="191"/>
    <col min="13" max="13" width="12.125" style="191" bestFit="1" customWidth="1"/>
    <col min="14" max="16384" width="8.75" style="191"/>
  </cols>
  <sheetData>
    <row r="1" spans="1:18" ht="17.25" thickBot="1" x14ac:dyDescent="0.5"/>
    <row r="2" spans="1:18" ht="25.15" customHeight="1" thickTop="1" thickBot="1" x14ac:dyDescent="0.5">
      <c r="B2" s="321" t="s">
        <v>113</v>
      </c>
      <c r="C2" s="321"/>
      <c r="D2" s="321"/>
      <c r="E2" s="192">
        <f>'الدراسة المالية'!D7</f>
        <v>0.05</v>
      </c>
      <c r="F2" s="193"/>
      <c r="G2" s="193"/>
      <c r="H2" s="193"/>
      <c r="O2" s="322"/>
      <c r="P2" s="322"/>
      <c r="Q2" s="322"/>
      <c r="R2" s="322"/>
    </row>
    <row r="3" spans="1:18" ht="25.15" customHeight="1" thickTop="1" thickBot="1" x14ac:dyDescent="0.5">
      <c r="B3" s="193"/>
      <c r="C3" s="193"/>
      <c r="D3" s="193"/>
      <c r="E3" s="193"/>
      <c r="F3" s="193"/>
      <c r="G3" s="193"/>
      <c r="H3" s="193"/>
    </row>
    <row r="4" spans="1:18" ht="38.450000000000003" customHeight="1" thickTop="1" thickBot="1" x14ac:dyDescent="0.5">
      <c r="A4" s="194"/>
      <c r="B4" s="195" t="s">
        <v>114</v>
      </c>
      <c r="C4" s="195"/>
      <c r="D4" s="196" t="s">
        <v>115</v>
      </c>
      <c r="E4" s="196" t="s">
        <v>116</v>
      </c>
      <c r="F4" s="196" t="s">
        <v>117</v>
      </c>
      <c r="G4" s="195"/>
      <c r="H4" s="196" t="s">
        <v>118</v>
      </c>
      <c r="I4" s="198"/>
      <c r="J4" s="198"/>
      <c r="K4" s="199"/>
      <c r="L4" s="198"/>
      <c r="M4" s="200"/>
    </row>
    <row r="5" spans="1:18" ht="25.15" customHeight="1" thickTop="1" thickBot="1" x14ac:dyDescent="0.5">
      <c r="A5" s="194">
        <v>0</v>
      </c>
      <c r="B5" s="201">
        <v>0</v>
      </c>
      <c r="C5" s="202"/>
      <c r="D5" s="203"/>
      <c r="E5" s="203"/>
      <c r="F5" s="204" t="e">
        <f>-'الدراسة المالية'!J27</f>
        <v>#REF!</v>
      </c>
      <c r="G5" s="205" t="e">
        <f>F5</f>
        <v>#REF!</v>
      </c>
      <c r="H5" s="204" t="e">
        <f>F5</f>
        <v>#REF!</v>
      </c>
      <c r="I5" s="206"/>
      <c r="J5" s="198"/>
      <c r="K5" s="199"/>
      <c r="L5" s="198"/>
      <c r="M5" s="200"/>
    </row>
    <row r="6" spans="1:18" ht="25.15" customHeight="1" thickTop="1" thickBot="1" x14ac:dyDescent="0.5">
      <c r="A6" s="194">
        <v>1</v>
      </c>
      <c r="B6" s="201" t="s">
        <v>5</v>
      </c>
      <c r="C6" s="202"/>
      <c r="D6" s="203" t="e">
        <f>'قائمة الدخل التقديرية'!G46</f>
        <v>#REF!</v>
      </c>
      <c r="E6" s="203">
        <f>'قائمة الدخل التقديرية'!G$39</f>
        <v>0</v>
      </c>
      <c r="F6" s="203" t="e">
        <f>E6+D6</f>
        <v>#REF!</v>
      </c>
      <c r="G6" s="205" t="e">
        <f>G5+F6</f>
        <v>#REF!</v>
      </c>
      <c r="H6" s="203" t="e">
        <f>(F6*(1/((1+E$2)^A6)))</f>
        <v>#REF!</v>
      </c>
      <c r="I6" s="206"/>
    </row>
    <row r="7" spans="1:18" ht="25.15" customHeight="1" thickTop="1" thickBot="1" x14ac:dyDescent="0.5">
      <c r="A7" s="194">
        <v>2</v>
      </c>
      <c r="B7" s="201" t="s">
        <v>6</v>
      </c>
      <c r="C7" s="202"/>
      <c r="D7" s="203" t="e">
        <f>'قائمة الدخل التقديرية'!N46</f>
        <v>#REF!</v>
      </c>
      <c r="E7" s="203">
        <f>'قائمة الدخل التقديرية'!G$39</f>
        <v>0</v>
      </c>
      <c r="F7" s="203" t="e">
        <f t="shared" ref="F7:F10" si="0">E7+D7</f>
        <v>#REF!</v>
      </c>
      <c r="G7" s="205" t="e">
        <f>G6+F7</f>
        <v>#REF!</v>
      </c>
      <c r="H7" s="203" t="e">
        <f t="shared" ref="H7:H10" si="1">(F7*(1/((1+E$2)^A7)))</f>
        <v>#REF!</v>
      </c>
      <c r="I7" s="206"/>
    </row>
    <row r="8" spans="1:18" ht="25.15" customHeight="1" thickTop="1" thickBot="1" x14ac:dyDescent="0.5">
      <c r="A8" s="194">
        <v>3</v>
      </c>
      <c r="B8" s="201" t="s">
        <v>7</v>
      </c>
      <c r="C8" s="202"/>
      <c r="D8" s="203">
        <f>'قائمة الدخل التقديرية'!U46</f>
        <v>59467.574703200007</v>
      </c>
      <c r="E8" s="203">
        <f>'قائمة الدخل التقديرية'!G$39</f>
        <v>0</v>
      </c>
      <c r="F8" s="203">
        <f t="shared" si="0"/>
        <v>59467.574703200007</v>
      </c>
      <c r="G8" s="205" t="e">
        <f>G7+F8</f>
        <v>#REF!</v>
      </c>
      <c r="H8" s="203">
        <f t="shared" si="1"/>
        <v>51370.32692210345</v>
      </c>
      <c r="I8" s="206"/>
    </row>
    <row r="9" spans="1:18" ht="25.15" customHeight="1" thickTop="1" thickBot="1" x14ac:dyDescent="0.5">
      <c r="A9" s="194">
        <v>4</v>
      </c>
      <c r="B9" s="201" t="s">
        <v>8</v>
      </c>
      <c r="C9" s="202"/>
      <c r="D9" s="203">
        <f>'قائمة الدخل التقديرية'!AB46</f>
        <v>70567.812722264018</v>
      </c>
      <c r="E9" s="203">
        <f>'قائمة الدخل التقديرية'!G$39</f>
        <v>0</v>
      </c>
      <c r="F9" s="203">
        <f t="shared" si="0"/>
        <v>70567.812722264018</v>
      </c>
      <c r="G9" s="205" t="e">
        <f>G8+F9</f>
        <v>#REF!</v>
      </c>
      <c r="H9" s="203">
        <f t="shared" si="1"/>
        <v>58056.314167256663</v>
      </c>
      <c r="I9" s="206"/>
    </row>
    <row r="10" spans="1:18" ht="25.15" customHeight="1" thickTop="1" thickBot="1" x14ac:dyDescent="0.5">
      <c r="A10" s="194">
        <v>5</v>
      </c>
      <c r="B10" s="201" t="s">
        <v>9</v>
      </c>
      <c r="C10" s="202"/>
      <c r="D10" s="203">
        <f>'قائمة الدخل التقديرية'!AI46</f>
        <v>82543.000558459345</v>
      </c>
      <c r="E10" s="203">
        <f>'قائمة الدخل التقديرية'!G$39</f>
        <v>0</v>
      </c>
      <c r="F10" s="203">
        <f t="shared" si="0"/>
        <v>82543.000558459345</v>
      </c>
      <c r="G10" s="205" t="e">
        <f>G9+F10</f>
        <v>#REF!</v>
      </c>
      <c r="H10" s="203">
        <f t="shared" si="1"/>
        <v>64674.600796373517</v>
      </c>
      <c r="I10" s="206"/>
    </row>
    <row r="11" spans="1:18" ht="25.15" customHeight="1" thickTop="1" thickBot="1" x14ac:dyDescent="0.5">
      <c r="B11" s="193"/>
      <c r="C11" s="193"/>
      <c r="D11" s="193"/>
      <c r="E11" s="323" t="s">
        <v>119</v>
      </c>
      <c r="F11" s="323"/>
      <c r="G11" s="323"/>
      <c r="H11" s="207" t="e">
        <f>H5+NPV(E2,F6:F10)</f>
        <v>#REF!</v>
      </c>
    </row>
    <row r="12" spans="1:18" ht="25.15" customHeight="1" thickTop="1" thickBot="1" x14ac:dyDescent="0.5">
      <c r="B12" s="193"/>
      <c r="C12" s="193"/>
      <c r="D12" s="193"/>
      <c r="E12" s="323" t="s">
        <v>120</v>
      </c>
      <c r="F12" s="323"/>
      <c r="G12" s="323"/>
      <c r="H12" s="208" t="e">
        <f>IRR(F5:F10)</f>
        <v>#VALUE!</v>
      </c>
    </row>
    <row r="13" spans="1:18" ht="25.15" customHeight="1" thickTop="1" thickBot="1" x14ac:dyDescent="0.5">
      <c r="B13" s="193"/>
      <c r="C13" s="193"/>
      <c r="D13" s="193"/>
      <c r="E13" s="323" t="s">
        <v>121</v>
      </c>
      <c r="F13" s="323"/>
      <c r="G13" s="323"/>
      <c r="H13" s="209" t="e">
        <f>LOOKUP(0,G5:G10,(A5:A10)-(G5:G10/(F6:F10)))</f>
        <v>#N/A</v>
      </c>
    </row>
    <row r="14" spans="1:18" ht="18" thickTop="1" thickBot="1" x14ac:dyDescent="0.5">
      <c r="D14" s="320" t="s">
        <v>110</v>
      </c>
      <c r="E14" s="320"/>
      <c r="F14" s="320"/>
    </row>
    <row r="15" spans="1:18" ht="18" thickTop="1" thickBot="1" x14ac:dyDescent="0.5">
      <c r="D15" s="320"/>
      <c r="E15" s="320"/>
      <c r="F15" s="320"/>
    </row>
    <row r="16" spans="1:18" ht="34.5" thickTop="1" thickBot="1" x14ac:dyDescent="0.5">
      <c r="D16" s="210" t="s">
        <v>0</v>
      </c>
      <c r="E16" s="210" t="s">
        <v>111</v>
      </c>
      <c r="F16" s="210" t="s">
        <v>112</v>
      </c>
    </row>
    <row r="17" spans="4:6" ht="18" thickTop="1" thickBot="1" x14ac:dyDescent="0.5">
      <c r="D17" s="211">
        <v>0</v>
      </c>
      <c r="E17" s="212" t="e">
        <f>-F5</f>
        <v>#REF!</v>
      </c>
      <c r="F17" s="212">
        <v>0</v>
      </c>
    </row>
    <row r="18" spans="4:6" ht="18" thickTop="1" thickBot="1" x14ac:dyDescent="0.5">
      <c r="D18" s="211">
        <v>1</v>
      </c>
      <c r="E18" s="212" t="e">
        <f>E17</f>
        <v>#REF!</v>
      </c>
      <c r="F18" s="212" t="e">
        <f>F6</f>
        <v>#REF!</v>
      </c>
    </row>
    <row r="19" spans="4:6" ht="18" thickTop="1" thickBot="1" x14ac:dyDescent="0.5">
      <c r="D19" s="211">
        <v>2</v>
      </c>
      <c r="E19" s="212" t="e">
        <f>E18</f>
        <v>#REF!</v>
      </c>
      <c r="F19" s="212" t="e">
        <f>F18+F7</f>
        <v>#REF!</v>
      </c>
    </row>
    <row r="20" spans="4:6" ht="18" thickTop="1" thickBot="1" x14ac:dyDescent="0.5">
      <c r="D20" s="211">
        <v>3</v>
      </c>
      <c r="E20" s="212" t="e">
        <f>E19</f>
        <v>#REF!</v>
      </c>
      <c r="F20" s="212" t="e">
        <f>F19+F8</f>
        <v>#REF!</v>
      </c>
    </row>
    <row r="21" spans="4:6" ht="18" thickTop="1" thickBot="1" x14ac:dyDescent="0.5">
      <c r="D21" s="211">
        <v>4</v>
      </c>
      <c r="E21" s="212" t="e">
        <f>E20</f>
        <v>#REF!</v>
      </c>
      <c r="F21" s="212" t="e">
        <f>F20+F9</f>
        <v>#REF!</v>
      </c>
    </row>
    <row r="22" spans="4:6" ht="18" thickTop="1" thickBot="1" x14ac:dyDescent="0.5">
      <c r="D22" s="211">
        <v>5</v>
      </c>
      <c r="E22" s="212" t="e">
        <f>E21</f>
        <v>#REF!</v>
      </c>
      <c r="F22" s="212" t="e">
        <f>F21+F10</f>
        <v>#REF!</v>
      </c>
    </row>
    <row r="23" spans="4:6" ht="17.25" thickTop="1" x14ac:dyDescent="0.45"/>
  </sheetData>
  <mergeCells count="6">
    <mergeCell ref="D14:F15"/>
    <mergeCell ref="B2:D2"/>
    <mergeCell ref="O2:R2"/>
    <mergeCell ref="E11:G11"/>
    <mergeCell ref="E12:G12"/>
    <mergeCell ref="E13:G1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1D587-F66F-4ECD-A328-68C4BE590A6D}">
  <sheetPr codeName="Sheet2"/>
  <dimension ref="B2:I13"/>
  <sheetViews>
    <sheetView showGridLines="0" rightToLeft="1" zoomScale="70" zoomScaleNormal="70" workbookViewId="0">
      <selection activeCell="D12" sqref="B3:D12"/>
    </sheetView>
  </sheetViews>
  <sheetFormatPr defaultRowHeight="14.25" x14ac:dyDescent="0.2"/>
  <cols>
    <col min="2" max="2" width="9" style="2"/>
    <col min="3" max="4" width="22.75" customWidth="1"/>
  </cols>
  <sheetData>
    <row r="2" spans="2:9" ht="15" thickBot="1" x14ac:dyDescent="0.25"/>
    <row r="3" spans="2:9" ht="16.899999999999999" customHeight="1" thickTop="1" thickBot="1" x14ac:dyDescent="0.25">
      <c r="B3" s="328" t="s">
        <v>110</v>
      </c>
      <c r="C3" s="328"/>
      <c r="D3" s="328"/>
    </row>
    <row r="4" spans="2:9" ht="21.6" customHeight="1" thickTop="1" thickBot="1" x14ac:dyDescent="0.25">
      <c r="B4" s="328"/>
      <c r="C4" s="328"/>
      <c r="D4" s="328"/>
      <c r="F4" s="331"/>
      <c r="G4" s="331"/>
      <c r="H4" s="331"/>
      <c r="I4" s="331"/>
    </row>
    <row r="5" spans="2:9" ht="15.75" thickTop="1" thickBot="1" x14ac:dyDescent="0.25">
      <c r="B5" s="77"/>
      <c r="C5" s="1"/>
      <c r="D5" s="1"/>
    </row>
    <row r="6" spans="2:9" ht="48" customHeight="1" thickTop="1" thickBot="1" x14ac:dyDescent="0.25">
      <c r="B6" s="5" t="s">
        <v>0</v>
      </c>
      <c r="C6" s="5" t="s">
        <v>111</v>
      </c>
      <c r="D6" s="5" t="s">
        <v>112</v>
      </c>
    </row>
    <row r="7" spans="2:9" ht="25.15" customHeight="1" thickTop="1" thickBot="1" x14ac:dyDescent="0.25">
      <c r="B7" s="6">
        <v>0</v>
      </c>
      <c r="C7" s="7" t="e">
        <f>'الدراسة المالية'!G17</f>
        <v>#REF!</v>
      </c>
      <c r="D7" s="7">
        <v>0</v>
      </c>
    </row>
    <row r="8" spans="2:9" ht="25.15" customHeight="1" thickTop="1" thickBot="1" x14ac:dyDescent="0.25">
      <c r="B8" s="6">
        <v>1</v>
      </c>
      <c r="C8" s="7" t="e">
        <f>C7</f>
        <v>#REF!</v>
      </c>
      <c r="D8" s="7" t="e">
        <f>'مؤشرات تقييم المشروع '!F6</f>
        <v>#VALUE!</v>
      </c>
    </row>
    <row r="9" spans="2:9" ht="25.15" customHeight="1" thickTop="1" thickBot="1" x14ac:dyDescent="0.25">
      <c r="B9" s="6">
        <v>2</v>
      </c>
      <c r="C9" s="7" t="e">
        <f>C8</f>
        <v>#REF!</v>
      </c>
      <c r="D9" s="7" t="e">
        <f>D8+'مؤشرات تقييم المشروع '!F7</f>
        <v>#VALUE!</v>
      </c>
    </row>
    <row r="10" spans="2:9" ht="25.15" customHeight="1" thickTop="1" thickBot="1" x14ac:dyDescent="0.25">
      <c r="B10" s="6">
        <v>3</v>
      </c>
      <c r="C10" s="7" t="e">
        <f>C9</f>
        <v>#REF!</v>
      </c>
      <c r="D10" s="7" t="e">
        <f>D9+'مؤشرات تقييم المشروع '!F8</f>
        <v>#VALUE!</v>
      </c>
    </row>
    <row r="11" spans="2:9" ht="25.15" customHeight="1" thickTop="1" thickBot="1" x14ac:dyDescent="0.25">
      <c r="B11" s="6">
        <v>4</v>
      </c>
      <c r="C11" s="7" t="e">
        <f>C10</f>
        <v>#REF!</v>
      </c>
      <c r="D11" s="7" t="e">
        <f>D10+'مؤشرات تقييم المشروع '!F9</f>
        <v>#VALUE!</v>
      </c>
    </row>
    <row r="12" spans="2:9" ht="25.15" customHeight="1" thickTop="1" thickBot="1" x14ac:dyDescent="0.25">
      <c r="B12" s="6">
        <v>5</v>
      </c>
      <c r="C12" s="7" t="e">
        <f>C11</f>
        <v>#REF!</v>
      </c>
      <c r="D12" s="7" t="e">
        <f>D11+'مؤشرات تقييم المشروع '!F10</f>
        <v>#VALUE!</v>
      </c>
    </row>
    <row r="13" spans="2:9" ht="25.15" customHeight="1" thickTop="1" x14ac:dyDescent="0.2"/>
  </sheetData>
  <mergeCells count="2">
    <mergeCell ref="B3:D4"/>
    <mergeCell ref="F4:I4"/>
  </mergeCells>
  <pageMargins left="0.7" right="0.7" top="0.75" bottom="0.75" header="0.3" footer="0.3"/>
  <pageSetup paperSize="9" scale="9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2367E-5EC6-4F8B-A86B-1D273C6C6CF7}">
  <sheetPr codeName="Sheet3"/>
  <dimension ref="A1:R14"/>
  <sheetViews>
    <sheetView showGridLines="0" rightToLeft="1" zoomScale="79" workbookViewId="0">
      <selection activeCell="H13" sqref="B2:H13"/>
    </sheetView>
  </sheetViews>
  <sheetFormatPr defaultColWidth="8.75" defaultRowHeight="15" x14ac:dyDescent="0.35"/>
  <cols>
    <col min="1" max="1" width="8.875" style="8" bestFit="1" customWidth="1"/>
    <col min="2" max="2" width="22" style="9" customWidth="1"/>
    <col min="3" max="3" width="0" style="9" hidden="1" customWidth="1"/>
    <col min="4" max="4" width="12.75" style="9" customWidth="1"/>
    <col min="5" max="5" width="10.625" style="9" customWidth="1"/>
    <col min="6" max="6" width="14.375" style="9" customWidth="1"/>
    <col min="7" max="7" width="5.375" style="9" hidden="1" customWidth="1"/>
    <col min="8" max="8" width="13" style="9" customWidth="1"/>
    <col min="9" max="12" width="8.75" style="9"/>
    <col min="13" max="13" width="12.125" style="9" bestFit="1" customWidth="1"/>
    <col min="14" max="16384" width="8.75" style="9"/>
  </cols>
  <sheetData>
    <row r="1" spans="1:18" ht="15.75" thickBot="1" x14ac:dyDescent="0.4"/>
    <row r="2" spans="1:18" ht="25.15" customHeight="1" thickTop="1" thickBot="1" x14ac:dyDescent="0.4">
      <c r="B2" s="329" t="s">
        <v>113</v>
      </c>
      <c r="C2" s="329"/>
      <c r="D2" s="329"/>
      <c r="E2" s="58">
        <f>'الدراسة المالية'!D7</f>
        <v>0.05</v>
      </c>
      <c r="F2" s="10"/>
      <c r="G2" s="10"/>
      <c r="H2" s="10"/>
      <c r="O2" s="313"/>
      <c r="P2" s="313"/>
      <c r="Q2" s="313"/>
      <c r="R2" s="313"/>
    </row>
    <row r="3" spans="1:18" ht="25.15" customHeight="1" thickTop="1" thickBot="1" x14ac:dyDescent="0.4">
      <c r="B3" s="10"/>
      <c r="C3" s="10"/>
      <c r="D3" s="10"/>
      <c r="E3" s="10"/>
      <c r="F3" s="10"/>
      <c r="G3" s="10"/>
      <c r="H3" s="10"/>
    </row>
    <row r="4" spans="1:18" ht="38.450000000000003" customHeight="1" thickTop="1" thickBot="1" x14ac:dyDescent="0.4">
      <c r="A4" s="11"/>
      <c r="B4" s="59" t="s">
        <v>114</v>
      </c>
      <c r="C4" s="59"/>
      <c r="D4" s="60" t="s">
        <v>115</v>
      </c>
      <c r="E4" s="60" t="s">
        <v>116</v>
      </c>
      <c r="F4" s="60" t="s">
        <v>117</v>
      </c>
      <c r="G4" s="59"/>
      <c r="H4" s="60" t="s">
        <v>118</v>
      </c>
      <c r="I4" s="12"/>
      <c r="J4" s="12"/>
      <c r="K4" s="13"/>
      <c r="L4" s="12"/>
      <c r="M4" s="14"/>
    </row>
    <row r="5" spans="1:18" ht="25.15" customHeight="1" thickTop="1" thickBot="1" x14ac:dyDescent="0.4">
      <c r="A5" s="11">
        <v>0</v>
      </c>
      <c r="B5" s="15">
        <v>0</v>
      </c>
      <c r="C5" s="16"/>
      <c r="D5" s="17"/>
      <c r="E5" s="17"/>
      <c r="F5" s="18" t="e">
        <f>-'الدراسة المالية'!G17</f>
        <v>#REF!</v>
      </c>
      <c r="G5" s="19" t="e">
        <f>F5</f>
        <v>#REF!</v>
      </c>
      <c r="H5" s="18" t="e">
        <f>F5</f>
        <v>#REF!</v>
      </c>
      <c r="I5" s="20"/>
      <c r="J5" s="12"/>
      <c r="K5" s="13"/>
      <c r="L5" s="12"/>
      <c r="M5" s="14"/>
    </row>
    <row r="6" spans="1:18" ht="25.15" customHeight="1" thickTop="1" thickBot="1" x14ac:dyDescent="0.4">
      <c r="A6" s="11">
        <v>1</v>
      </c>
      <c r="B6" s="15" t="s">
        <v>5</v>
      </c>
      <c r="C6" s="16"/>
      <c r="D6" s="17" t="e">
        <f>'قائمة الدخل التقديرية'!D23</f>
        <v>#VALUE!</v>
      </c>
      <c r="E6" s="17">
        <f>'قائمة الدخل التقديرية'!D15</f>
        <v>14751612.749999998</v>
      </c>
      <c r="F6" s="17" t="e">
        <f>E6+D6</f>
        <v>#VALUE!</v>
      </c>
      <c r="G6" s="19" t="e">
        <f>G5+F6</f>
        <v>#REF!</v>
      </c>
      <c r="H6" s="17" t="e">
        <f>(F6*(1/((1+E$2)^A6)))</f>
        <v>#VALUE!</v>
      </c>
      <c r="I6" s="20"/>
    </row>
    <row r="7" spans="1:18" ht="25.15" customHeight="1" thickTop="1" thickBot="1" x14ac:dyDescent="0.4">
      <c r="A7" s="11">
        <v>2</v>
      </c>
      <c r="B7" s="15" t="s">
        <v>6</v>
      </c>
      <c r="C7" s="16"/>
      <c r="D7" s="17" t="e">
        <f>'قائمة الدخل التقديرية'!E23</f>
        <v>#VALUE!</v>
      </c>
      <c r="E7" s="17">
        <f>'قائمة الدخل التقديرية'!E15</f>
        <v>14751612.749999998</v>
      </c>
      <c r="F7" s="17" t="e">
        <f t="shared" ref="F7:F10" si="0">E7+D7</f>
        <v>#VALUE!</v>
      </c>
      <c r="G7" s="19" t="e">
        <f>G6+F7</f>
        <v>#REF!</v>
      </c>
      <c r="H7" s="17" t="e">
        <f t="shared" ref="H7:H10" si="1">(F7*(1/((1+E$2)^A7)))</f>
        <v>#VALUE!</v>
      </c>
      <c r="I7" s="20"/>
    </row>
    <row r="8" spans="1:18" ht="25.15" customHeight="1" thickTop="1" thickBot="1" x14ac:dyDescent="0.4">
      <c r="A8" s="11">
        <v>3</v>
      </c>
      <c r="B8" s="15" t="s">
        <v>7</v>
      </c>
      <c r="C8" s="16"/>
      <c r="D8" s="17" t="e">
        <f>'قائمة الدخل التقديرية'!F23</f>
        <v>#VALUE!</v>
      </c>
      <c r="E8" s="17">
        <f>'قائمة الدخل التقديرية'!F15</f>
        <v>14751612.749999998</v>
      </c>
      <c r="F8" s="17" t="e">
        <f t="shared" si="0"/>
        <v>#VALUE!</v>
      </c>
      <c r="G8" s="19" t="e">
        <f>G7+F8</f>
        <v>#REF!</v>
      </c>
      <c r="H8" s="17" t="e">
        <f t="shared" si="1"/>
        <v>#VALUE!</v>
      </c>
      <c r="I8" s="20"/>
    </row>
    <row r="9" spans="1:18" ht="25.15" customHeight="1" thickTop="1" thickBot="1" x14ac:dyDescent="0.4">
      <c r="A9" s="11">
        <v>4</v>
      </c>
      <c r="B9" s="15" t="s">
        <v>8</v>
      </c>
      <c r="C9" s="16"/>
      <c r="D9" s="17" t="e">
        <f>'قائمة الدخل التقديرية'!G23</f>
        <v>#VALUE!</v>
      </c>
      <c r="E9" s="17">
        <f>'قائمة الدخل التقديرية'!G15</f>
        <v>14751612.749999998</v>
      </c>
      <c r="F9" s="17" t="e">
        <f t="shared" si="0"/>
        <v>#VALUE!</v>
      </c>
      <c r="G9" s="19" t="e">
        <f>G8+F9</f>
        <v>#REF!</v>
      </c>
      <c r="H9" s="17" t="e">
        <f t="shared" si="1"/>
        <v>#VALUE!</v>
      </c>
      <c r="I9" s="20"/>
    </row>
    <row r="10" spans="1:18" ht="25.15" customHeight="1" thickTop="1" thickBot="1" x14ac:dyDescent="0.4">
      <c r="A10" s="11">
        <v>5</v>
      </c>
      <c r="B10" s="15" t="s">
        <v>9</v>
      </c>
      <c r="C10" s="16"/>
      <c r="D10" s="17" t="e">
        <f>'قائمة الدخل التقديرية'!H23</f>
        <v>#VALUE!</v>
      </c>
      <c r="E10" s="17">
        <f>'قائمة الدخل التقديرية'!H15</f>
        <v>14751612.749999998</v>
      </c>
      <c r="F10" s="17" t="e">
        <f t="shared" si="0"/>
        <v>#VALUE!</v>
      </c>
      <c r="G10" s="19" t="e">
        <f>G9+F10</f>
        <v>#REF!</v>
      </c>
      <c r="H10" s="17" t="e">
        <f t="shared" si="1"/>
        <v>#VALUE!</v>
      </c>
      <c r="I10" s="20"/>
    </row>
    <row r="11" spans="1:18" ht="25.15" customHeight="1" thickTop="1" thickBot="1" x14ac:dyDescent="0.4">
      <c r="B11" s="10"/>
      <c r="C11" s="10"/>
      <c r="D11" s="10"/>
      <c r="E11" s="330" t="s">
        <v>119</v>
      </c>
      <c r="F11" s="330"/>
      <c r="G11" s="330"/>
      <c r="H11" s="21" t="e">
        <f>H5+NPV(E2,F6:F10)</f>
        <v>#REF!</v>
      </c>
    </row>
    <row r="12" spans="1:18" ht="25.15" customHeight="1" thickTop="1" thickBot="1" x14ac:dyDescent="0.4">
      <c r="B12" s="10"/>
      <c r="C12" s="10"/>
      <c r="D12" s="10"/>
      <c r="E12" s="330" t="s">
        <v>120</v>
      </c>
      <c r="F12" s="330"/>
      <c r="G12" s="330"/>
      <c r="H12" s="22" t="e">
        <f>IRR(F5:F10)</f>
        <v>#VALUE!</v>
      </c>
    </row>
    <row r="13" spans="1:18" ht="25.15" customHeight="1" thickTop="1" thickBot="1" x14ac:dyDescent="0.4">
      <c r="B13" s="10"/>
      <c r="C13" s="10"/>
      <c r="D13" s="10"/>
      <c r="E13" s="330" t="s">
        <v>121</v>
      </c>
      <c r="F13" s="330"/>
      <c r="G13" s="330"/>
      <c r="H13" s="23" t="e">
        <f>LOOKUP(0,G5:G10,(A5:A10)-(G5:G10/(F6:F10)))</f>
        <v>#N/A</v>
      </c>
    </row>
    <row r="14" spans="1:18" ht="15.75" thickTop="1" x14ac:dyDescent="0.35"/>
  </sheetData>
  <mergeCells count="5">
    <mergeCell ref="B2:D2"/>
    <mergeCell ref="O2:R2"/>
    <mergeCell ref="E11:G11"/>
    <mergeCell ref="E12:G12"/>
    <mergeCell ref="E13:G13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CD552-29FE-4DF5-83B5-19915F0A9AB2}">
  <dimension ref="B3:U183"/>
  <sheetViews>
    <sheetView rightToLeft="1" topLeftCell="A127" zoomScale="70" zoomScaleNormal="70" workbookViewId="0">
      <selection activeCell="B6" sqref="B6:B146"/>
    </sheetView>
  </sheetViews>
  <sheetFormatPr defaultRowHeight="14.25" x14ac:dyDescent="0.2"/>
  <cols>
    <col min="1" max="2" width="9" style="292"/>
    <col min="3" max="8" width="28.375" style="292" customWidth="1"/>
    <col min="9" max="9" width="14.125" style="292" bestFit="1" customWidth="1"/>
    <col min="10" max="10" width="20.125" style="292" bestFit="1" customWidth="1"/>
    <col min="11" max="16384" width="9" style="292"/>
  </cols>
  <sheetData>
    <row r="3" spans="2:21" ht="16.5" x14ac:dyDescent="0.2">
      <c r="B3" s="298"/>
      <c r="C3" s="336" t="s">
        <v>1009</v>
      </c>
      <c r="D3" s="336"/>
      <c r="E3" s="336"/>
      <c r="F3" s="336"/>
      <c r="G3" s="336"/>
      <c r="H3" s="336"/>
      <c r="I3" s="336"/>
      <c r="J3" s="336"/>
    </row>
    <row r="4" spans="2:21" ht="16.5" x14ac:dyDescent="0.2">
      <c r="B4" s="307" t="s">
        <v>0</v>
      </c>
      <c r="C4" s="307" t="s">
        <v>192</v>
      </c>
      <c r="D4" s="307" t="s">
        <v>383</v>
      </c>
      <c r="E4" s="307" t="s">
        <v>181</v>
      </c>
      <c r="F4" s="307" t="s">
        <v>381</v>
      </c>
      <c r="G4" s="307" t="s">
        <v>380</v>
      </c>
      <c r="H4" s="307" t="s">
        <v>382</v>
      </c>
      <c r="I4" s="307" t="s">
        <v>492</v>
      </c>
      <c r="J4" s="307" t="s">
        <v>1008</v>
      </c>
      <c r="N4" s="305"/>
      <c r="O4" s="305"/>
      <c r="P4" s="305"/>
      <c r="Q4" s="305"/>
      <c r="R4" s="305"/>
      <c r="S4" s="305"/>
      <c r="T4" s="305"/>
      <c r="U4" s="305"/>
    </row>
    <row r="5" spans="2:21" ht="16.5" x14ac:dyDescent="0.2">
      <c r="B5" s="298">
        <v>1</v>
      </c>
      <c r="C5" s="309" t="s">
        <v>192</v>
      </c>
      <c r="D5" s="309" t="s">
        <v>383</v>
      </c>
      <c r="E5" s="309" t="s">
        <v>384</v>
      </c>
      <c r="F5" s="309" t="s">
        <v>385</v>
      </c>
      <c r="G5" s="309" t="s">
        <v>386</v>
      </c>
      <c r="H5" s="309" t="s">
        <v>387</v>
      </c>
      <c r="I5" s="309" t="s">
        <v>388</v>
      </c>
      <c r="J5" s="335" t="s">
        <v>1015</v>
      </c>
      <c r="N5" s="299"/>
      <c r="O5" s="299"/>
      <c r="P5" s="299"/>
      <c r="Q5" s="299"/>
      <c r="R5" s="299"/>
      <c r="S5" s="299"/>
      <c r="T5" s="299"/>
      <c r="U5" s="299"/>
    </row>
    <row r="6" spans="2:21" ht="28.5" x14ac:dyDescent="0.2">
      <c r="B6" s="298">
        <f>1+B5</f>
        <v>2</v>
      </c>
      <c r="C6" s="308" t="s">
        <v>404</v>
      </c>
      <c r="D6" s="308" t="s">
        <v>428</v>
      </c>
      <c r="E6" s="308" t="s">
        <v>389</v>
      </c>
      <c r="F6" s="308" t="s">
        <v>429</v>
      </c>
      <c r="G6" s="308" t="s">
        <v>390</v>
      </c>
      <c r="H6" s="308" t="s">
        <v>430</v>
      </c>
      <c r="I6" s="308" t="s">
        <v>391</v>
      </c>
      <c r="J6" s="335"/>
      <c r="N6" s="299"/>
      <c r="O6" s="299"/>
      <c r="P6" s="299"/>
      <c r="Q6" s="299"/>
      <c r="R6" s="299"/>
      <c r="S6" s="299"/>
      <c r="T6" s="299"/>
      <c r="U6" s="299"/>
    </row>
    <row r="7" spans="2:21" ht="16.5" x14ac:dyDescent="0.2">
      <c r="B7" s="298">
        <f t="shared" ref="B7:B70" si="0">1+B6</f>
        <v>3</v>
      </c>
      <c r="C7" s="308" t="s">
        <v>405</v>
      </c>
      <c r="D7" s="308" t="s">
        <v>431</v>
      </c>
      <c r="E7" s="308" t="s">
        <v>406</v>
      </c>
      <c r="F7" s="308" t="s">
        <v>432</v>
      </c>
      <c r="G7" s="308" t="s">
        <v>392</v>
      </c>
      <c r="H7" s="308" t="s">
        <v>407</v>
      </c>
      <c r="I7" s="308" t="s">
        <v>433</v>
      </c>
      <c r="J7" s="335"/>
      <c r="N7" s="299"/>
      <c r="O7" s="299"/>
      <c r="P7" s="299"/>
      <c r="Q7" s="299"/>
      <c r="R7" s="299"/>
      <c r="S7" s="299"/>
      <c r="T7" s="299"/>
      <c r="U7" s="299"/>
    </row>
    <row r="8" spans="2:21" ht="16.5" x14ac:dyDescent="0.2">
      <c r="B8" s="298">
        <f t="shared" si="0"/>
        <v>4</v>
      </c>
      <c r="C8" s="308" t="s">
        <v>408</v>
      </c>
      <c r="D8" s="308" t="s">
        <v>434</v>
      </c>
      <c r="E8" s="308" t="s">
        <v>409</v>
      </c>
      <c r="F8" s="308" t="s">
        <v>435</v>
      </c>
      <c r="G8" s="308" t="s">
        <v>410</v>
      </c>
      <c r="H8" s="308" t="s">
        <v>436</v>
      </c>
      <c r="I8" s="308" t="s">
        <v>437</v>
      </c>
      <c r="J8" s="335"/>
      <c r="N8" s="299"/>
      <c r="O8" s="299"/>
      <c r="P8" s="299"/>
      <c r="Q8" s="299"/>
      <c r="R8" s="299"/>
      <c r="S8" s="299"/>
      <c r="T8" s="299"/>
      <c r="U8" s="299"/>
    </row>
    <row r="9" spans="2:21" ht="16.5" x14ac:dyDescent="0.2">
      <c r="B9" s="298">
        <f t="shared" si="0"/>
        <v>5</v>
      </c>
      <c r="C9" s="308" t="s">
        <v>411</v>
      </c>
      <c r="D9" s="308" t="s">
        <v>438</v>
      </c>
      <c r="E9" s="308" t="s">
        <v>412</v>
      </c>
      <c r="F9" s="308" t="s">
        <v>439</v>
      </c>
      <c r="G9" s="308" t="s">
        <v>413</v>
      </c>
      <c r="H9" s="308" t="s">
        <v>440</v>
      </c>
      <c r="I9" s="308" t="s">
        <v>392</v>
      </c>
      <c r="J9" s="335"/>
      <c r="N9" s="299"/>
      <c r="O9" s="299"/>
      <c r="P9" s="299"/>
      <c r="Q9" s="299"/>
      <c r="R9" s="299"/>
      <c r="S9" s="299"/>
      <c r="T9" s="299"/>
      <c r="U9" s="299"/>
    </row>
    <row r="10" spans="2:21" ht="16.5" x14ac:dyDescent="0.2">
      <c r="B10" s="298">
        <f t="shared" si="0"/>
        <v>6</v>
      </c>
      <c r="C10" s="308" t="s">
        <v>441</v>
      </c>
      <c r="D10" s="308" t="s">
        <v>442</v>
      </c>
      <c r="E10" s="308" t="s">
        <v>414</v>
      </c>
      <c r="F10" s="308" t="s">
        <v>443</v>
      </c>
      <c r="G10" s="308" t="s">
        <v>415</v>
      </c>
      <c r="H10" s="308" t="s">
        <v>444</v>
      </c>
      <c r="I10" s="308" t="s">
        <v>393</v>
      </c>
      <c r="J10" s="335"/>
      <c r="N10" s="299"/>
      <c r="O10" s="299"/>
      <c r="P10" s="299"/>
      <c r="Q10" s="299"/>
      <c r="R10" s="299"/>
      <c r="S10" s="299"/>
      <c r="T10" s="299"/>
      <c r="U10" s="299"/>
    </row>
    <row r="11" spans="2:21" ht="16.5" x14ac:dyDescent="0.2">
      <c r="B11" s="298">
        <f t="shared" si="0"/>
        <v>7</v>
      </c>
      <c r="C11" s="308" t="s">
        <v>416</v>
      </c>
      <c r="D11" s="308" t="s">
        <v>445</v>
      </c>
      <c r="E11" s="308" t="s">
        <v>417</v>
      </c>
      <c r="F11" s="308" t="s">
        <v>446</v>
      </c>
      <c r="G11" s="308" t="s">
        <v>418</v>
      </c>
      <c r="H11" s="308" t="s">
        <v>447</v>
      </c>
      <c r="I11" s="308" t="s">
        <v>418</v>
      </c>
      <c r="J11" s="335"/>
      <c r="N11" s="299"/>
      <c r="O11" s="299"/>
      <c r="P11" s="299"/>
      <c r="Q11" s="299"/>
      <c r="R11" s="299"/>
      <c r="S11" s="299"/>
      <c r="T11" s="299"/>
      <c r="U11" s="299"/>
    </row>
    <row r="12" spans="2:21" ht="16.5" x14ac:dyDescent="0.2">
      <c r="B12" s="298">
        <f t="shared" si="0"/>
        <v>8</v>
      </c>
      <c r="C12" s="308" t="s">
        <v>448</v>
      </c>
      <c r="D12" s="308" t="s">
        <v>449</v>
      </c>
      <c r="E12" s="308" t="s">
        <v>419</v>
      </c>
      <c r="F12" s="308" t="s">
        <v>450</v>
      </c>
      <c r="G12" s="308" t="s">
        <v>420</v>
      </c>
      <c r="H12" s="308" t="s">
        <v>451</v>
      </c>
      <c r="I12" s="308" t="s">
        <v>452</v>
      </c>
      <c r="J12" s="335"/>
      <c r="N12" s="299"/>
      <c r="O12" s="299"/>
      <c r="P12" s="299"/>
      <c r="Q12" s="299"/>
      <c r="R12" s="299"/>
      <c r="S12" s="299"/>
      <c r="T12" s="299"/>
      <c r="U12" s="299"/>
    </row>
    <row r="13" spans="2:21" ht="16.5" x14ac:dyDescent="0.2">
      <c r="B13" s="298">
        <f t="shared" si="0"/>
        <v>9</v>
      </c>
      <c r="C13" s="308" t="s">
        <v>421</v>
      </c>
      <c r="D13" s="308" t="s">
        <v>453</v>
      </c>
      <c r="E13" s="308" t="s">
        <v>422</v>
      </c>
      <c r="F13" s="308" t="s">
        <v>454</v>
      </c>
      <c r="G13" s="308" t="s">
        <v>423</v>
      </c>
      <c r="H13" s="308" t="s">
        <v>455</v>
      </c>
      <c r="I13" s="308" t="s">
        <v>456</v>
      </c>
      <c r="J13" s="335"/>
      <c r="N13" s="299"/>
      <c r="O13" s="299"/>
      <c r="P13" s="299"/>
      <c r="Q13" s="299"/>
      <c r="R13" s="299"/>
      <c r="S13" s="299"/>
      <c r="T13" s="299"/>
      <c r="U13" s="299"/>
    </row>
    <row r="14" spans="2:21" ht="16.5" x14ac:dyDescent="0.2">
      <c r="B14" s="298">
        <f t="shared" si="0"/>
        <v>10</v>
      </c>
      <c r="C14" s="308" t="s">
        <v>424</v>
      </c>
      <c r="D14" s="308" t="s">
        <v>457</v>
      </c>
      <c r="E14" s="308" t="s">
        <v>425</v>
      </c>
      <c r="F14" s="308" t="s">
        <v>458</v>
      </c>
      <c r="G14" s="308" t="s">
        <v>426</v>
      </c>
      <c r="H14" s="308" t="s">
        <v>427</v>
      </c>
      <c r="I14" s="308" t="s">
        <v>426</v>
      </c>
      <c r="J14" s="335"/>
      <c r="N14" s="299"/>
      <c r="O14" s="299"/>
      <c r="P14" s="299"/>
      <c r="Q14" s="299"/>
      <c r="R14" s="299"/>
      <c r="S14" s="299"/>
      <c r="T14" s="299"/>
      <c r="U14" s="299"/>
    </row>
    <row r="15" spans="2:21" ht="16.5" x14ac:dyDescent="0.2">
      <c r="B15" s="298">
        <f t="shared" si="0"/>
        <v>11</v>
      </c>
      <c r="C15" s="308" t="s">
        <v>459</v>
      </c>
      <c r="D15" s="308" t="s">
        <v>460</v>
      </c>
      <c r="E15" s="308" t="s">
        <v>461</v>
      </c>
      <c r="F15" s="308" t="s">
        <v>462</v>
      </c>
      <c r="G15" s="308" t="s">
        <v>420</v>
      </c>
      <c r="H15" s="308" t="s">
        <v>463</v>
      </c>
      <c r="I15" s="308" t="s">
        <v>420</v>
      </c>
      <c r="J15" s="335"/>
      <c r="N15" s="299"/>
      <c r="O15" s="299"/>
      <c r="P15" s="299"/>
      <c r="Q15" s="299"/>
      <c r="R15" s="299"/>
      <c r="S15" s="299"/>
      <c r="T15" s="299"/>
      <c r="U15" s="299"/>
    </row>
    <row r="16" spans="2:21" ht="16.5" x14ac:dyDescent="0.2">
      <c r="B16" s="298">
        <f t="shared" si="0"/>
        <v>12</v>
      </c>
      <c r="C16" s="308" t="s">
        <v>464</v>
      </c>
      <c r="D16" s="308" t="s">
        <v>465</v>
      </c>
      <c r="E16" s="308" t="s">
        <v>466</v>
      </c>
      <c r="F16" s="308" t="s">
        <v>467</v>
      </c>
      <c r="G16" s="308" t="s">
        <v>468</v>
      </c>
      <c r="H16" s="308" t="s">
        <v>469</v>
      </c>
      <c r="I16" s="308" t="s">
        <v>420</v>
      </c>
      <c r="J16" s="335"/>
      <c r="N16" s="299"/>
      <c r="O16" s="299"/>
      <c r="P16" s="299"/>
      <c r="Q16" s="299"/>
      <c r="R16" s="299"/>
      <c r="S16" s="299"/>
      <c r="T16" s="299"/>
      <c r="U16" s="299"/>
    </row>
    <row r="17" spans="2:21" ht="16.5" x14ac:dyDescent="0.2">
      <c r="B17" s="298">
        <f t="shared" si="0"/>
        <v>13</v>
      </c>
      <c r="C17" s="308" t="s">
        <v>470</v>
      </c>
      <c r="D17" s="308" t="s">
        <v>471</v>
      </c>
      <c r="E17" s="308" t="s">
        <v>472</v>
      </c>
      <c r="F17" s="308" t="s">
        <v>473</v>
      </c>
      <c r="G17" s="308" t="s">
        <v>410</v>
      </c>
      <c r="H17" s="308" t="s">
        <v>474</v>
      </c>
      <c r="I17" s="308" t="s">
        <v>475</v>
      </c>
      <c r="J17" s="335"/>
      <c r="N17" s="299"/>
      <c r="O17" s="299"/>
      <c r="P17" s="299"/>
      <c r="Q17" s="299"/>
      <c r="R17" s="299"/>
      <c r="S17" s="299"/>
      <c r="T17" s="299"/>
      <c r="U17" s="299"/>
    </row>
    <row r="18" spans="2:21" ht="16.5" x14ac:dyDescent="0.2">
      <c r="B18" s="298">
        <f t="shared" si="0"/>
        <v>14</v>
      </c>
      <c r="C18" s="308" t="s">
        <v>476</v>
      </c>
      <c r="D18" s="308" t="s">
        <v>477</v>
      </c>
      <c r="E18" s="308" t="s">
        <v>478</v>
      </c>
      <c r="F18" s="308" t="s">
        <v>479</v>
      </c>
      <c r="G18" s="308" t="s">
        <v>420</v>
      </c>
      <c r="H18" s="308" t="s">
        <v>480</v>
      </c>
      <c r="I18" s="308" t="s">
        <v>481</v>
      </c>
      <c r="J18" s="335"/>
      <c r="N18" s="299"/>
      <c r="O18" s="299"/>
      <c r="P18" s="299"/>
      <c r="Q18" s="299"/>
      <c r="R18" s="299"/>
      <c r="S18" s="299"/>
      <c r="T18" s="299"/>
      <c r="U18" s="299"/>
    </row>
    <row r="19" spans="2:21" ht="28.5" x14ac:dyDescent="0.2">
      <c r="B19" s="298">
        <f t="shared" si="0"/>
        <v>15</v>
      </c>
      <c r="C19" s="308" t="s">
        <v>1010</v>
      </c>
      <c r="D19" s="308" t="s">
        <v>1011</v>
      </c>
      <c r="E19" s="308" t="s">
        <v>1012</v>
      </c>
      <c r="F19" s="308" t="s">
        <v>1013</v>
      </c>
      <c r="G19" s="308" t="s">
        <v>420</v>
      </c>
      <c r="H19" s="308" t="s">
        <v>1014</v>
      </c>
      <c r="I19" s="308" t="s">
        <v>452</v>
      </c>
      <c r="J19" s="335"/>
      <c r="N19" s="299"/>
      <c r="O19" s="299"/>
      <c r="P19" s="299"/>
      <c r="Q19" s="299"/>
      <c r="R19" s="299"/>
      <c r="S19" s="299"/>
      <c r="T19" s="299"/>
      <c r="U19" s="299"/>
    </row>
    <row r="20" spans="2:21" ht="28.5" x14ac:dyDescent="0.2">
      <c r="B20" s="298">
        <f t="shared" si="0"/>
        <v>16</v>
      </c>
      <c r="C20" s="308" t="s">
        <v>1016</v>
      </c>
      <c r="D20" s="308" t="s">
        <v>1017</v>
      </c>
      <c r="E20" s="308" t="s">
        <v>417</v>
      </c>
      <c r="F20" s="308" t="s">
        <v>1018</v>
      </c>
      <c r="G20" s="308" t="s">
        <v>452</v>
      </c>
      <c r="H20" s="308" t="s">
        <v>1019</v>
      </c>
      <c r="I20" s="308" t="s">
        <v>1020</v>
      </c>
      <c r="J20" s="335"/>
      <c r="N20" s="299"/>
      <c r="O20" s="299"/>
      <c r="P20" s="299"/>
      <c r="Q20" s="299"/>
      <c r="R20" s="299"/>
      <c r="S20" s="299"/>
      <c r="T20" s="299"/>
      <c r="U20" s="299"/>
    </row>
    <row r="21" spans="2:21" ht="28.5" x14ac:dyDescent="0.2">
      <c r="B21" s="298">
        <f t="shared" si="0"/>
        <v>17</v>
      </c>
      <c r="C21" s="308" t="s">
        <v>1021</v>
      </c>
      <c r="D21" s="308" t="s">
        <v>1022</v>
      </c>
      <c r="E21" s="308" t="s">
        <v>1023</v>
      </c>
      <c r="F21" s="308" t="s">
        <v>1024</v>
      </c>
      <c r="G21" s="308" t="s">
        <v>1025</v>
      </c>
      <c r="H21" s="308" t="s">
        <v>1026</v>
      </c>
      <c r="I21" s="308" t="s">
        <v>1027</v>
      </c>
      <c r="J21" s="335"/>
      <c r="N21" s="299"/>
      <c r="O21" s="299"/>
      <c r="P21" s="299"/>
      <c r="Q21" s="299"/>
      <c r="R21" s="299"/>
      <c r="S21" s="299"/>
      <c r="T21" s="299"/>
      <c r="U21" s="299"/>
    </row>
    <row r="22" spans="2:21" ht="28.5" x14ac:dyDescent="0.2">
      <c r="B22" s="298">
        <f t="shared" si="0"/>
        <v>18</v>
      </c>
      <c r="C22" s="308" t="s">
        <v>1028</v>
      </c>
      <c r="D22" s="308" t="s">
        <v>1029</v>
      </c>
      <c r="E22" s="308" t="s">
        <v>1030</v>
      </c>
      <c r="F22" s="308" t="s">
        <v>1031</v>
      </c>
      <c r="G22" s="308" t="s">
        <v>418</v>
      </c>
      <c r="H22" s="308" t="s">
        <v>1032</v>
      </c>
      <c r="I22" s="308" t="s">
        <v>1033</v>
      </c>
      <c r="J22" s="335"/>
      <c r="N22" s="299"/>
      <c r="O22" s="299"/>
      <c r="P22" s="299"/>
      <c r="Q22" s="299"/>
      <c r="R22" s="299"/>
      <c r="S22" s="299"/>
      <c r="T22" s="299"/>
      <c r="U22" s="299"/>
    </row>
    <row r="23" spans="2:21" ht="28.5" x14ac:dyDescent="0.2">
      <c r="B23" s="298">
        <f t="shared" si="0"/>
        <v>19</v>
      </c>
      <c r="C23" s="308" t="s">
        <v>1034</v>
      </c>
      <c r="D23" s="308" t="s">
        <v>1035</v>
      </c>
      <c r="E23" s="308" t="s">
        <v>389</v>
      </c>
      <c r="F23" s="308" t="s">
        <v>1036</v>
      </c>
      <c r="G23" s="308" t="s">
        <v>1027</v>
      </c>
      <c r="H23" s="308" t="s">
        <v>1037</v>
      </c>
      <c r="I23" s="308" t="s">
        <v>1038</v>
      </c>
      <c r="J23" s="335"/>
      <c r="N23" s="299"/>
      <c r="O23" s="299"/>
      <c r="P23" s="299"/>
      <c r="Q23" s="299"/>
      <c r="R23" s="299"/>
      <c r="S23" s="299"/>
      <c r="T23" s="299"/>
      <c r="U23" s="299"/>
    </row>
    <row r="24" spans="2:21" ht="16.5" x14ac:dyDescent="0.2">
      <c r="B24" s="298">
        <f t="shared" si="0"/>
        <v>20</v>
      </c>
      <c r="C24" s="308" t="s">
        <v>482</v>
      </c>
      <c r="D24" s="308" t="s">
        <v>483</v>
      </c>
      <c r="E24" s="308" t="s">
        <v>484</v>
      </c>
      <c r="F24" s="308" t="s">
        <v>485</v>
      </c>
      <c r="G24" s="308" t="s">
        <v>420</v>
      </c>
      <c r="H24" s="308" t="s">
        <v>486</v>
      </c>
      <c r="I24" s="308" t="s">
        <v>418</v>
      </c>
      <c r="J24" s="335"/>
      <c r="N24" s="299"/>
      <c r="O24" s="299"/>
      <c r="P24" s="299"/>
      <c r="Q24" s="299"/>
      <c r="R24" s="299"/>
      <c r="S24" s="299"/>
      <c r="T24" s="299"/>
      <c r="U24" s="299"/>
    </row>
    <row r="25" spans="2:21" ht="16.5" x14ac:dyDescent="0.2">
      <c r="B25" s="298">
        <f t="shared" si="0"/>
        <v>21</v>
      </c>
      <c r="C25" s="308" t="s">
        <v>487</v>
      </c>
      <c r="D25" s="308" t="s">
        <v>488</v>
      </c>
      <c r="E25" s="308" t="s">
        <v>489</v>
      </c>
      <c r="F25" s="308" t="s">
        <v>490</v>
      </c>
      <c r="G25" s="308" t="s">
        <v>468</v>
      </c>
      <c r="H25" s="308" t="s">
        <v>491</v>
      </c>
      <c r="I25" s="308" t="s">
        <v>452</v>
      </c>
      <c r="J25" s="335"/>
      <c r="N25" s="299"/>
      <c r="O25" s="299"/>
      <c r="P25" s="299"/>
      <c r="Q25" s="299"/>
      <c r="R25" s="299"/>
      <c r="S25" s="299"/>
      <c r="T25" s="299"/>
      <c r="U25" s="299"/>
    </row>
    <row r="26" spans="2:21" ht="28.5" x14ac:dyDescent="0.2">
      <c r="B26" s="298">
        <f t="shared" si="0"/>
        <v>22</v>
      </c>
      <c r="C26" s="308" t="s">
        <v>493</v>
      </c>
      <c r="D26" s="308" t="s">
        <v>494</v>
      </c>
      <c r="E26" s="308" t="s">
        <v>401</v>
      </c>
      <c r="F26" s="308" t="s">
        <v>495</v>
      </c>
      <c r="G26" s="308" t="s">
        <v>402</v>
      </c>
      <c r="H26" s="308" t="s">
        <v>496</v>
      </c>
      <c r="I26" s="308" t="s">
        <v>402</v>
      </c>
      <c r="J26" s="335" t="s">
        <v>589</v>
      </c>
      <c r="N26" s="299"/>
      <c r="O26" s="299"/>
      <c r="P26" s="299"/>
      <c r="Q26" s="299"/>
      <c r="R26" s="299"/>
      <c r="S26" s="299"/>
      <c r="T26" s="299"/>
      <c r="U26" s="299"/>
    </row>
    <row r="27" spans="2:21" ht="28.5" x14ac:dyDescent="0.2">
      <c r="B27" s="298">
        <f t="shared" si="0"/>
        <v>23</v>
      </c>
      <c r="C27" s="308" t="s">
        <v>497</v>
      </c>
      <c r="D27" s="308" t="s">
        <v>498</v>
      </c>
      <c r="E27" s="308" t="s">
        <v>499</v>
      </c>
      <c r="F27" s="308" t="s">
        <v>500</v>
      </c>
      <c r="G27" s="308" t="s">
        <v>501</v>
      </c>
      <c r="H27" s="308" t="s">
        <v>502</v>
      </c>
      <c r="I27" s="308" t="s">
        <v>503</v>
      </c>
      <c r="J27" s="335"/>
      <c r="N27" s="299"/>
      <c r="O27" s="299"/>
      <c r="P27" s="299"/>
      <c r="Q27" s="299"/>
      <c r="R27" s="299"/>
      <c r="S27" s="299"/>
      <c r="T27" s="299"/>
      <c r="U27" s="299"/>
    </row>
    <row r="28" spans="2:21" ht="28.5" x14ac:dyDescent="0.2">
      <c r="B28" s="298">
        <f t="shared" si="0"/>
        <v>24</v>
      </c>
      <c r="C28" s="308" t="s">
        <v>504</v>
      </c>
      <c r="D28" s="308" t="s">
        <v>505</v>
      </c>
      <c r="E28" s="308" t="s">
        <v>506</v>
      </c>
      <c r="F28" s="308" t="s">
        <v>507</v>
      </c>
      <c r="G28" s="308" t="s">
        <v>508</v>
      </c>
      <c r="H28" s="308" t="s">
        <v>509</v>
      </c>
      <c r="I28" s="308" t="s">
        <v>508</v>
      </c>
      <c r="J28" s="335"/>
      <c r="N28" s="299"/>
      <c r="O28" s="299"/>
      <c r="P28" s="299"/>
      <c r="Q28" s="299"/>
      <c r="R28" s="299"/>
      <c r="S28" s="299"/>
      <c r="T28" s="299"/>
      <c r="U28" s="299"/>
    </row>
    <row r="29" spans="2:21" ht="28.5" x14ac:dyDescent="0.2">
      <c r="B29" s="298">
        <f t="shared" si="0"/>
        <v>25</v>
      </c>
      <c r="C29" s="308" t="s">
        <v>510</v>
      </c>
      <c r="D29" s="308" t="s">
        <v>511</v>
      </c>
      <c r="E29" s="308" t="s">
        <v>512</v>
      </c>
      <c r="F29" s="308" t="s">
        <v>513</v>
      </c>
      <c r="G29" s="308" t="s">
        <v>514</v>
      </c>
      <c r="H29" s="308" t="s">
        <v>515</v>
      </c>
      <c r="I29" s="308" t="s">
        <v>516</v>
      </c>
      <c r="J29" s="335"/>
      <c r="N29" s="299"/>
      <c r="O29" s="299"/>
      <c r="P29" s="299"/>
      <c r="Q29" s="299"/>
      <c r="R29" s="299"/>
      <c r="S29" s="299"/>
      <c r="T29" s="299"/>
      <c r="U29" s="299"/>
    </row>
    <row r="30" spans="2:21" ht="28.5" x14ac:dyDescent="0.2">
      <c r="B30" s="298">
        <f t="shared" si="0"/>
        <v>26</v>
      </c>
      <c r="C30" s="308" t="s">
        <v>517</v>
      </c>
      <c r="D30" s="308" t="s">
        <v>518</v>
      </c>
      <c r="E30" s="308" t="s">
        <v>519</v>
      </c>
      <c r="F30" s="308" t="s">
        <v>520</v>
      </c>
      <c r="G30" s="308" t="s">
        <v>521</v>
      </c>
      <c r="H30" s="308" t="s">
        <v>522</v>
      </c>
      <c r="I30" s="308" t="s">
        <v>523</v>
      </c>
      <c r="J30" s="335"/>
      <c r="N30" s="299"/>
      <c r="O30" s="299"/>
      <c r="P30" s="299"/>
      <c r="Q30" s="299"/>
      <c r="R30" s="299"/>
      <c r="S30" s="299"/>
      <c r="T30" s="299"/>
      <c r="U30" s="299"/>
    </row>
    <row r="31" spans="2:21" ht="28.5" x14ac:dyDescent="0.2">
      <c r="B31" s="298">
        <f t="shared" si="0"/>
        <v>27</v>
      </c>
      <c r="C31" s="308" t="s">
        <v>524</v>
      </c>
      <c r="D31" s="308" t="s">
        <v>525</v>
      </c>
      <c r="E31" s="308" t="s">
        <v>526</v>
      </c>
      <c r="F31" s="308" t="s">
        <v>527</v>
      </c>
      <c r="G31" s="308" t="s">
        <v>508</v>
      </c>
      <c r="H31" s="308" t="s">
        <v>528</v>
      </c>
      <c r="I31" s="308" t="s">
        <v>529</v>
      </c>
      <c r="J31" s="335"/>
      <c r="N31" s="299"/>
      <c r="O31" s="299"/>
      <c r="P31" s="299"/>
      <c r="Q31" s="299"/>
      <c r="R31" s="299"/>
      <c r="S31" s="299"/>
      <c r="T31" s="299"/>
      <c r="U31" s="299"/>
    </row>
    <row r="32" spans="2:21" ht="28.5" x14ac:dyDescent="0.2">
      <c r="B32" s="298">
        <f t="shared" si="0"/>
        <v>28</v>
      </c>
      <c r="C32" s="308" t="s">
        <v>530</v>
      </c>
      <c r="D32" s="308" t="s">
        <v>531</v>
      </c>
      <c r="E32" s="308" t="s">
        <v>532</v>
      </c>
      <c r="F32" s="308" t="s">
        <v>533</v>
      </c>
      <c r="G32" s="308" t="s">
        <v>534</v>
      </c>
      <c r="H32" s="308" t="s">
        <v>535</v>
      </c>
      <c r="I32" s="308" t="s">
        <v>536</v>
      </c>
      <c r="J32" s="335"/>
      <c r="N32" s="299"/>
      <c r="O32" s="299"/>
      <c r="P32" s="299"/>
      <c r="Q32" s="299"/>
      <c r="R32" s="299"/>
      <c r="S32" s="299"/>
      <c r="T32" s="299"/>
      <c r="U32" s="299"/>
    </row>
    <row r="33" spans="2:21" ht="28.5" x14ac:dyDescent="0.2">
      <c r="B33" s="298">
        <f t="shared" si="0"/>
        <v>29</v>
      </c>
      <c r="C33" s="308" t="s">
        <v>537</v>
      </c>
      <c r="D33" s="308" t="s">
        <v>538</v>
      </c>
      <c r="E33" s="308" t="s">
        <v>539</v>
      </c>
      <c r="F33" s="308" t="s">
        <v>540</v>
      </c>
      <c r="G33" s="308" t="s">
        <v>541</v>
      </c>
      <c r="H33" s="308" t="s">
        <v>542</v>
      </c>
      <c r="I33" s="308" t="s">
        <v>543</v>
      </c>
      <c r="J33" s="335"/>
      <c r="N33" s="299"/>
      <c r="O33" s="299"/>
      <c r="P33" s="299"/>
      <c r="Q33" s="299"/>
      <c r="R33" s="299"/>
      <c r="S33" s="299"/>
      <c r="T33" s="299"/>
      <c r="U33" s="299"/>
    </row>
    <row r="34" spans="2:21" ht="16.5" x14ac:dyDescent="0.2">
      <c r="B34" s="298">
        <f t="shared" si="0"/>
        <v>30</v>
      </c>
      <c r="C34" s="308" t="s">
        <v>544</v>
      </c>
      <c r="D34" s="308" t="s">
        <v>545</v>
      </c>
      <c r="E34" s="308" t="s">
        <v>546</v>
      </c>
      <c r="F34" s="308" t="s">
        <v>547</v>
      </c>
      <c r="G34" s="308" t="s">
        <v>548</v>
      </c>
      <c r="H34" s="308" t="s">
        <v>549</v>
      </c>
      <c r="I34" s="308" t="s">
        <v>550</v>
      </c>
      <c r="J34" s="335"/>
      <c r="N34" s="299"/>
      <c r="O34" s="299"/>
      <c r="P34" s="299"/>
      <c r="Q34" s="299"/>
      <c r="R34" s="299"/>
      <c r="S34" s="299"/>
      <c r="T34" s="299"/>
      <c r="U34" s="299"/>
    </row>
    <row r="35" spans="2:21" ht="28.5" x14ac:dyDescent="0.2">
      <c r="B35" s="298">
        <f t="shared" si="0"/>
        <v>31</v>
      </c>
      <c r="C35" s="308" t="s">
        <v>551</v>
      </c>
      <c r="D35" s="308" t="s">
        <v>552</v>
      </c>
      <c r="E35" s="308" t="s">
        <v>553</v>
      </c>
      <c r="F35" s="308" t="s">
        <v>554</v>
      </c>
      <c r="G35" s="308" t="s">
        <v>506</v>
      </c>
      <c r="H35" s="308" t="s">
        <v>555</v>
      </c>
      <c r="I35" s="308" t="s">
        <v>521</v>
      </c>
      <c r="J35" s="335"/>
      <c r="N35" s="299"/>
      <c r="O35" s="299"/>
      <c r="P35" s="299"/>
      <c r="Q35" s="299"/>
      <c r="R35" s="299"/>
      <c r="S35" s="299"/>
      <c r="T35" s="299"/>
      <c r="U35" s="299"/>
    </row>
    <row r="36" spans="2:21" ht="16.5" x14ac:dyDescent="0.2">
      <c r="B36" s="298">
        <f t="shared" si="0"/>
        <v>32</v>
      </c>
      <c r="C36" s="308" t="s">
        <v>556</v>
      </c>
      <c r="D36" s="308" t="s">
        <v>557</v>
      </c>
      <c r="E36" s="308" t="s">
        <v>558</v>
      </c>
      <c r="F36" s="308" t="s">
        <v>559</v>
      </c>
      <c r="G36" s="308" t="s">
        <v>560</v>
      </c>
      <c r="H36" s="308" t="s">
        <v>561</v>
      </c>
      <c r="I36" s="308" t="s">
        <v>562</v>
      </c>
      <c r="J36" s="335"/>
      <c r="L36" s="305"/>
      <c r="M36" s="305"/>
      <c r="N36" s="305"/>
      <c r="O36" s="305"/>
      <c r="P36" s="305"/>
      <c r="Q36" s="305"/>
      <c r="R36" s="305"/>
      <c r="S36" s="305"/>
      <c r="T36" s="299"/>
      <c r="U36" s="299"/>
    </row>
    <row r="37" spans="2:21" ht="16.5" x14ac:dyDescent="0.2">
      <c r="B37" s="298">
        <f t="shared" si="0"/>
        <v>33</v>
      </c>
      <c r="C37" s="308" t="s">
        <v>563</v>
      </c>
      <c r="D37" s="308" t="s">
        <v>564</v>
      </c>
      <c r="E37" s="308" t="s">
        <v>508</v>
      </c>
      <c r="F37" s="308" t="s">
        <v>565</v>
      </c>
      <c r="G37" s="308" t="s">
        <v>566</v>
      </c>
      <c r="H37" s="308" t="s">
        <v>567</v>
      </c>
      <c r="I37" s="308" t="s">
        <v>568</v>
      </c>
      <c r="J37" s="335"/>
      <c r="L37" s="299"/>
      <c r="M37" s="299"/>
      <c r="N37" s="299"/>
      <c r="O37" s="299"/>
      <c r="P37" s="299"/>
      <c r="Q37" s="299"/>
      <c r="R37" s="299"/>
      <c r="S37" s="299"/>
      <c r="T37" s="299"/>
      <c r="U37" s="299"/>
    </row>
    <row r="38" spans="2:21" ht="28.5" x14ac:dyDescent="0.2">
      <c r="B38" s="298">
        <f t="shared" si="0"/>
        <v>34</v>
      </c>
      <c r="C38" s="308" t="s">
        <v>569</v>
      </c>
      <c r="D38" s="308" t="s">
        <v>570</v>
      </c>
      <c r="E38" s="308" t="s">
        <v>571</v>
      </c>
      <c r="F38" s="308" t="s">
        <v>572</v>
      </c>
      <c r="G38" s="308" t="s">
        <v>573</v>
      </c>
      <c r="H38" s="308" t="s">
        <v>574</v>
      </c>
      <c r="I38" s="308" t="s">
        <v>575</v>
      </c>
      <c r="J38" s="335"/>
      <c r="L38" s="299"/>
      <c r="M38" s="299"/>
      <c r="N38" s="299"/>
      <c r="O38" s="299"/>
      <c r="P38" s="299"/>
      <c r="Q38" s="299"/>
      <c r="R38" s="299"/>
      <c r="S38" s="299"/>
      <c r="T38" s="299"/>
      <c r="U38" s="299"/>
    </row>
    <row r="39" spans="2:21" ht="28.5" x14ac:dyDescent="0.2">
      <c r="B39" s="298">
        <f t="shared" si="0"/>
        <v>35</v>
      </c>
      <c r="C39" s="308" t="s">
        <v>576</v>
      </c>
      <c r="D39" s="308" t="s">
        <v>577</v>
      </c>
      <c r="E39" s="308" t="s">
        <v>578</v>
      </c>
      <c r="F39" s="308" t="s">
        <v>579</v>
      </c>
      <c r="G39" s="308" t="s">
        <v>580</v>
      </c>
      <c r="H39" s="308" t="s">
        <v>581</v>
      </c>
      <c r="I39" s="308" t="s">
        <v>582</v>
      </c>
      <c r="J39" s="335"/>
      <c r="L39" s="299"/>
      <c r="M39" s="299"/>
      <c r="N39" s="299"/>
      <c r="O39" s="299"/>
      <c r="P39" s="299"/>
      <c r="Q39" s="299"/>
      <c r="R39" s="299"/>
      <c r="S39" s="299"/>
      <c r="T39" s="299"/>
      <c r="U39" s="299"/>
    </row>
    <row r="40" spans="2:21" ht="28.5" x14ac:dyDescent="0.2">
      <c r="B40" s="298">
        <f t="shared" si="0"/>
        <v>36</v>
      </c>
      <c r="C40" s="308" t="s">
        <v>583</v>
      </c>
      <c r="D40" s="308" t="s">
        <v>584</v>
      </c>
      <c r="E40" s="308" t="s">
        <v>585</v>
      </c>
      <c r="F40" s="308" t="s">
        <v>586</v>
      </c>
      <c r="G40" s="308" t="s">
        <v>534</v>
      </c>
      <c r="H40" s="308" t="s">
        <v>587</v>
      </c>
      <c r="I40" s="308" t="s">
        <v>588</v>
      </c>
      <c r="J40" s="335"/>
      <c r="L40" s="299"/>
      <c r="M40" s="299"/>
      <c r="N40" s="299"/>
      <c r="O40" s="299"/>
      <c r="P40" s="299"/>
      <c r="Q40" s="299"/>
      <c r="R40" s="299"/>
      <c r="S40" s="299"/>
      <c r="T40" s="299"/>
      <c r="U40" s="299"/>
    </row>
    <row r="41" spans="2:21" ht="28.5" x14ac:dyDescent="0.2">
      <c r="B41" s="298">
        <f t="shared" si="0"/>
        <v>37</v>
      </c>
      <c r="C41" s="308" t="s">
        <v>1039</v>
      </c>
      <c r="D41" s="308" t="s">
        <v>1040</v>
      </c>
      <c r="E41" s="308" t="s">
        <v>1041</v>
      </c>
      <c r="F41" s="308" t="s">
        <v>1042</v>
      </c>
      <c r="G41" s="308" t="s">
        <v>1043</v>
      </c>
      <c r="H41" s="308" t="s">
        <v>1044</v>
      </c>
      <c r="I41" s="308" t="s">
        <v>1045</v>
      </c>
      <c r="J41" s="335"/>
      <c r="L41" s="299"/>
      <c r="M41" s="299"/>
      <c r="N41" s="299"/>
      <c r="O41" s="299"/>
      <c r="P41" s="299"/>
      <c r="Q41" s="299"/>
      <c r="R41" s="299"/>
      <c r="S41" s="299"/>
      <c r="T41" s="299"/>
      <c r="U41" s="299"/>
    </row>
    <row r="42" spans="2:21" ht="28.5" x14ac:dyDescent="0.2">
      <c r="B42" s="298">
        <f t="shared" si="0"/>
        <v>38</v>
      </c>
      <c r="C42" s="308" t="s">
        <v>1046</v>
      </c>
      <c r="D42" s="308" t="s">
        <v>1047</v>
      </c>
      <c r="E42" s="308" t="s">
        <v>558</v>
      </c>
      <c r="F42" s="308" t="s">
        <v>1048</v>
      </c>
      <c r="G42" s="308" t="s">
        <v>1049</v>
      </c>
      <c r="H42" s="308" t="s">
        <v>1050</v>
      </c>
      <c r="I42" s="308" t="s">
        <v>1051</v>
      </c>
      <c r="J42" s="335"/>
      <c r="L42" s="299"/>
      <c r="M42" s="299"/>
      <c r="N42" s="299"/>
      <c r="O42" s="299"/>
      <c r="P42" s="299"/>
      <c r="Q42" s="299"/>
      <c r="R42" s="299"/>
      <c r="S42" s="299"/>
      <c r="T42" s="299"/>
      <c r="U42" s="299"/>
    </row>
    <row r="43" spans="2:21" ht="28.5" x14ac:dyDescent="0.2">
      <c r="B43" s="298">
        <f t="shared" si="0"/>
        <v>39</v>
      </c>
      <c r="C43" s="308" t="s">
        <v>1052</v>
      </c>
      <c r="D43" s="308" t="s">
        <v>1053</v>
      </c>
      <c r="E43" s="308" t="s">
        <v>402</v>
      </c>
      <c r="F43" s="308" t="s">
        <v>1054</v>
      </c>
      <c r="G43" s="308" t="s">
        <v>1055</v>
      </c>
      <c r="H43" s="308" t="s">
        <v>1056</v>
      </c>
      <c r="I43" s="308" t="s">
        <v>1057</v>
      </c>
      <c r="J43" s="335"/>
      <c r="L43" s="299"/>
      <c r="M43" s="299"/>
      <c r="N43" s="299"/>
      <c r="O43" s="299"/>
      <c r="P43" s="299"/>
      <c r="Q43" s="299"/>
      <c r="R43" s="299"/>
      <c r="S43" s="299"/>
      <c r="T43" s="299"/>
      <c r="U43" s="299"/>
    </row>
    <row r="44" spans="2:21" ht="28.5" x14ac:dyDescent="0.2">
      <c r="B44" s="298">
        <f t="shared" si="0"/>
        <v>40</v>
      </c>
      <c r="C44" s="308" t="s">
        <v>1058</v>
      </c>
      <c r="D44" s="308" t="s">
        <v>1059</v>
      </c>
      <c r="E44" s="308" t="s">
        <v>1060</v>
      </c>
      <c r="F44" s="308" t="s">
        <v>1061</v>
      </c>
      <c r="G44" s="308" t="s">
        <v>750</v>
      </c>
      <c r="H44" s="308" t="s">
        <v>624</v>
      </c>
      <c r="I44" s="308" t="s">
        <v>750</v>
      </c>
      <c r="J44" s="335"/>
      <c r="L44" s="299"/>
      <c r="M44" s="299"/>
      <c r="N44" s="299"/>
      <c r="O44" s="299"/>
      <c r="P44" s="299"/>
      <c r="Q44" s="299"/>
      <c r="R44" s="299"/>
      <c r="S44" s="299"/>
      <c r="T44" s="299"/>
      <c r="U44" s="299"/>
    </row>
    <row r="45" spans="2:21" ht="28.5" x14ac:dyDescent="0.2">
      <c r="B45" s="298">
        <f t="shared" si="0"/>
        <v>41</v>
      </c>
      <c r="C45" s="308" t="s">
        <v>1062</v>
      </c>
      <c r="D45" s="308" t="s">
        <v>1063</v>
      </c>
      <c r="E45" s="308" t="s">
        <v>1064</v>
      </c>
      <c r="F45" s="308" t="s">
        <v>1065</v>
      </c>
      <c r="G45" s="308" t="s">
        <v>985</v>
      </c>
      <c r="H45" s="308" t="s">
        <v>1066</v>
      </c>
      <c r="I45" s="308" t="s">
        <v>1067</v>
      </c>
      <c r="J45" s="335"/>
      <c r="L45" s="299"/>
      <c r="M45" s="299"/>
      <c r="N45" s="299"/>
      <c r="O45" s="299"/>
      <c r="P45" s="299"/>
      <c r="Q45" s="299"/>
      <c r="R45" s="299"/>
      <c r="S45" s="299"/>
      <c r="T45" s="299"/>
      <c r="U45" s="299"/>
    </row>
    <row r="46" spans="2:21" ht="28.5" x14ac:dyDescent="0.2">
      <c r="B46" s="298">
        <f t="shared" si="0"/>
        <v>42</v>
      </c>
      <c r="C46" s="308" t="s">
        <v>394</v>
      </c>
      <c r="D46" s="308" t="s">
        <v>590</v>
      </c>
      <c r="E46" s="308" t="s">
        <v>591</v>
      </c>
      <c r="F46" s="308" t="s">
        <v>592</v>
      </c>
      <c r="G46" s="308" t="s">
        <v>395</v>
      </c>
      <c r="H46" s="308" t="s">
        <v>593</v>
      </c>
      <c r="I46" s="308" t="s">
        <v>396</v>
      </c>
      <c r="J46" s="335" t="s">
        <v>682</v>
      </c>
      <c r="L46" s="299"/>
      <c r="M46" s="299"/>
      <c r="N46" s="299"/>
      <c r="O46" s="299"/>
      <c r="P46" s="299"/>
      <c r="Q46" s="299"/>
      <c r="R46" s="299"/>
      <c r="S46" s="299"/>
      <c r="T46" s="299"/>
      <c r="U46" s="299"/>
    </row>
    <row r="47" spans="2:21" ht="28.5" x14ac:dyDescent="0.2">
      <c r="B47" s="298">
        <f t="shared" si="0"/>
        <v>43</v>
      </c>
      <c r="C47" s="308" t="s">
        <v>594</v>
      </c>
      <c r="D47" s="308" t="s">
        <v>595</v>
      </c>
      <c r="E47" s="308" t="s">
        <v>596</v>
      </c>
      <c r="F47" s="308" t="s">
        <v>597</v>
      </c>
      <c r="G47" s="308" t="s">
        <v>598</v>
      </c>
      <c r="H47" s="308" t="s">
        <v>599</v>
      </c>
      <c r="I47" s="308" t="s">
        <v>600</v>
      </c>
      <c r="J47" s="335"/>
      <c r="L47" s="299"/>
      <c r="M47" s="299"/>
      <c r="N47" s="299"/>
      <c r="O47" s="299"/>
      <c r="P47" s="299"/>
      <c r="Q47" s="299"/>
      <c r="R47" s="299"/>
      <c r="S47" s="299"/>
      <c r="T47" s="299"/>
      <c r="U47" s="299"/>
    </row>
    <row r="48" spans="2:21" ht="28.5" x14ac:dyDescent="0.2">
      <c r="B48" s="298">
        <f t="shared" si="0"/>
        <v>44</v>
      </c>
      <c r="C48" s="308" t="s">
        <v>601</v>
      </c>
      <c r="D48" s="308" t="s">
        <v>602</v>
      </c>
      <c r="E48" s="308" t="s">
        <v>397</v>
      </c>
      <c r="F48" s="308" t="s">
        <v>603</v>
      </c>
      <c r="G48" s="308" t="s">
        <v>398</v>
      </c>
      <c r="H48" s="308" t="s">
        <v>604</v>
      </c>
      <c r="I48" s="308" t="s">
        <v>398</v>
      </c>
      <c r="J48" s="335"/>
      <c r="L48" s="299"/>
      <c r="M48" s="299"/>
      <c r="N48" s="299"/>
      <c r="O48" s="299"/>
      <c r="P48" s="299"/>
      <c r="Q48" s="299"/>
      <c r="R48" s="299"/>
      <c r="S48" s="299"/>
      <c r="T48" s="299"/>
      <c r="U48" s="299"/>
    </row>
    <row r="49" spans="2:21" ht="28.5" x14ac:dyDescent="0.2">
      <c r="B49" s="298">
        <f t="shared" si="0"/>
        <v>45</v>
      </c>
      <c r="C49" s="308" t="s">
        <v>605</v>
      </c>
      <c r="D49" s="308" t="s">
        <v>606</v>
      </c>
      <c r="E49" s="308" t="s">
        <v>607</v>
      </c>
      <c r="F49" s="308" t="s">
        <v>608</v>
      </c>
      <c r="G49" s="308" t="s">
        <v>609</v>
      </c>
      <c r="H49" s="308" t="s">
        <v>610</v>
      </c>
      <c r="I49" s="308" t="s">
        <v>611</v>
      </c>
      <c r="J49" s="335"/>
      <c r="L49" s="299"/>
      <c r="M49" s="299"/>
      <c r="N49" s="299"/>
      <c r="O49" s="299"/>
      <c r="P49" s="299"/>
      <c r="Q49" s="299"/>
      <c r="R49" s="299"/>
      <c r="S49" s="299"/>
      <c r="T49" s="299"/>
      <c r="U49" s="299"/>
    </row>
    <row r="50" spans="2:21" ht="28.5" x14ac:dyDescent="0.2">
      <c r="B50" s="298">
        <f t="shared" si="0"/>
        <v>46</v>
      </c>
      <c r="C50" s="308" t="s">
        <v>612</v>
      </c>
      <c r="D50" s="308" t="s">
        <v>613</v>
      </c>
      <c r="E50" s="308" t="s">
        <v>614</v>
      </c>
      <c r="F50" s="308" t="s">
        <v>615</v>
      </c>
      <c r="G50" s="308" t="s">
        <v>616</v>
      </c>
      <c r="H50" s="308" t="s">
        <v>617</v>
      </c>
      <c r="I50" s="308" t="s">
        <v>618</v>
      </c>
      <c r="J50" s="335"/>
      <c r="L50" s="299"/>
      <c r="M50" s="299"/>
      <c r="N50" s="299"/>
      <c r="O50" s="299"/>
      <c r="P50" s="299"/>
      <c r="Q50" s="299"/>
      <c r="R50" s="299"/>
      <c r="S50" s="299"/>
      <c r="T50" s="299"/>
      <c r="U50" s="299"/>
    </row>
    <row r="51" spans="2:21" ht="28.5" x14ac:dyDescent="0.2">
      <c r="B51" s="298">
        <f t="shared" si="0"/>
        <v>47</v>
      </c>
      <c r="C51" s="308" t="s">
        <v>619</v>
      </c>
      <c r="D51" s="308" t="s">
        <v>620</v>
      </c>
      <c r="E51" s="308" t="s">
        <v>621</v>
      </c>
      <c r="F51" s="308" t="s">
        <v>622</v>
      </c>
      <c r="G51" s="308" t="s">
        <v>623</v>
      </c>
      <c r="H51" s="308" t="s">
        <v>624</v>
      </c>
      <c r="I51" s="308" t="s">
        <v>625</v>
      </c>
      <c r="J51" s="335"/>
      <c r="L51" s="299"/>
      <c r="M51" s="299"/>
      <c r="N51" s="299"/>
      <c r="O51" s="299"/>
      <c r="P51" s="299"/>
      <c r="Q51" s="299"/>
      <c r="R51" s="299"/>
      <c r="S51" s="299"/>
      <c r="T51" s="299"/>
      <c r="U51" s="299"/>
    </row>
    <row r="52" spans="2:21" ht="28.5" x14ac:dyDescent="0.2">
      <c r="B52" s="298">
        <f t="shared" si="0"/>
        <v>48</v>
      </c>
      <c r="C52" s="308" t="s">
        <v>626</v>
      </c>
      <c r="D52" s="308" t="s">
        <v>627</v>
      </c>
      <c r="E52" s="308" t="s">
        <v>628</v>
      </c>
      <c r="F52" s="308" t="s">
        <v>629</v>
      </c>
      <c r="G52" s="308" t="s">
        <v>553</v>
      </c>
      <c r="H52" s="308" t="s">
        <v>630</v>
      </c>
      <c r="I52" s="308" t="s">
        <v>631</v>
      </c>
      <c r="J52" s="335"/>
      <c r="L52" s="299"/>
      <c r="M52" s="299"/>
      <c r="N52" s="299"/>
      <c r="O52" s="299"/>
      <c r="P52" s="299"/>
      <c r="Q52" s="299"/>
      <c r="R52" s="299"/>
      <c r="S52" s="299"/>
      <c r="T52" s="299"/>
      <c r="U52" s="299"/>
    </row>
    <row r="53" spans="2:21" ht="28.5" x14ac:dyDescent="0.2">
      <c r="B53" s="298">
        <f t="shared" si="0"/>
        <v>49</v>
      </c>
      <c r="C53" s="308" t="s">
        <v>632</v>
      </c>
      <c r="D53" s="308" t="s">
        <v>633</v>
      </c>
      <c r="E53" s="308" t="s">
        <v>634</v>
      </c>
      <c r="F53" s="308" t="s">
        <v>635</v>
      </c>
      <c r="G53" s="308" t="s">
        <v>636</v>
      </c>
      <c r="H53" s="308" t="s">
        <v>637</v>
      </c>
      <c r="I53" s="308" t="s">
        <v>638</v>
      </c>
      <c r="J53" s="335"/>
      <c r="L53" s="299"/>
      <c r="M53" s="299"/>
      <c r="N53" s="299"/>
      <c r="O53" s="299"/>
      <c r="P53" s="299"/>
      <c r="Q53" s="299"/>
      <c r="R53" s="299"/>
      <c r="S53" s="299"/>
      <c r="T53" s="299"/>
      <c r="U53" s="299"/>
    </row>
    <row r="54" spans="2:21" ht="28.5" x14ac:dyDescent="0.2">
      <c r="B54" s="298">
        <f t="shared" si="0"/>
        <v>50</v>
      </c>
      <c r="C54" s="308" t="s">
        <v>639</v>
      </c>
      <c r="D54" s="308" t="s">
        <v>640</v>
      </c>
      <c r="E54" s="308" t="s">
        <v>641</v>
      </c>
      <c r="F54" s="308" t="s">
        <v>642</v>
      </c>
      <c r="G54" s="308" t="s">
        <v>643</v>
      </c>
      <c r="H54" s="308" t="s">
        <v>644</v>
      </c>
      <c r="I54" s="308" t="s">
        <v>607</v>
      </c>
      <c r="J54" s="335"/>
      <c r="L54" s="299"/>
      <c r="M54" s="299"/>
      <c r="N54" s="299"/>
      <c r="O54" s="299"/>
      <c r="P54" s="299"/>
      <c r="Q54" s="299"/>
      <c r="R54" s="299"/>
      <c r="S54" s="299"/>
      <c r="T54" s="299"/>
      <c r="U54" s="299"/>
    </row>
    <row r="55" spans="2:21" ht="28.5" x14ac:dyDescent="0.2">
      <c r="B55" s="298">
        <f t="shared" si="0"/>
        <v>51</v>
      </c>
      <c r="C55" s="308" t="s">
        <v>645</v>
      </c>
      <c r="D55" s="308" t="s">
        <v>646</v>
      </c>
      <c r="E55" s="308" t="s">
        <v>647</v>
      </c>
      <c r="F55" s="308" t="s">
        <v>648</v>
      </c>
      <c r="G55" s="308" t="s">
        <v>614</v>
      </c>
      <c r="H55" s="308" t="s">
        <v>649</v>
      </c>
      <c r="I55" s="308" t="s">
        <v>650</v>
      </c>
      <c r="J55" s="335"/>
      <c r="L55" s="299"/>
      <c r="M55" s="299"/>
      <c r="N55" s="299"/>
      <c r="O55" s="299"/>
      <c r="P55" s="299"/>
      <c r="Q55" s="299"/>
      <c r="R55" s="299"/>
      <c r="S55" s="299"/>
      <c r="T55" s="299"/>
      <c r="U55" s="299"/>
    </row>
    <row r="56" spans="2:21" ht="28.5" x14ac:dyDescent="0.2">
      <c r="B56" s="298">
        <f t="shared" si="0"/>
        <v>52</v>
      </c>
      <c r="C56" s="308" t="s">
        <v>651</v>
      </c>
      <c r="D56" s="308" t="s">
        <v>652</v>
      </c>
      <c r="E56" s="308" t="s">
        <v>653</v>
      </c>
      <c r="F56" s="308" t="s">
        <v>654</v>
      </c>
      <c r="G56" s="308" t="s">
        <v>623</v>
      </c>
      <c r="H56" s="308" t="s">
        <v>655</v>
      </c>
      <c r="I56" s="308" t="s">
        <v>623</v>
      </c>
      <c r="J56" s="335"/>
      <c r="L56" s="299"/>
      <c r="M56" s="299"/>
      <c r="N56" s="299"/>
      <c r="O56" s="299"/>
      <c r="P56" s="299"/>
      <c r="Q56" s="299"/>
      <c r="R56" s="299"/>
      <c r="S56" s="299"/>
      <c r="T56" s="299"/>
      <c r="U56" s="299"/>
    </row>
    <row r="57" spans="2:21" ht="28.5" x14ac:dyDescent="0.2">
      <c r="B57" s="298">
        <f t="shared" si="0"/>
        <v>53</v>
      </c>
      <c r="C57" s="308" t="s">
        <v>656</v>
      </c>
      <c r="D57" s="308" t="s">
        <v>657</v>
      </c>
      <c r="E57" s="308" t="s">
        <v>658</v>
      </c>
      <c r="F57" s="308" t="s">
        <v>659</v>
      </c>
      <c r="G57" s="308" t="s">
        <v>660</v>
      </c>
      <c r="H57" s="308" t="s">
        <v>661</v>
      </c>
      <c r="I57" s="308" t="s">
        <v>662</v>
      </c>
      <c r="J57" s="335"/>
      <c r="L57" s="299"/>
      <c r="M57" s="299"/>
      <c r="N57" s="299"/>
      <c r="O57" s="299"/>
      <c r="P57" s="299"/>
      <c r="Q57" s="299"/>
      <c r="R57" s="299"/>
      <c r="S57" s="299"/>
      <c r="T57" s="299"/>
      <c r="U57" s="299"/>
    </row>
    <row r="58" spans="2:21" ht="28.5" x14ac:dyDescent="0.2">
      <c r="B58" s="298">
        <f t="shared" si="0"/>
        <v>54</v>
      </c>
      <c r="C58" s="308" t="s">
        <v>663</v>
      </c>
      <c r="D58" s="308" t="s">
        <v>664</v>
      </c>
      <c r="E58" s="308" t="s">
        <v>665</v>
      </c>
      <c r="F58" s="308" t="s">
        <v>666</v>
      </c>
      <c r="G58" s="308" t="s">
        <v>667</v>
      </c>
      <c r="H58" s="308" t="s">
        <v>668</v>
      </c>
      <c r="I58" s="308" t="s">
        <v>669</v>
      </c>
      <c r="J58" s="335"/>
      <c r="L58" s="299"/>
      <c r="M58" s="299"/>
      <c r="N58" s="299"/>
      <c r="O58" s="299"/>
      <c r="P58" s="299"/>
      <c r="Q58" s="299"/>
      <c r="R58" s="299"/>
      <c r="S58" s="299"/>
      <c r="T58" s="299"/>
      <c r="U58" s="299"/>
    </row>
    <row r="59" spans="2:21" ht="28.5" x14ac:dyDescent="0.2">
      <c r="B59" s="298">
        <f t="shared" si="0"/>
        <v>55</v>
      </c>
      <c r="C59" s="308" t="s">
        <v>670</v>
      </c>
      <c r="D59" s="308" t="s">
        <v>671</v>
      </c>
      <c r="E59" s="308" t="s">
        <v>672</v>
      </c>
      <c r="F59" s="308" t="s">
        <v>673</v>
      </c>
      <c r="G59" s="308" t="s">
        <v>667</v>
      </c>
      <c r="H59" s="308" t="s">
        <v>674</v>
      </c>
      <c r="I59" s="308" t="s">
        <v>675</v>
      </c>
      <c r="J59" s="335"/>
      <c r="L59" s="299"/>
      <c r="M59" s="299"/>
      <c r="N59" s="299"/>
      <c r="O59" s="299"/>
      <c r="P59" s="299"/>
      <c r="Q59" s="299"/>
      <c r="R59" s="299"/>
      <c r="S59" s="299"/>
      <c r="T59" s="299"/>
      <c r="U59" s="299"/>
    </row>
    <row r="60" spans="2:21" ht="28.5" x14ac:dyDescent="0.2">
      <c r="B60" s="298">
        <f t="shared" si="0"/>
        <v>56</v>
      </c>
      <c r="C60" s="308" t="s">
        <v>1068</v>
      </c>
      <c r="D60" s="308" t="s">
        <v>1069</v>
      </c>
      <c r="E60" s="308" t="s">
        <v>1070</v>
      </c>
      <c r="F60" s="308" t="s">
        <v>1071</v>
      </c>
      <c r="G60" s="308" t="s">
        <v>761</v>
      </c>
      <c r="H60" s="308" t="s">
        <v>617</v>
      </c>
      <c r="I60" s="308" t="s">
        <v>609</v>
      </c>
      <c r="J60" s="335"/>
      <c r="L60" s="299"/>
      <c r="M60" s="299"/>
      <c r="N60" s="299"/>
      <c r="O60" s="299"/>
      <c r="P60" s="299"/>
      <c r="Q60" s="299"/>
      <c r="R60" s="299"/>
      <c r="S60" s="299"/>
      <c r="T60" s="299"/>
      <c r="U60" s="299"/>
    </row>
    <row r="61" spans="2:21" ht="28.5" x14ac:dyDescent="0.2">
      <c r="B61" s="298">
        <f t="shared" si="0"/>
        <v>57</v>
      </c>
      <c r="C61" s="308" t="s">
        <v>1072</v>
      </c>
      <c r="D61" s="308" t="s">
        <v>1073</v>
      </c>
      <c r="E61" s="308" t="s">
        <v>1074</v>
      </c>
      <c r="F61" s="308" t="s">
        <v>1075</v>
      </c>
      <c r="G61" s="308" t="s">
        <v>398</v>
      </c>
      <c r="H61" s="308" t="s">
        <v>1076</v>
      </c>
      <c r="I61" s="308" t="s">
        <v>398</v>
      </c>
      <c r="J61" s="335"/>
      <c r="L61" s="299"/>
      <c r="M61" s="299"/>
      <c r="N61" s="299"/>
      <c r="O61" s="299"/>
      <c r="P61" s="299"/>
      <c r="Q61" s="299"/>
      <c r="R61" s="299"/>
      <c r="S61" s="299"/>
      <c r="T61" s="299"/>
      <c r="U61" s="299"/>
    </row>
    <row r="62" spans="2:21" ht="28.5" x14ac:dyDescent="0.2">
      <c r="B62" s="298">
        <f t="shared" si="0"/>
        <v>58</v>
      </c>
      <c r="C62" s="308" t="s">
        <v>1077</v>
      </c>
      <c r="D62" s="308" t="s">
        <v>1078</v>
      </c>
      <c r="E62" s="308" t="s">
        <v>1079</v>
      </c>
      <c r="F62" s="308" t="s">
        <v>1080</v>
      </c>
      <c r="G62" s="308" t="s">
        <v>1081</v>
      </c>
      <c r="H62" s="308" t="s">
        <v>1082</v>
      </c>
      <c r="I62" s="308" t="s">
        <v>1083</v>
      </c>
      <c r="J62" s="335"/>
      <c r="L62" s="299"/>
      <c r="M62" s="299"/>
      <c r="N62" s="299"/>
      <c r="O62" s="299"/>
      <c r="P62" s="299"/>
      <c r="Q62" s="299"/>
      <c r="R62" s="299"/>
      <c r="S62" s="299"/>
      <c r="T62" s="299"/>
      <c r="U62" s="299"/>
    </row>
    <row r="63" spans="2:21" ht="28.5" x14ac:dyDescent="0.2">
      <c r="B63" s="298">
        <f t="shared" si="0"/>
        <v>59</v>
      </c>
      <c r="C63" s="308" t="s">
        <v>1084</v>
      </c>
      <c r="D63" s="308" t="s">
        <v>1085</v>
      </c>
      <c r="E63" s="308" t="s">
        <v>1086</v>
      </c>
      <c r="F63" s="308" t="s">
        <v>1087</v>
      </c>
      <c r="G63" s="308" t="s">
        <v>810</v>
      </c>
      <c r="H63" s="308" t="s">
        <v>1088</v>
      </c>
      <c r="I63" s="308" t="s">
        <v>1089</v>
      </c>
      <c r="J63" s="335"/>
      <c r="L63" s="299"/>
      <c r="M63" s="299"/>
      <c r="N63" s="299"/>
      <c r="O63" s="299"/>
      <c r="P63" s="299"/>
      <c r="Q63" s="299"/>
      <c r="R63" s="299"/>
      <c r="S63" s="299"/>
      <c r="T63" s="299"/>
      <c r="U63" s="299"/>
    </row>
    <row r="64" spans="2:21" ht="28.5" x14ac:dyDescent="0.2">
      <c r="B64" s="298">
        <f t="shared" si="0"/>
        <v>60</v>
      </c>
      <c r="C64" s="308" t="s">
        <v>1090</v>
      </c>
      <c r="D64" s="308" t="s">
        <v>1091</v>
      </c>
      <c r="E64" s="308" t="s">
        <v>742</v>
      </c>
      <c r="F64" s="308" t="s">
        <v>1092</v>
      </c>
      <c r="G64" s="308" t="s">
        <v>744</v>
      </c>
      <c r="H64" s="308" t="s">
        <v>1093</v>
      </c>
      <c r="I64" s="308" t="s">
        <v>746</v>
      </c>
      <c r="J64" s="335"/>
      <c r="L64" s="299"/>
      <c r="M64" s="299"/>
      <c r="N64" s="299"/>
      <c r="O64" s="299"/>
      <c r="P64" s="299"/>
      <c r="Q64" s="299"/>
      <c r="R64" s="299"/>
      <c r="S64" s="299"/>
      <c r="T64" s="299"/>
      <c r="U64" s="299"/>
    </row>
    <row r="65" spans="2:21" ht="28.5" x14ac:dyDescent="0.2">
      <c r="B65" s="298">
        <f t="shared" si="0"/>
        <v>61</v>
      </c>
      <c r="C65" s="308" t="s">
        <v>676</v>
      </c>
      <c r="D65" s="308" t="s">
        <v>677</v>
      </c>
      <c r="E65" s="308" t="s">
        <v>678</v>
      </c>
      <c r="F65" s="308" t="s">
        <v>679</v>
      </c>
      <c r="G65" s="310">
        <v>0.02</v>
      </c>
      <c r="H65" s="308" t="s">
        <v>680</v>
      </c>
      <c r="I65" s="308" t="s">
        <v>681</v>
      </c>
      <c r="J65" s="335"/>
      <c r="L65" s="299"/>
      <c r="M65" s="299"/>
      <c r="N65" s="299"/>
      <c r="O65" s="299"/>
      <c r="P65" s="299"/>
      <c r="Q65" s="299"/>
      <c r="R65" s="299"/>
      <c r="S65" s="299"/>
      <c r="T65" s="299"/>
      <c r="U65" s="299"/>
    </row>
    <row r="66" spans="2:21" ht="28.5" x14ac:dyDescent="0.2">
      <c r="B66" s="298">
        <f t="shared" si="0"/>
        <v>62</v>
      </c>
      <c r="C66" s="308" t="s">
        <v>683</v>
      </c>
      <c r="D66" s="308" t="s">
        <v>684</v>
      </c>
      <c r="E66" s="308" t="s">
        <v>685</v>
      </c>
      <c r="F66" s="308" t="s">
        <v>686</v>
      </c>
      <c r="G66" s="308" t="s">
        <v>687</v>
      </c>
      <c r="H66" s="308" t="s">
        <v>688</v>
      </c>
      <c r="I66" s="308" t="s">
        <v>689</v>
      </c>
      <c r="J66" s="335" t="s">
        <v>853</v>
      </c>
      <c r="L66" s="299"/>
      <c r="M66" s="299"/>
      <c r="N66" s="299"/>
      <c r="O66" s="299"/>
      <c r="P66" s="299"/>
      <c r="Q66" s="299"/>
      <c r="R66" s="299"/>
      <c r="S66" s="299"/>
      <c r="T66" s="299"/>
      <c r="U66" s="299"/>
    </row>
    <row r="67" spans="2:21" ht="28.5" x14ac:dyDescent="0.2">
      <c r="B67" s="298">
        <f t="shared" si="0"/>
        <v>63</v>
      </c>
      <c r="C67" s="308" t="s">
        <v>690</v>
      </c>
      <c r="D67" s="308" t="s">
        <v>691</v>
      </c>
      <c r="E67" s="308" t="s">
        <v>692</v>
      </c>
      <c r="F67" s="308" t="s">
        <v>693</v>
      </c>
      <c r="G67" s="308" t="s">
        <v>403</v>
      </c>
      <c r="H67" s="308" t="s">
        <v>694</v>
      </c>
      <c r="I67" s="308" t="s">
        <v>403</v>
      </c>
      <c r="J67" s="335"/>
      <c r="L67" s="299"/>
      <c r="M67" s="299"/>
      <c r="N67" s="299"/>
      <c r="O67" s="299"/>
      <c r="P67" s="299"/>
      <c r="Q67" s="299"/>
      <c r="R67" s="299"/>
      <c r="S67" s="299"/>
      <c r="T67" s="299"/>
      <c r="U67" s="299"/>
    </row>
    <row r="68" spans="2:21" ht="28.5" x14ac:dyDescent="0.2">
      <c r="B68" s="298">
        <f t="shared" si="0"/>
        <v>64</v>
      </c>
      <c r="C68" s="308" t="s">
        <v>695</v>
      </c>
      <c r="D68" s="308" t="s">
        <v>696</v>
      </c>
      <c r="E68" s="308" t="s">
        <v>697</v>
      </c>
      <c r="F68" s="308" t="s">
        <v>698</v>
      </c>
      <c r="G68" s="308" t="s">
        <v>575</v>
      </c>
      <c r="H68" s="308" t="s">
        <v>699</v>
      </c>
      <c r="I68" s="308" t="s">
        <v>700</v>
      </c>
      <c r="J68" s="335"/>
      <c r="L68" s="299"/>
      <c r="M68" s="299"/>
      <c r="N68" s="299"/>
      <c r="O68" s="299"/>
      <c r="P68" s="299"/>
      <c r="Q68" s="299"/>
      <c r="R68" s="299"/>
      <c r="S68" s="299"/>
      <c r="T68" s="299"/>
      <c r="U68" s="299"/>
    </row>
    <row r="69" spans="2:21" ht="28.5" x14ac:dyDescent="0.2">
      <c r="B69" s="298">
        <f t="shared" si="0"/>
        <v>65</v>
      </c>
      <c r="C69" s="308" t="s">
        <v>701</v>
      </c>
      <c r="D69" s="308" t="s">
        <v>702</v>
      </c>
      <c r="E69" s="308" t="s">
        <v>703</v>
      </c>
      <c r="F69" s="308" t="s">
        <v>704</v>
      </c>
      <c r="G69" s="308" t="s">
        <v>398</v>
      </c>
      <c r="H69" s="308" t="s">
        <v>705</v>
      </c>
      <c r="I69" s="308" t="s">
        <v>625</v>
      </c>
      <c r="J69" s="335"/>
      <c r="L69" s="299"/>
      <c r="M69" s="299"/>
      <c r="N69" s="299"/>
      <c r="O69" s="299"/>
      <c r="P69" s="299"/>
      <c r="Q69" s="299"/>
      <c r="R69" s="299"/>
      <c r="S69" s="299"/>
      <c r="T69" s="299"/>
      <c r="U69" s="299"/>
    </row>
    <row r="70" spans="2:21" ht="28.5" x14ac:dyDescent="0.2">
      <c r="B70" s="298">
        <f t="shared" si="0"/>
        <v>66</v>
      </c>
      <c r="C70" s="308" t="s">
        <v>706</v>
      </c>
      <c r="D70" s="308" t="s">
        <v>707</v>
      </c>
      <c r="E70" s="308" t="s">
        <v>616</v>
      </c>
      <c r="F70" s="308" t="s">
        <v>708</v>
      </c>
      <c r="G70" s="308" t="s">
        <v>553</v>
      </c>
      <c r="H70" s="308" t="s">
        <v>630</v>
      </c>
      <c r="I70" s="308" t="s">
        <v>631</v>
      </c>
      <c r="J70" s="335"/>
      <c r="L70" s="299"/>
      <c r="M70" s="299"/>
      <c r="N70" s="299"/>
      <c r="O70" s="299"/>
      <c r="P70" s="299"/>
      <c r="Q70" s="299"/>
      <c r="R70" s="299"/>
      <c r="S70" s="299"/>
      <c r="T70" s="299"/>
      <c r="U70" s="299"/>
    </row>
    <row r="71" spans="2:21" ht="28.5" x14ac:dyDescent="0.2">
      <c r="B71" s="298">
        <f t="shared" ref="B71:B134" si="1">1+B70</f>
        <v>67</v>
      </c>
      <c r="C71" s="308" t="s">
        <v>709</v>
      </c>
      <c r="D71" s="308" t="s">
        <v>710</v>
      </c>
      <c r="E71" s="308" t="s">
        <v>711</v>
      </c>
      <c r="F71" s="308" t="s">
        <v>712</v>
      </c>
      <c r="G71" s="308" t="s">
        <v>713</v>
      </c>
      <c r="H71" s="308" t="s">
        <v>714</v>
      </c>
      <c r="I71" s="308" t="s">
        <v>713</v>
      </c>
      <c r="J71" s="335"/>
      <c r="L71" s="299"/>
      <c r="M71" s="299"/>
      <c r="N71" s="299"/>
      <c r="O71" s="299"/>
      <c r="P71" s="299"/>
      <c r="Q71" s="299"/>
      <c r="R71" s="299"/>
      <c r="S71" s="299"/>
      <c r="T71" s="299"/>
      <c r="U71" s="299"/>
    </row>
    <row r="72" spans="2:21" ht="28.5" x14ac:dyDescent="0.2">
      <c r="B72" s="298">
        <f t="shared" si="1"/>
        <v>68</v>
      </c>
      <c r="C72" s="308" t="s">
        <v>715</v>
      </c>
      <c r="D72" s="308" t="s">
        <v>716</v>
      </c>
      <c r="E72" s="308" t="s">
        <v>717</v>
      </c>
      <c r="F72" s="308" t="s">
        <v>718</v>
      </c>
      <c r="G72" s="308" t="s">
        <v>719</v>
      </c>
      <c r="H72" s="308" t="s">
        <v>720</v>
      </c>
      <c r="I72" s="308" t="s">
        <v>598</v>
      </c>
      <c r="J72" s="335"/>
      <c r="L72" s="299"/>
      <c r="M72" s="299"/>
      <c r="N72" s="299"/>
      <c r="O72" s="299"/>
      <c r="P72" s="299"/>
      <c r="Q72" s="299"/>
      <c r="R72" s="299"/>
      <c r="S72" s="299"/>
      <c r="T72" s="299"/>
      <c r="U72" s="299"/>
    </row>
    <row r="73" spans="2:21" ht="28.5" x14ac:dyDescent="0.2">
      <c r="B73" s="298">
        <f t="shared" si="1"/>
        <v>69</v>
      </c>
      <c r="C73" s="308" t="s">
        <v>721</v>
      </c>
      <c r="D73" s="308" t="s">
        <v>722</v>
      </c>
      <c r="E73" s="308" t="s">
        <v>723</v>
      </c>
      <c r="F73" s="308" t="s">
        <v>724</v>
      </c>
      <c r="G73" s="308" t="s">
        <v>725</v>
      </c>
      <c r="H73" s="308" t="s">
        <v>726</v>
      </c>
      <c r="I73" s="308" t="s">
        <v>727</v>
      </c>
      <c r="J73" s="335"/>
      <c r="L73" s="299"/>
      <c r="M73" s="299"/>
      <c r="N73" s="299"/>
      <c r="O73" s="299"/>
      <c r="P73" s="299"/>
      <c r="Q73" s="299"/>
      <c r="R73" s="299"/>
      <c r="S73" s="299"/>
      <c r="T73" s="299"/>
      <c r="U73" s="299"/>
    </row>
    <row r="74" spans="2:21" ht="28.5" x14ac:dyDescent="0.2">
      <c r="B74" s="298">
        <f t="shared" si="1"/>
        <v>70</v>
      </c>
      <c r="C74" s="308" t="s">
        <v>728</v>
      </c>
      <c r="D74" s="308" t="s">
        <v>729</v>
      </c>
      <c r="E74" s="308" t="s">
        <v>631</v>
      </c>
      <c r="F74" s="308" t="s">
        <v>730</v>
      </c>
      <c r="G74" s="308" t="s">
        <v>521</v>
      </c>
      <c r="H74" s="308" t="s">
        <v>731</v>
      </c>
      <c r="I74" s="308" t="s">
        <v>732</v>
      </c>
      <c r="J74" s="335"/>
      <c r="L74" s="299"/>
      <c r="M74" s="299"/>
      <c r="N74" s="299"/>
      <c r="O74" s="299"/>
      <c r="P74" s="299"/>
      <c r="Q74" s="299"/>
      <c r="R74" s="299"/>
      <c r="S74" s="299"/>
      <c r="T74" s="299"/>
      <c r="U74" s="299"/>
    </row>
    <row r="75" spans="2:21" ht="28.5" x14ac:dyDescent="0.2">
      <c r="B75" s="298">
        <f t="shared" si="1"/>
        <v>71</v>
      </c>
      <c r="C75" s="308" t="s">
        <v>733</v>
      </c>
      <c r="D75" s="308" t="s">
        <v>734</v>
      </c>
      <c r="E75" s="308" t="s">
        <v>735</v>
      </c>
      <c r="F75" s="308" t="s">
        <v>736</v>
      </c>
      <c r="G75" s="308" t="s">
        <v>737</v>
      </c>
      <c r="H75" s="308" t="s">
        <v>738</v>
      </c>
      <c r="I75" s="308" t="s">
        <v>739</v>
      </c>
      <c r="J75" s="335"/>
      <c r="L75" s="299"/>
      <c r="M75" s="299"/>
      <c r="N75" s="299"/>
      <c r="O75" s="299"/>
      <c r="P75" s="299"/>
      <c r="Q75" s="299"/>
      <c r="R75" s="299"/>
      <c r="S75" s="299"/>
      <c r="T75" s="299"/>
      <c r="U75" s="299"/>
    </row>
    <row r="76" spans="2:21" ht="28.5" x14ac:dyDescent="0.2">
      <c r="B76" s="298">
        <f t="shared" si="1"/>
        <v>72</v>
      </c>
      <c r="C76" s="308" t="s">
        <v>740</v>
      </c>
      <c r="D76" s="308" t="s">
        <v>741</v>
      </c>
      <c r="E76" s="308" t="s">
        <v>742</v>
      </c>
      <c r="F76" s="308" t="s">
        <v>743</v>
      </c>
      <c r="G76" s="308" t="s">
        <v>744</v>
      </c>
      <c r="H76" s="308" t="s">
        <v>745</v>
      </c>
      <c r="I76" s="308" t="s">
        <v>746</v>
      </c>
      <c r="J76" s="335"/>
      <c r="L76" s="299"/>
      <c r="M76" s="299"/>
      <c r="N76" s="299"/>
      <c r="O76" s="299"/>
      <c r="P76" s="299"/>
      <c r="Q76" s="299"/>
      <c r="R76" s="299"/>
      <c r="S76" s="299"/>
      <c r="T76" s="299"/>
      <c r="U76" s="299"/>
    </row>
    <row r="77" spans="2:21" ht="28.5" x14ac:dyDescent="0.2">
      <c r="B77" s="298">
        <f t="shared" si="1"/>
        <v>73</v>
      </c>
      <c r="C77" s="308" t="s">
        <v>747</v>
      </c>
      <c r="D77" s="308" t="s">
        <v>748</v>
      </c>
      <c r="E77" s="308" t="s">
        <v>744</v>
      </c>
      <c r="F77" s="308" t="s">
        <v>749</v>
      </c>
      <c r="G77" s="308" t="s">
        <v>750</v>
      </c>
      <c r="H77" s="308" t="s">
        <v>751</v>
      </c>
      <c r="I77" s="308" t="s">
        <v>687</v>
      </c>
      <c r="J77" s="335"/>
      <c r="L77" s="299"/>
      <c r="M77" s="299"/>
      <c r="N77" s="299"/>
      <c r="O77" s="299"/>
      <c r="P77" s="299"/>
      <c r="Q77" s="299"/>
      <c r="R77" s="299"/>
      <c r="S77" s="299"/>
      <c r="T77" s="299"/>
      <c r="U77" s="299"/>
    </row>
    <row r="78" spans="2:21" ht="28.5" x14ac:dyDescent="0.2">
      <c r="B78" s="298">
        <f t="shared" si="1"/>
        <v>74</v>
      </c>
      <c r="C78" s="308" t="s">
        <v>752</v>
      </c>
      <c r="D78" s="308" t="s">
        <v>753</v>
      </c>
      <c r="E78" s="308" t="s">
        <v>754</v>
      </c>
      <c r="F78" s="308" t="s">
        <v>755</v>
      </c>
      <c r="G78" s="308" t="s">
        <v>756</v>
      </c>
      <c r="H78" s="308" t="s">
        <v>757</v>
      </c>
      <c r="I78" s="308" t="s">
        <v>398</v>
      </c>
      <c r="J78" s="335"/>
      <c r="L78" s="299"/>
      <c r="M78" s="299"/>
      <c r="N78" s="299"/>
      <c r="O78" s="299"/>
      <c r="P78" s="299"/>
      <c r="Q78" s="299"/>
      <c r="R78" s="299"/>
      <c r="S78" s="299"/>
      <c r="T78" s="299"/>
      <c r="U78" s="299"/>
    </row>
    <row r="79" spans="2:21" ht="28.5" x14ac:dyDescent="0.2">
      <c r="B79" s="298">
        <f t="shared" si="1"/>
        <v>75</v>
      </c>
      <c r="C79" s="308" t="s">
        <v>758</v>
      </c>
      <c r="D79" s="308" t="s">
        <v>759</v>
      </c>
      <c r="E79" s="308" t="s">
        <v>395</v>
      </c>
      <c r="F79" s="308" t="s">
        <v>760</v>
      </c>
      <c r="G79" s="308" t="s">
        <v>761</v>
      </c>
      <c r="H79" s="308" t="s">
        <v>762</v>
      </c>
      <c r="I79" s="308" t="s">
        <v>609</v>
      </c>
      <c r="J79" s="335"/>
      <c r="L79" s="299"/>
      <c r="M79" s="299"/>
      <c r="N79" s="299"/>
      <c r="O79" s="299"/>
      <c r="P79" s="299"/>
      <c r="Q79" s="299"/>
      <c r="R79" s="299"/>
      <c r="S79" s="299"/>
      <c r="T79" s="299"/>
      <c r="U79" s="299"/>
    </row>
    <row r="80" spans="2:21" ht="28.5" x14ac:dyDescent="0.2">
      <c r="B80" s="298">
        <f t="shared" si="1"/>
        <v>76</v>
      </c>
      <c r="C80" s="308" t="s">
        <v>1094</v>
      </c>
      <c r="D80" s="308" t="s">
        <v>1095</v>
      </c>
      <c r="E80" s="308" t="s">
        <v>1096</v>
      </c>
      <c r="F80" s="308" t="s">
        <v>1097</v>
      </c>
      <c r="G80" s="308" t="s">
        <v>1098</v>
      </c>
      <c r="H80" s="308" t="s">
        <v>1099</v>
      </c>
      <c r="I80" s="308" t="s">
        <v>742</v>
      </c>
      <c r="J80" s="335"/>
      <c r="L80" s="299"/>
      <c r="M80" s="299"/>
      <c r="N80" s="299"/>
      <c r="O80" s="299"/>
      <c r="P80" s="299"/>
      <c r="Q80" s="299"/>
      <c r="R80" s="299"/>
      <c r="S80" s="299"/>
      <c r="T80" s="299"/>
      <c r="U80" s="299"/>
    </row>
    <row r="81" spans="2:21" ht="28.5" x14ac:dyDescent="0.2">
      <c r="B81" s="298">
        <f t="shared" si="1"/>
        <v>77</v>
      </c>
      <c r="C81" s="308" t="s">
        <v>1100</v>
      </c>
      <c r="D81" s="308" t="s">
        <v>1101</v>
      </c>
      <c r="E81" s="308" t="s">
        <v>1102</v>
      </c>
      <c r="F81" s="308" t="s">
        <v>1103</v>
      </c>
      <c r="G81" s="308" t="s">
        <v>631</v>
      </c>
      <c r="H81" s="308" t="s">
        <v>1104</v>
      </c>
      <c r="I81" s="308" t="s">
        <v>1105</v>
      </c>
      <c r="J81" s="335"/>
      <c r="L81" s="299"/>
      <c r="M81" s="299"/>
      <c r="N81" s="299"/>
      <c r="O81" s="299"/>
      <c r="P81" s="299"/>
      <c r="Q81" s="299"/>
      <c r="R81" s="299"/>
      <c r="S81" s="299"/>
      <c r="T81" s="299"/>
      <c r="U81" s="299"/>
    </row>
    <row r="82" spans="2:21" ht="28.5" x14ac:dyDescent="0.2">
      <c r="B82" s="298">
        <f t="shared" si="1"/>
        <v>78</v>
      </c>
      <c r="C82" s="308" t="s">
        <v>1106</v>
      </c>
      <c r="D82" s="308" t="s">
        <v>1107</v>
      </c>
      <c r="E82" s="308" t="s">
        <v>1108</v>
      </c>
      <c r="F82" s="308" t="s">
        <v>1109</v>
      </c>
      <c r="G82" s="308" t="s">
        <v>398</v>
      </c>
      <c r="H82" s="308" t="s">
        <v>1110</v>
      </c>
      <c r="I82" s="308" t="s">
        <v>658</v>
      </c>
      <c r="J82" s="335"/>
      <c r="L82" s="299"/>
      <c r="M82" s="299"/>
      <c r="N82" s="299"/>
      <c r="O82" s="299"/>
      <c r="P82" s="299"/>
      <c r="Q82" s="299"/>
      <c r="R82" s="299"/>
      <c r="S82" s="299"/>
      <c r="T82" s="299"/>
      <c r="U82" s="299"/>
    </row>
    <row r="83" spans="2:21" ht="28.5" x14ac:dyDescent="0.2">
      <c r="B83" s="298">
        <f t="shared" si="1"/>
        <v>79</v>
      </c>
      <c r="C83" s="308" t="s">
        <v>1111</v>
      </c>
      <c r="D83" s="308" t="s">
        <v>1112</v>
      </c>
      <c r="E83" s="308" t="s">
        <v>742</v>
      </c>
      <c r="F83" s="308" t="s">
        <v>1113</v>
      </c>
      <c r="G83" s="308" t="s">
        <v>744</v>
      </c>
      <c r="H83" s="308" t="s">
        <v>1114</v>
      </c>
      <c r="I83" s="308" t="s">
        <v>746</v>
      </c>
      <c r="J83" s="335"/>
      <c r="L83" s="299"/>
      <c r="M83" s="299"/>
      <c r="N83" s="299"/>
      <c r="O83" s="299"/>
      <c r="P83" s="299"/>
      <c r="Q83" s="299"/>
      <c r="R83" s="299"/>
      <c r="S83" s="299"/>
      <c r="T83" s="299"/>
      <c r="U83" s="299"/>
    </row>
    <row r="84" spans="2:21" ht="28.5" x14ac:dyDescent="0.2">
      <c r="B84" s="298">
        <f t="shared" si="1"/>
        <v>80</v>
      </c>
      <c r="C84" s="308" t="s">
        <v>1115</v>
      </c>
      <c r="D84" s="308" t="s">
        <v>1116</v>
      </c>
      <c r="E84" s="308" t="s">
        <v>692</v>
      </c>
      <c r="F84" s="308" t="s">
        <v>1117</v>
      </c>
      <c r="G84" s="308" t="s">
        <v>403</v>
      </c>
      <c r="H84" s="308" t="s">
        <v>1118</v>
      </c>
      <c r="I84" s="308" t="s">
        <v>403</v>
      </c>
      <c r="J84" s="335"/>
      <c r="L84" s="299"/>
      <c r="M84" s="299"/>
      <c r="N84" s="299"/>
      <c r="O84" s="299"/>
      <c r="P84" s="299"/>
      <c r="Q84" s="299"/>
      <c r="R84" s="299"/>
      <c r="S84" s="299"/>
      <c r="T84" s="299"/>
      <c r="U84" s="299"/>
    </row>
    <row r="85" spans="2:21" ht="28.5" x14ac:dyDescent="0.2">
      <c r="B85" s="298">
        <f t="shared" si="1"/>
        <v>81</v>
      </c>
      <c r="C85" s="308" t="s">
        <v>763</v>
      </c>
      <c r="D85" s="308" t="s">
        <v>764</v>
      </c>
      <c r="E85" s="308" t="s">
        <v>765</v>
      </c>
      <c r="F85" s="308" t="s">
        <v>766</v>
      </c>
      <c r="G85" s="308" t="s">
        <v>767</v>
      </c>
      <c r="H85" s="308" t="s">
        <v>768</v>
      </c>
      <c r="I85" s="308" t="s">
        <v>769</v>
      </c>
      <c r="J85" s="335"/>
      <c r="L85" s="299"/>
      <c r="M85" s="299"/>
      <c r="N85" s="299"/>
      <c r="O85" s="299"/>
      <c r="P85" s="299"/>
      <c r="Q85" s="299"/>
      <c r="R85" s="299"/>
      <c r="S85" s="299"/>
      <c r="T85" s="299"/>
      <c r="U85" s="299"/>
    </row>
    <row r="86" spans="2:21" ht="28.5" x14ac:dyDescent="0.2">
      <c r="B86" s="298">
        <f t="shared" si="1"/>
        <v>82</v>
      </c>
      <c r="C86" s="308" t="s">
        <v>770</v>
      </c>
      <c r="D86" s="308" t="s">
        <v>771</v>
      </c>
      <c r="E86" s="308" t="s">
        <v>772</v>
      </c>
      <c r="F86" s="308" t="s">
        <v>773</v>
      </c>
      <c r="G86" s="308" t="s">
        <v>774</v>
      </c>
      <c r="H86" s="308" t="s">
        <v>775</v>
      </c>
      <c r="I86" s="308" t="s">
        <v>774</v>
      </c>
      <c r="J86" s="335" t="s">
        <v>852</v>
      </c>
      <c r="L86" s="299"/>
      <c r="M86" s="299"/>
      <c r="N86" s="299"/>
      <c r="O86" s="299"/>
      <c r="P86" s="299"/>
      <c r="Q86" s="299"/>
      <c r="R86" s="299"/>
      <c r="S86" s="299"/>
      <c r="T86" s="299"/>
      <c r="U86" s="299"/>
    </row>
    <row r="87" spans="2:21" ht="28.5" x14ac:dyDescent="0.2">
      <c r="B87" s="298">
        <f t="shared" si="1"/>
        <v>83</v>
      </c>
      <c r="C87" s="308" t="s">
        <v>776</v>
      </c>
      <c r="D87" s="308" t="s">
        <v>777</v>
      </c>
      <c r="E87" s="308" t="s">
        <v>778</v>
      </c>
      <c r="F87" s="308" t="s">
        <v>779</v>
      </c>
      <c r="G87" s="308" t="s">
        <v>780</v>
      </c>
      <c r="H87" s="308" t="s">
        <v>781</v>
      </c>
      <c r="I87" s="308" t="s">
        <v>400</v>
      </c>
      <c r="J87" s="335"/>
      <c r="N87" s="299"/>
      <c r="O87" s="299"/>
      <c r="P87" s="299"/>
      <c r="Q87" s="299"/>
      <c r="R87" s="299"/>
      <c r="S87" s="299"/>
      <c r="T87" s="299"/>
      <c r="U87" s="299"/>
    </row>
    <row r="88" spans="2:21" ht="28.5" x14ac:dyDescent="0.2">
      <c r="B88" s="298">
        <f t="shared" si="1"/>
        <v>84</v>
      </c>
      <c r="C88" s="308" t="s">
        <v>782</v>
      </c>
      <c r="D88" s="308" t="s">
        <v>783</v>
      </c>
      <c r="E88" s="308" t="s">
        <v>784</v>
      </c>
      <c r="F88" s="308" t="s">
        <v>785</v>
      </c>
      <c r="G88" s="308" t="s">
        <v>786</v>
      </c>
      <c r="H88" s="308" t="s">
        <v>787</v>
      </c>
      <c r="I88" s="308" t="s">
        <v>788</v>
      </c>
      <c r="J88" s="335"/>
      <c r="N88" s="299"/>
      <c r="O88" s="299"/>
      <c r="P88" s="299"/>
      <c r="Q88" s="299"/>
      <c r="R88" s="299"/>
      <c r="S88" s="299"/>
      <c r="T88" s="299"/>
      <c r="U88" s="299"/>
    </row>
    <row r="89" spans="2:21" ht="28.5" x14ac:dyDescent="0.2">
      <c r="B89" s="298">
        <f t="shared" si="1"/>
        <v>85</v>
      </c>
      <c r="C89" s="308" t="s">
        <v>789</v>
      </c>
      <c r="D89" s="308" t="s">
        <v>790</v>
      </c>
      <c r="E89" s="308" t="s">
        <v>791</v>
      </c>
      <c r="F89" s="308" t="s">
        <v>792</v>
      </c>
      <c r="G89" s="308" t="s">
        <v>793</v>
      </c>
      <c r="H89" s="308" t="s">
        <v>794</v>
      </c>
      <c r="I89" s="308" t="s">
        <v>793</v>
      </c>
      <c r="J89" s="335"/>
      <c r="L89" s="299"/>
      <c r="M89" s="299"/>
      <c r="N89" s="299"/>
      <c r="O89" s="299"/>
      <c r="P89" s="299"/>
      <c r="Q89" s="299"/>
      <c r="R89" s="299"/>
      <c r="S89" s="299"/>
      <c r="T89" s="299"/>
      <c r="U89" s="299"/>
    </row>
    <row r="90" spans="2:21" ht="28.5" x14ac:dyDescent="0.2">
      <c r="B90" s="298">
        <f t="shared" si="1"/>
        <v>86</v>
      </c>
      <c r="C90" s="308" t="s">
        <v>795</v>
      </c>
      <c r="D90" s="308" t="s">
        <v>796</v>
      </c>
      <c r="E90" s="308" t="s">
        <v>797</v>
      </c>
      <c r="F90" s="308" t="s">
        <v>798</v>
      </c>
      <c r="G90" s="308" t="s">
        <v>618</v>
      </c>
      <c r="H90" s="308" t="s">
        <v>751</v>
      </c>
      <c r="I90" s="308" t="s">
        <v>799</v>
      </c>
      <c r="J90" s="335"/>
      <c r="L90" s="299"/>
      <c r="M90" s="299"/>
      <c r="N90" s="299"/>
      <c r="O90" s="299"/>
      <c r="P90" s="299"/>
      <c r="Q90" s="299"/>
      <c r="R90" s="299"/>
      <c r="S90" s="299"/>
      <c r="T90" s="299"/>
      <c r="U90" s="299"/>
    </row>
    <row r="91" spans="2:21" ht="28.5" x14ac:dyDescent="0.2">
      <c r="B91" s="298">
        <f t="shared" si="1"/>
        <v>87</v>
      </c>
      <c r="C91" s="308" t="s">
        <v>800</v>
      </c>
      <c r="D91" s="308" t="s">
        <v>801</v>
      </c>
      <c r="E91" s="308" t="s">
        <v>802</v>
      </c>
      <c r="F91" s="308" t="s">
        <v>803</v>
      </c>
      <c r="G91" s="308" t="s">
        <v>804</v>
      </c>
      <c r="H91" s="308" t="s">
        <v>805</v>
      </c>
      <c r="I91" s="308" t="s">
        <v>804</v>
      </c>
      <c r="J91" s="335"/>
      <c r="L91" s="299"/>
      <c r="M91" s="299"/>
      <c r="N91" s="299"/>
      <c r="O91" s="299"/>
      <c r="P91" s="299"/>
      <c r="Q91" s="299"/>
      <c r="R91" s="299"/>
      <c r="S91" s="299"/>
      <c r="T91" s="299"/>
      <c r="U91" s="299"/>
    </row>
    <row r="92" spans="2:21" ht="28.5" x14ac:dyDescent="0.2">
      <c r="B92" s="298">
        <f t="shared" si="1"/>
        <v>88</v>
      </c>
      <c r="C92" s="308" t="s">
        <v>806</v>
      </c>
      <c r="D92" s="308" t="s">
        <v>807</v>
      </c>
      <c r="E92" s="308" t="s">
        <v>399</v>
      </c>
      <c r="F92" s="308" t="s">
        <v>808</v>
      </c>
      <c r="G92" s="308" t="s">
        <v>692</v>
      </c>
      <c r="H92" s="308" t="s">
        <v>809</v>
      </c>
      <c r="I92" s="308" t="s">
        <v>810</v>
      </c>
      <c r="J92" s="335"/>
      <c r="L92" s="299"/>
      <c r="M92" s="299"/>
      <c r="N92" s="299"/>
      <c r="O92" s="299"/>
      <c r="P92" s="299"/>
      <c r="Q92" s="299"/>
      <c r="R92" s="299"/>
      <c r="S92" s="299"/>
      <c r="T92" s="299"/>
      <c r="U92" s="299"/>
    </row>
    <row r="93" spans="2:21" ht="28.5" x14ac:dyDescent="0.2">
      <c r="B93" s="298">
        <f t="shared" si="1"/>
        <v>89</v>
      </c>
      <c r="C93" s="308" t="s">
        <v>811</v>
      </c>
      <c r="D93" s="308" t="s">
        <v>812</v>
      </c>
      <c r="E93" s="308" t="s">
        <v>813</v>
      </c>
      <c r="F93" s="308" t="s">
        <v>814</v>
      </c>
      <c r="G93" s="308" t="s">
        <v>711</v>
      </c>
      <c r="H93" s="308" t="s">
        <v>502</v>
      </c>
      <c r="I93" s="308" t="s">
        <v>815</v>
      </c>
      <c r="J93" s="335"/>
      <c r="L93" s="299"/>
      <c r="M93" s="299"/>
      <c r="N93" s="299"/>
      <c r="O93" s="299"/>
      <c r="P93" s="299"/>
      <c r="Q93" s="299"/>
      <c r="R93" s="299"/>
      <c r="S93" s="299"/>
      <c r="T93" s="299"/>
      <c r="U93" s="299"/>
    </row>
    <row r="94" spans="2:21" ht="28.5" x14ac:dyDescent="0.2">
      <c r="B94" s="298">
        <f t="shared" si="1"/>
        <v>90</v>
      </c>
      <c r="C94" s="308" t="s">
        <v>816</v>
      </c>
      <c r="D94" s="308" t="s">
        <v>817</v>
      </c>
      <c r="E94" s="308" t="s">
        <v>818</v>
      </c>
      <c r="F94" s="308" t="s">
        <v>819</v>
      </c>
      <c r="G94" s="308" t="s">
        <v>643</v>
      </c>
      <c r="H94" s="308" t="s">
        <v>820</v>
      </c>
      <c r="I94" s="308" t="s">
        <v>813</v>
      </c>
      <c r="J94" s="335"/>
      <c r="N94" s="299"/>
      <c r="O94" s="299"/>
      <c r="P94" s="299"/>
      <c r="Q94" s="299"/>
      <c r="R94" s="299"/>
      <c r="S94" s="299"/>
      <c r="T94" s="299"/>
      <c r="U94" s="299"/>
    </row>
    <row r="95" spans="2:21" ht="28.5" x14ac:dyDescent="0.2">
      <c r="B95" s="298">
        <f t="shared" si="1"/>
        <v>91</v>
      </c>
      <c r="C95" s="308" t="s">
        <v>821</v>
      </c>
      <c r="D95" s="308" t="s">
        <v>822</v>
      </c>
      <c r="E95" s="308" t="s">
        <v>395</v>
      </c>
      <c r="F95" s="308" t="s">
        <v>823</v>
      </c>
      <c r="G95" s="308" t="s">
        <v>742</v>
      </c>
      <c r="H95" s="308" t="s">
        <v>824</v>
      </c>
      <c r="I95" s="308" t="s">
        <v>825</v>
      </c>
      <c r="J95" s="335"/>
      <c r="N95" s="299"/>
      <c r="O95" s="299"/>
      <c r="P95" s="299"/>
      <c r="Q95" s="299"/>
      <c r="R95" s="299"/>
      <c r="S95" s="299"/>
      <c r="T95" s="299"/>
      <c r="U95" s="299"/>
    </row>
    <row r="96" spans="2:21" ht="28.5" x14ac:dyDescent="0.2">
      <c r="B96" s="298">
        <f t="shared" si="1"/>
        <v>92</v>
      </c>
      <c r="C96" s="308" t="s">
        <v>826</v>
      </c>
      <c r="D96" s="308" t="s">
        <v>827</v>
      </c>
      <c r="E96" s="308" t="s">
        <v>804</v>
      </c>
      <c r="F96" s="308" t="s">
        <v>828</v>
      </c>
      <c r="G96" s="308" t="s">
        <v>399</v>
      </c>
      <c r="H96" s="308" t="s">
        <v>829</v>
      </c>
      <c r="I96" s="308" t="s">
        <v>399</v>
      </c>
      <c r="J96" s="335"/>
      <c r="N96" s="299"/>
      <c r="O96" s="299"/>
      <c r="P96" s="299"/>
      <c r="Q96" s="299"/>
      <c r="R96" s="299"/>
      <c r="S96" s="299"/>
      <c r="T96" s="299"/>
      <c r="U96" s="299"/>
    </row>
    <row r="97" spans="2:21" ht="28.5" x14ac:dyDescent="0.2">
      <c r="B97" s="298">
        <f t="shared" si="1"/>
        <v>93</v>
      </c>
      <c r="C97" s="308" t="s">
        <v>830</v>
      </c>
      <c r="D97" s="308" t="s">
        <v>831</v>
      </c>
      <c r="E97" s="308" t="s">
        <v>793</v>
      </c>
      <c r="F97" s="308" t="s">
        <v>832</v>
      </c>
      <c r="G97" s="308" t="s">
        <v>643</v>
      </c>
      <c r="H97" s="308" t="s">
        <v>833</v>
      </c>
      <c r="I97" s="308" t="s">
        <v>813</v>
      </c>
      <c r="J97" s="335"/>
      <c r="N97" s="299"/>
      <c r="O97" s="299"/>
      <c r="P97" s="299"/>
      <c r="Q97" s="299"/>
      <c r="R97" s="299"/>
      <c r="S97" s="299"/>
      <c r="T97" s="299"/>
      <c r="U97" s="299"/>
    </row>
    <row r="98" spans="2:21" ht="28.5" x14ac:dyDescent="0.2">
      <c r="B98" s="298">
        <f t="shared" si="1"/>
        <v>94</v>
      </c>
      <c r="C98" s="308" t="s">
        <v>834</v>
      </c>
      <c r="D98" s="308" t="s">
        <v>835</v>
      </c>
      <c r="E98" s="308" t="s">
        <v>836</v>
      </c>
      <c r="F98" s="308" t="s">
        <v>837</v>
      </c>
      <c r="G98" s="308" t="s">
        <v>838</v>
      </c>
      <c r="H98" s="308" t="s">
        <v>839</v>
      </c>
      <c r="I98" s="308" t="s">
        <v>838</v>
      </c>
      <c r="J98" s="335"/>
      <c r="N98" s="299"/>
      <c r="O98" s="299"/>
      <c r="P98" s="299"/>
      <c r="Q98" s="299"/>
      <c r="R98" s="299"/>
      <c r="S98" s="299"/>
      <c r="T98" s="299"/>
      <c r="U98" s="299"/>
    </row>
    <row r="99" spans="2:21" ht="28.5" x14ac:dyDescent="0.2">
      <c r="B99" s="298">
        <f t="shared" si="1"/>
        <v>95</v>
      </c>
      <c r="C99" s="308" t="s">
        <v>840</v>
      </c>
      <c r="D99" s="308" t="s">
        <v>841</v>
      </c>
      <c r="E99" s="308" t="s">
        <v>786</v>
      </c>
      <c r="F99" s="308" t="s">
        <v>842</v>
      </c>
      <c r="G99" s="308" t="s">
        <v>692</v>
      </c>
      <c r="H99" s="308" t="s">
        <v>843</v>
      </c>
      <c r="I99" s="308" t="s">
        <v>844</v>
      </c>
      <c r="J99" s="335"/>
      <c r="N99" s="299"/>
      <c r="O99" s="299"/>
      <c r="P99" s="299"/>
      <c r="Q99" s="299"/>
      <c r="R99" s="299"/>
      <c r="S99" s="299"/>
      <c r="T99" s="299"/>
      <c r="U99" s="299"/>
    </row>
    <row r="100" spans="2:21" ht="28.5" x14ac:dyDescent="0.2">
      <c r="B100" s="298">
        <f t="shared" si="1"/>
        <v>96</v>
      </c>
      <c r="C100" s="308" t="s">
        <v>1119</v>
      </c>
      <c r="D100" s="308" t="s">
        <v>1120</v>
      </c>
      <c r="E100" s="308" t="s">
        <v>717</v>
      </c>
      <c r="F100" s="308" t="s">
        <v>1121</v>
      </c>
      <c r="G100" s="308" t="s">
        <v>786</v>
      </c>
      <c r="H100" s="308" t="s">
        <v>794</v>
      </c>
      <c r="I100" s="308" t="s">
        <v>786</v>
      </c>
      <c r="J100" s="335"/>
      <c r="N100" s="299"/>
      <c r="O100" s="299"/>
      <c r="P100" s="299"/>
      <c r="Q100" s="299"/>
      <c r="R100" s="299"/>
      <c r="S100" s="299"/>
      <c r="T100" s="299"/>
      <c r="U100" s="299"/>
    </row>
    <row r="101" spans="2:21" ht="28.5" x14ac:dyDescent="0.2">
      <c r="B101" s="298">
        <f t="shared" si="1"/>
        <v>97</v>
      </c>
      <c r="C101" s="308" t="s">
        <v>1122</v>
      </c>
      <c r="D101" s="308" t="s">
        <v>1123</v>
      </c>
      <c r="E101" s="308" t="s">
        <v>395</v>
      </c>
      <c r="F101" s="308" t="s">
        <v>1124</v>
      </c>
      <c r="G101" s="308" t="s">
        <v>761</v>
      </c>
      <c r="H101" s="308" t="s">
        <v>1125</v>
      </c>
      <c r="I101" s="308" t="s">
        <v>609</v>
      </c>
      <c r="J101" s="335"/>
      <c r="N101" s="299"/>
      <c r="O101" s="299"/>
      <c r="P101" s="299"/>
      <c r="Q101" s="299"/>
      <c r="R101" s="299"/>
      <c r="S101" s="299"/>
      <c r="T101" s="299"/>
      <c r="U101" s="299"/>
    </row>
    <row r="102" spans="2:21" ht="28.5" x14ac:dyDescent="0.2">
      <c r="B102" s="298">
        <f t="shared" si="1"/>
        <v>98</v>
      </c>
      <c r="C102" s="308" t="s">
        <v>1126</v>
      </c>
      <c r="D102" s="308" t="s">
        <v>1127</v>
      </c>
      <c r="E102" s="308" t="s">
        <v>1128</v>
      </c>
      <c r="F102" s="308" t="s">
        <v>1129</v>
      </c>
      <c r="G102" s="308" t="s">
        <v>692</v>
      </c>
      <c r="H102" s="308" t="s">
        <v>824</v>
      </c>
      <c r="I102" s="308" t="s">
        <v>844</v>
      </c>
      <c r="J102" s="335"/>
      <c r="N102" s="299"/>
      <c r="O102" s="299"/>
      <c r="P102" s="299"/>
      <c r="Q102" s="299"/>
      <c r="R102" s="299"/>
      <c r="S102" s="299"/>
      <c r="T102" s="299"/>
      <c r="U102" s="299"/>
    </row>
    <row r="103" spans="2:21" ht="28.5" x14ac:dyDescent="0.2">
      <c r="B103" s="298">
        <f t="shared" si="1"/>
        <v>99</v>
      </c>
      <c r="C103" s="308" t="s">
        <v>1130</v>
      </c>
      <c r="D103" s="308" t="s">
        <v>1131</v>
      </c>
      <c r="E103" s="308" t="s">
        <v>791</v>
      </c>
      <c r="F103" s="308" t="s">
        <v>1132</v>
      </c>
      <c r="G103" s="308" t="s">
        <v>793</v>
      </c>
      <c r="H103" s="308" t="s">
        <v>1133</v>
      </c>
      <c r="I103" s="308" t="s">
        <v>793</v>
      </c>
      <c r="J103" s="335"/>
      <c r="N103" s="299"/>
      <c r="O103" s="299"/>
      <c r="P103" s="299"/>
      <c r="Q103" s="299"/>
      <c r="R103" s="299"/>
      <c r="S103" s="299"/>
      <c r="T103" s="299"/>
      <c r="U103" s="299"/>
    </row>
    <row r="104" spans="2:21" ht="28.5" x14ac:dyDescent="0.2">
      <c r="B104" s="298">
        <f t="shared" si="1"/>
        <v>100</v>
      </c>
      <c r="C104" s="308" t="s">
        <v>1134</v>
      </c>
      <c r="D104" s="308" t="s">
        <v>1135</v>
      </c>
      <c r="E104" s="308" t="s">
        <v>793</v>
      </c>
      <c r="F104" s="308" t="s">
        <v>1136</v>
      </c>
      <c r="G104" s="308" t="s">
        <v>1137</v>
      </c>
      <c r="H104" s="308" t="s">
        <v>491</v>
      </c>
      <c r="I104" s="308" t="s">
        <v>1138</v>
      </c>
      <c r="J104" s="335"/>
      <c r="N104" s="299"/>
      <c r="O104" s="299"/>
      <c r="P104" s="299"/>
      <c r="Q104" s="299"/>
      <c r="R104" s="299"/>
      <c r="S104" s="299"/>
      <c r="T104" s="299"/>
      <c r="U104" s="299"/>
    </row>
    <row r="105" spans="2:21" ht="28.5" x14ac:dyDescent="0.2">
      <c r="B105" s="298">
        <f t="shared" si="1"/>
        <v>101</v>
      </c>
      <c r="C105" s="308" t="s">
        <v>845</v>
      </c>
      <c r="D105" s="308" t="s">
        <v>846</v>
      </c>
      <c r="E105" s="308" t="s">
        <v>847</v>
      </c>
      <c r="F105" s="308" t="s">
        <v>848</v>
      </c>
      <c r="G105" s="308" t="s">
        <v>849</v>
      </c>
      <c r="H105" s="308" t="s">
        <v>850</v>
      </c>
      <c r="I105" s="308" t="s">
        <v>851</v>
      </c>
      <c r="J105" s="335"/>
      <c r="N105" s="299"/>
      <c r="O105" s="299"/>
      <c r="P105" s="299"/>
      <c r="Q105" s="299"/>
      <c r="R105" s="299"/>
      <c r="S105" s="299"/>
      <c r="T105" s="299"/>
      <c r="U105" s="299"/>
    </row>
    <row r="106" spans="2:21" ht="28.5" x14ac:dyDescent="0.2">
      <c r="B106" s="298">
        <f t="shared" si="1"/>
        <v>102</v>
      </c>
      <c r="C106" s="308" t="s">
        <v>854</v>
      </c>
      <c r="D106" s="308" t="s">
        <v>855</v>
      </c>
      <c r="E106" s="308" t="s">
        <v>793</v>
      </c>
      <c r="F106" s="308" t="s">
        <v>856</v>
      </c>
      <c r="G106" s="308" t="s">
        <v>813</v>
      </c>
      <c r="H106" s="308" t="s">
        <v>644</v>
      </c>
      <c r="I106" s="308" t="s">
        <v>643</v>
      </c>
      <c r="J106" s="335" t="s">
        <v>915</v>
      </c>
      <c r="N106" s="299"/>
      <c r="O106" s="299"/>
      <c r="P106" s="299"/>
      <c r="Q106" s="299"/>
      <c r="R106" s="299"/>
      <c r="S106" s="299"/>
      <c r="T106" s="299"/>
      <c r="U106" s="299"/>
    </row>
    <row r="107" spans="2:21" ht="28.5" x14ac:dyDescent="0.2">
      <c r="B107" s="298">
        <f t="shared" si="1"/>
        <v>103</v>
      </c>
      <c r="C107" s="308" t="s">
        <v>857</v>
      </c>
      <c r="D107" s="308" t="s">
        <v>858</v>
      </c>
      <c r="E107" s="308" t="s">
        <v>717</v>
      </c>
      <c r="F107" s="308" t="s">
        <v>859</v>
      </c>
      <c r="G107" s="308" t="s">
        <v>786</v>
      </c>
      <c r="H107" s="308" t="s">
        <v>794</v>
      </c>
      <c r="I107" s="308" t="s">
        <v>786</v>
      </c>
      <c r="J107" s="335"/>
      <c r="N107" s="299"/>
      <c r="O107" s="299"/>
      <c r="P107" s="299"/>
      <c r="Q107" s="299"/>
      <c r="R107" s="299"/>
      <c r="S107" s="299"/>
      <c r="T107" s="299"/>
      <c r="U107" s="299"/>
    </row>
    <row r="108" spans="2:21" ht="28.5" x14ac:dyDescent="0.2">
      <c r="B108" s="298">
        <f t="shared" si="1"/>
        <v>104</v>
      </c>
      <c r="C108" s="308" t="s">
        <v>860</v>
      </c>
      <c r="D108" s="308" t="s">
        <v>861</v>
      </c>
      <c r="E108" s="308" t="s">
        <v>862</v>
      </c>
      <c r="F108" s="308" t="s">
        <v>863</v>
      </c>
      <c r="G108" s="308" t="s">
        <v>744</v>
      </c>
      <c r="H108" s="308" t="s">
        <v>864</v>
      </c>
      <c r="I108" s="308" t="s">
        <v>746</v>
      </c>
      <c r="J108" s="335"/>
      <c r="N108" s="299"/>
      <c r="O108" s="299"/>
      <c r="P108" s="299"/>
      <c r="Q108" s="299"/>
      <c r="R108" s="299"/>
      <c r="S108" s="299"/>
      <c r="T108" s="299"/>
      <c r="U108" s="299"/>
    </row>
    <row r="109" spans="2:21" ht="28.5" x14ac:dyDescent="0.2">
      <c r="B109" s="298">
        <f t="shared" si="1"/>
        <v>105</v>
      </c>
      <c r="C109" s="308" t="s">
        <v>865</v>
      </c>
      <c r="D109" s="308" t="s">
        <v>866</v>
      </c>
      <c r="E109" s="308" t="s">
        <v>813</v>
      </c>
      <c r="F109" s="308" t="s">
        <v>867</v>
      </c>
      <c r="G109" s="308" t="s">
        <v>780</v>
      </c>
      <c r="H109" s="308" t="s">
        <v>436</v>
      </c>
      <c r="I109" s="308" t="s">
        <v>780</v>
      </c>
      <c r="J109" s="335"/>
      <c r="N109" s="299"/>
      <c r="O109" s="299"/>
      <c r="P109" s="299"/>
      <c r="Q109" s="299"/>
      <c r="R109" s="299"/>
      <c r="S109" s="299"/>
      <c r="T109" s="299"/>
      <c r="U109" s="299"/>
    </row>
    <row r="110" spans="2:21" ht="28.5" x14ac:dyDescent="0.2">
      <c r="B110" s="298">
        <f t="shared" si="1"/>
        <v>106</v>
      </c>
      <c r="C110" s="308" t="s">
        <v>868</v>
      </c>
      <c r="D110" s="308" t="s">
        <v>869</v>
      </c>
      <c r="E110" s="308" t="s">
        <v>870</v>
      </c>
      <c r="F110" s="308" t="s">
        <v>871</v>
      </c>
      <c r="G110" s="308" t="s">
        <v>750</v>
      </c>
      <c r="H110" s="308" t="s">
        <v>872</v>
      </c>
      <c r="I110" s="308" t="s">
        <v>687</v>
      </c>
      <c r="J110" s="335"/>
      <c r="N110" s="299"/>
      <c r="O110" s="299"/>
      <c r="P110" s="299"/>
      <c r="Q110" s="299"/>
      <c r="R110" s="299"/>
      <c r="S110" s="299"/>
      <c r="T110" s="299"/>
      <c r="U110" s="299"/>
    </row>
    <row r="111" spans="2:21" ht="28.5" x14ac:dyDescent="0.2">
      <c r="B111" s="298">
        <f t="shared" si="1"/>
        <v>107</v>
      </c>
      <c r="C111" s="308" t="s">
        <v>873</v>
      </c>
      <c r="D111" s="308" t="s">
        <v>874</v>
      </c>
      <c r="E111" s="308" t="s">
        <v>875</v>
      </c>
      <c r="F111" s="308" t="s">
        <v>876</v>
      </c>
      <c r="G111" s="308" t="s">
        <v>616</v>
      </c>
      <c r="H111" s="308" t="s">
        <v>877</v>
      </c>
      <c r="I111" s="308" t="s">
        <v>616</v>
      </c>
      <c r="J111" s="335"/>
      <c r="N111" s="299"/>
      <c r="O111" s="299"/>
      <c r="P111" s="299"/>
      <c r="Q111" s="299"/>
      <c r="R111" s="299"/>
      <c r="S111" s="299"/>
      <c r="T111" s="299"/>
      <c r="U111" s="299"/>
    </row>
    <row r="112" spans="2:21" ht="28.5" x14ac:dyDescent="0.2">
      <c r="B112" s="298">
        <f t="shared" si="1"/>
        <v>108</v>
      </c>
      <c r="C112" s="308" t="s">
        <v>878</v>
      </c>
      <c r="D112" s="308" t="s">
        <v>879</v>
      </c>
      <c r="E112" s="308" t="s">
        <v>880</v>
      </c>
      <c r="F112" s="308" t="s">
        <v>881</v>
      </c>
      <c r="G112" s="308" t="s">
        <v>400</v>
      </c>
      <c r="H112" s="308" t="s">
        <v>829</v>
      </c>
      <c r="I112" s="308" t="s">
        <v>400</v>
      </c>
      <c r="J112" s="335"/>
      <c r="N112" s="299"/>
      <c r="O112" s="299"/>
      <c r="P112" s="299"/>
      <c r="Q112" s="299"/>
      <c r="R112" s="299"/>
      <c r="S112" s="299"/>
      <c r="T112" s="299"/>
      <c r="U112" s="299"/>
    </row>
    <row r="113" spans="2:21" ht="28.5" x14ac:dyDescent="0.2">
      <c r="B113" s="298">
        <f t="shared" si="1"/>
        <v>109</v>
      </c>
      <c r="C113" s="308" t="s">
        <v>882</v>
      </c>
      <c r="D113" s="308" t="s">
        <v>883</v>
      </c>
      <c r="E113" s="308" t="s">
        <v>786</v>
      </c>
      <c r="F113" s="308" t="s">
        <v>884</v>
      </c>
      <c r="G113" s="308" t="s">
        <v>692</v>
      </c>
      <c r="H113" s="308" t="s">
        <v>885</v>
      </c>
      <c r="I113" s="308" t="s">
        <v>844</v>
      </c>
      <c r="J113" s="335"/>
      <c r="N113" s="299"/>
      <c r="O113" s="299"/>
      <c r="P113" s="299"/>
      <c r="Q113" s="299"/>
      <c r="R113" s="299"/>
      <c r="S113" s="299"/>
      <c r="T113" s="299"/>
      <c r="U113" s="299"/>
    </row>
    <row r="114" spans="2:21" ht="28.5" x14ac:dyDescent="0.2">
      <c r="B114" s="298">
        <f t="shared" si="1"/>
        <v>110</v>
      </c>
      <c r="C114" s="308" t="s">
        <v>886</v>
      </c>
      <c r="D114" s="308" t="s">
        <v>887</v>
      </c>
      <c r="E114" s="308" t="s">
        <v>799</v>
      </c>
      <c r="F114" s="308" t="s">
        <v>888</v>
      </c>
      <c r="G114" s="308" t="s">
        <v>735</v>
      </c>
      <c r="H114" s="308" t="s">
        <v>889</v>
      </c>
      <c r="I114" s="308" t="s">
        <v>890</v>
      </c>
      <c r="J114" s="335"/>
      <c r="N114" s="299"/>
      <c r="O114" s="299"/>
      <c r="P114" s="299"/>
      <c r="Q114" s="299"/>
      <c r="R114" s="299"/>
      <c r="S114" s="299"/>
      <c r="T114" s="299"/>
      <c r="U114" s="299"/>
    </row>
    <row r="115" spans="2:21" ht="28.5" x14ac:dyDescent="0.2">
      <c r="B115" s="298">
        <f t="shared" si="1"/>
        <v>111</v>
      </c>
      <c r="C115" s="308" t="s">
        <v>891</v>
      </c>
      <c r="D115" s="308" t="s">
        <v>892</v>
      </c>
      <c r="E115" s="308" t="s">
        <v>692</v>
      </c>
      <c r="F115" s="308" t="s">
        <v>893</v>
      </c>
      <c r="G115" s="308" t="s">
        <v>403</v>
      </c>
      <c r="H115" s="308" t="s">
        <v>486</v>
      </c>
      <c r="I115" s="308" t="s">
        <v>403</v>
      </c>
      <c r="J115" s="335"/>
      <c r="N115" s="299"/>
      <c r="O115" s="299"/>
      <c r="P115" s="299"/>
      <c r="Q115" s="299"/>
      <c r="R115" s="299"/>
      <c r="S115" s="299"/>
      <c r="T115" s="299"/>
      <c r="U115" s="299"/>
    </row>
    <row r="116" spans="2:21" ht="28.5" x14ac:dyDescent="0.2">
      <c r="B116" s="298">
        <f t="shared" si="1"/>
        <v>112</v>
      </c>
      <c r="C116" s="308" t="s">
        <v>894</v>
      </c>
      <c r="D116" s="308" t="s">
        <v>895</v>
      </c>
      <c r="E116" s="308" t="s">
        <v>896</v>
      </c>
      <c r="F116" s="308" t="s">
        <v>897</v>
      </c>
      <c r="G116" s="308" t="s">
        <v>744</v>
      </c>
      <c r="H116" s="308" t="s">
        <v>688</v>
      </c>
      <c r="I116" s="308" t="s">
        <v>735</v>
      </c>
      <c r="J116" s="335"/>
      <c r="N116" s="299"/>
      <c r="O116" s="299"/>
      <c r="P116" s="299"/>
      <c r="Q116" s="299"/>
      <c r="R116" s="299"/>
      <c r="S116" s="299"/>
      <c r="T116" s="299"/>
      <c r="U116" s="299"/>
    </row>
    <row r="117" spans="2:21" ht="28.5" x14ac:dyDescent="0.2">
      <c r="B117" s="298">
        <f t="shared" si="1"/>
        <v>113</v>
      </c>
      <c r="C117" s="308" t="s">
        <v>898</v>
      </c>
      <c r="D117" s="308" t="s">
        <v>899</v>
      </c>
      <c r="E117" s="308" t="s">
        <v>400</v>
      </c>
      <c r="F117" s="308" t="s">
        <v>900</v>
      </c>
      <c r="G117" s="308" t="s">
        <v>754</v>
      </c>
      <c r="H117" s="308" t="s">
        <v>436</v>
      </c>
      <c r="I117" s="308" t="s">
        <v>799</v>
      </c>
      <c r="J117" s="335"/>
      <c r="N117" s="299"/>
      <c r="O117" s="299"/>
      <c r="P117" s="299"/>
      <c r="Q117" s="299"/>
      <c r="R117" s="299"/>
      <c r="S117" s="299"/>
      <c r="T117" s="299"/>
      <c r="U117" s="299"/>
    </row>
    <row r="118" spans="2:21" ht="28.5" x14ac:dyDescent="0.2">
      <c r="B118" s="298">
        <f t="shared" si="1"/>
        <v>114</v>
      </c>
      <c r="C118" s="308" t="s">
        <v>901</v>
      </c>
      <c r="D118" s="308" t="s">
        <v>902</v>
      </c>
      <c r="E118" s="308" t="s">
        <v>398</v>
      </c>
      <c r="F118" s="308" t="s">
        <v>903</v>
      </c>
      <c r="G118" s="308" t="s">
        <v>687</v>
      </c>
      <c r="H118" s="308" t="s">
        <v>904</v>
      </c>
      <c r="I118" s="308" t="s">
        <v>689</v>
      </c>
      <c r="J118" s="335"/>
      <c r="N118" s="299"/>
      <c r="O118" s="299"/>
      <c r="P118" s="299"/>
      <c r="Q118" s="299"/>
      <c r="R118" s="299"/>
      <c r="S118" s="299"/>
      <c r="T118" s="299"/>
      <c r="U118" s="299"/>
    </row>
    <row r="119" spans="2:21" ht="28.5" x14ac:dyDescent="0.2">
      <c r="B119" s="298">
        <f t="shared" si="1"/>
        <v>115</v>
      </c>
      <c r="C119" s="308" t="s">
        <v>905</v>
      </c>
      <c r="D119" s="308" t="s">
        <v>906</v>
      </c>
      <c r="E119" s="308" t="s">
        <v>643</v>
      </c>
      <c r="F119" s="308" t="s">
        <v>907</v>
      </c>
      <c r="G119" s="308" t="s">
        <v>908</v>
      </c>
      <c r="H119" s="308" t="s">
        <v>909</v>
      </c>
      <c r="I119" s="308" t="s">
        <v>910</v>
      </c>
      <c r="J119" s="335"/>
      <c r="N119" s="299"/>
      <c r="O119" s="299"/>
      <c r="P119" s="299"/>
      <c r="Q119" s="299"/>
      <c r="R119" s="299"/>
      <c r="S119" s="299"/>
      <c r="T119" s="299"/>
      <c r="U119" s="299"/>
    </row>
    <row r="120" spans="2:21" ht="28.5" x14ac:dyDescent="0.2">
      <c r="B120" s="298">
        <f t="shared" si="1"/>
        <v>116</v>
      </c>
      <c r="C120" s="308" t="s">
        <v>1139</v>
      </c>
      <c r="D120" s="308" t="s">
        <v>1140</v>
      </c>
      <c r="E120" s="308" t="s">
        <v>1141</v>
      </c>
      <c r="F120" s="308" t="s">
        <v>1142</v>
      </c>
      <c r="G120" s="308" t="s">
        <v>575</v>
      </c>
      <c r="H120" s="308" t="s">
        <v>1143</v>
      </c>
      <c r="I120" s="308" t="s">
        <v>700</v>
      </c>
      <c r="J120" s="335"/>
      <c r="N120" s="299"/>
      <c r="O120" s="299"/>
      <c r="P120" s="299"/>
      <c r="Q120" s="299"/>
      <c r="R120" s="299"/>
      <c r="S120" s="299"/>
      <c r="T120" s="299"/>
      <c r="U120" s="299"/>
    </row>
    <row r="121" spans="2:21" ht="28.5" x14ac:dyDescent="0.2">
      <c r="B121" s="298">
        <f t="shared" si="1"/>
        <v>117</v>
      </c>
      <c r="C121" s="308" t="s">
        <v>1144</v>
      </c>
      <c r="D121" s="308" t="s">
        <v>1145</v>
      </c>
      <c r="E121" s="308" t="s">
        <v>1146</v>
      </c>
      <c r="F121" s="308" t="s">
        <v>1147</v>
      </c>
      <c r="G121" s="308" t="s">
        <v>756</v>
      </c>
      <c r="H121" s="308" t="s">
        <v>794</v>
      </c>
      <c r="I121" s="308" t="s">
        <v>398</v>
      </c>
      <c r="J121" s="335"/>
      <c r="N121" s="299"/>
      <c r="O121" s="299"/>
      <c r="P121" s="299"/>
      <c r="Q121" s="299"/>
      <c r="R121" s="299"/>
      <c r="S121" s="299"/>
      <c r="T121" s="299"/>
      <c r="U121" s="299"/>
    </row>
    <row r="122" spans="2:21" ht="28.5" x14ac:dyDescent="0.2">
      <c r="B122" s="298">
        <f t="shared" si="1"/>
        <v>118</v>
      </c>
      <c r="C122" s="308" t="s">
        <v>1148</v>
      </c>
      <c r="D122" s="308" t="s">
        <v>1149</v>
      </c>
      <c r="E122" s="308" t="s">
        <v>399</v>
      </c>
      <c r="F122" s="308" t="s">
        <v>1150</v>
      </c>
      <c r="G122" s="308" t="s">
        <v>692</v>
      </c>
      <c r="H122" s="308" t="s">
        <v>829</v>
      </c>
      <c r="I122" s="308" t="s">
        <v>810</v>
      </c>
      <c r="J122" s="335"/>
      <c r="N122" s="299"/>
      <c r="O122" s="299"/>
      <c r="P122" s="299"/>
      <c r="Q122" s="299"/>
      <c r="R122" s="299"/>
      <c r="S122" s="299"/>
      <c r="T122" s="299"/>
      <c r="U122" s="299"/>
    </row>
    <row r="123" spans="2:21" ht="28.5" x14ac:dyDescent="0.2">
      <c r="B123" s="298">
        <f t="shared" si="1"/>
        <v>119</v>
      </c>
      <c r="C123" s="308" t="s">
        <v>1151</v>
      </c>
      <c r="D123" s="308" t="s">
        <v>1152</v>
      </c>
      <c r="E123" s="308" t="s">
        <v>1153</v>
      </c>
      <c r="F123" s="308" t="s">
        <v>1154</v>
      </c>
      <c r="G123" s="308" t="s">
        <v>880</v>
      </c>
      <c r="H123" s="308" t="s">
        <v>1155</v>
      </c>
      <c r="I123" s="308" t="s">
        <v>1156</v>
      </c>
      <c r="J123" s="335"/>
      <c r="N123" s="299"/>
      <c r="O123" s="299"/>
      <c r="P123" s="299"/>
      <c r="Q123" s="299"/>
      <c r="R123" s="299"/>
      <c r="S123" s="299"/>
      <c r="T123" s="299"/>
      <c r="U123" s="299"/>
    </row>
    <row r="124" spans="2:21" ht="28.5" x14ac:dyDescent="0.2">
      <c r="B124" s="298">
        <f t="shared" si="1"/>
        <v>120</v>
      </c>
      <c r="C124" s="308" t="s">
        <v>1157</v>
      </c>
      <c r="D124" s="308" t="s">
        <v>1158</v>
      </c>
      <c r="E124" s="308" t="s">
        <v>813</v>
      </c>
      <c r="F124" s="308" t="s">
        <v>1159</v>
      </c>
      <c r="G124" s="308" t="s">
        <v>711</v>
      </c>
      <c r="H124" s="308" t="s">
        <v>1160</v>
      </c>
      <c r="I124" s="308" t="s">
        <v>815</v>
      </c>
      <c r="J124" s="335"/>
      <c r="N124" s="299"/>
      <c r="O124" s="299"/>
      <c r="P124" s="299"/>
      <c r="Q124" s="299"/>
      <c r="R124" s="299"/>
      <c r="S124" s="299"/>
      <c r="T124" s="299"/>
      <c r="U124" s="299"/>
    </row>
    <row r="125" spans="2:21" ht="16.5" x14ac:dyDescent="0.2">
      <c r="B125" s="298">
        <f t="shared" si="1"/>
        <v>121</v>
      </c>
      <c r="C125" s="308"/>
      <c r="D125" s="308"/>
      <c r="E125" s="308"/>
      <c r="F125" s="308"/>
      <c r="G125" s="308"/>
      <c r="H125" s="308"/>
      <c r="I125" s="308"/>
      <c r="J125" s="335"/>
      <c r="N125" s="299"/>
      <c r="O125" s="299"/>
      <c r="P125" s="299"/>
      <c r="Q125" s="299"/>
      <c r="R125" s="299"/>
      <c r="S125" s="299"/>
      <c r="T125" s="299"/>
      <c r="U125" s="299"/>
    </row>
    <row r="126" spans="2:21" ht="28.5" x14ac:dyDescent="0.2">
      <c r="B126" s="298">
        <f t="shared" si="1"/>
        <v>122</v>
      </c>
      <c r="C126" s="308" t="s">
        <v>911</v>
      </c>
      <c r="D126" s="308" t="s">
        <v>912</v>
      </c>
      <c r="E126" s="308" t="s">
        <v>399</v>
      </c>
      <c r="F126" s="308" t="s">
        <v>913</v>
      </c>
      <c r="G126" s="308" t="s">
        <v>692</v>
      </c>
      <c r="H126" s="308" t="s">
        <v>914</v>
      </c>
      <c r="I126" s="308" t="s">
        <v>810</v>
      </c>
      <c r="J126" s="335"/>
      <c r="N126" s="299"/>
      <c r="O126" s="299"/>
      <c r="P126" s="299"/>
      <c r="Q126" s="299"/>
      <c r="R126" s="299"/>
      <c r="S126" s="299"/>
      <c r="T126" s="299"/>
      <c r="U126" s="299"/>
    </row>
    <row r="127" spans="2:21" ht="28.5" x14ac:dyDescent="0.2">
      <c r="B127" s="298">
        <f t="shared" si="1"/>
        <v>123</v>
      </c>
      <c r="C127" s="308" t="s">
        <v>916</v>
      </c>
      <c r="D127" s="308" t="s">
        <v>917</v>
      </c>
      <c r="E127" s="308" t="s">
        <v>918</v>
      </c>
      <c r="F127" s="308" t="s">
        <v>919</v>
      </c>
      <c r="G127" s="308" t="s">
        <v>920</v>
      </c>
      <c r="H127" s="308" t="s">
        <v>921</v>
      </c>
      <c r="I127" s="308" t="s">
        <v>922</v>
      </c>
      <c r="J127" s="335" t="s">
        <v>1007</v>
      </c>
      <c r="N127" s="299"/>
      <c r="O127" s="299"/>
      <c r="P127" s="299"/>
      <c r="Q127" s="299"/>
      <c r="R127" s="299"/>
      <c r="S127" s="299"/>
      <c r="T127" s="299"/>
      <c r="U127" s="299"/>
    </row>
    <row r="128" spans="2:21" ht="28.5" x14ac:dyDescent="0.2">
      <c r="B128" s="298">
        <f t="shared" si="1"/>
        <v>124</v>
      </c>
      <c r="C128" s="308" t="s">
        <v>923</v>
      </c>
      <c r="D128" s="308" t="s">
        <v>924</v>
      </c>
      <c r="E128" s="308" t="s">
        <v>925</v>
      </c>
      <c r="F128" s="308" t="s">
        <v>926</v>
      </c>
      <c r="G128" s="308" t="s">
        <v>927</v>
      </c>
      <c r="H128" s="308" t="s">
        <v>928</v>
      </c>
      <c r="I128" s="308" t="s">
        <v>929</v>
      </c>
      <c r="J128" s="335"/>
      <c r="N128" s="299"/>
      <c r="O128" s="299"/>
      <c r="P128" s="299"/>
      <c r="Q128" s="299"/>
      <c r="R128" s="299"/>
      <c r="S128" s="299"/>
      <c r="T128" s="299"/>
      <c r="U128" s="299"/>
    </row>
    <row r="129" spans="2:21" ht="28.5" x14ac:dyDescent="0.2">
      <c r="B129" s="298">
        <f t="shared" si="1"/>
        <v>125</v>
      </c>
      <c r="C129" s="308" t="s">
        <v>930</v>
      </c>
      <c r="D129" s="308" t="s">
        <v>931</v>
      </c>
      <c r="E129" s="308" t="s">
        <v>932</v>
      </c>
      <c r="F129" s="308" t="s">
        <v>933</v>
      </c>
      <c r="G129" s="308" t="s">
        <v>934</v>
      </c>
      <c r="H129" s="308" t="s">
        <v>935</v>
      </c>
      <c r="I129" s="308" t="s">
        <v>936</v>
      </c>
      <c r="J129" s="335"/>
      <c r="N129" s="299"/>
      <c r="O129" s="299"/>
      <c r="P129" s="299"/>
      <c r="Q129" s="299"/>
      <c r="R129" s="299"/>
      <c r="S129" s="299"/>
      <c r="T129" s="299"/>
      <c r="U129" s="299"/>
    </row>
    <row r="130" spans="2:21" ht="16.5" x14ac:dyDescent="0.2">
      <c r="B130" s="298">
        <f t="shared" si="1"/>
        <v>126</v>
      </c>
      <c r="C130" s="308" t="s">
        <v>937</v>
      </c>
      <c r="D130" s="308" t="s">
        <v>938</v>
      </c>
      <c r="E130" s="308" t="s">
        <v>939</v>
      </c>
      <c r="F130" s="308" t="s">
        <v>940</v>
      </c>
      <c r="G130" s="308" t="s">
        <v>941</v>
      </c>
      <c r="H130" s="308" t="s">
        <v>942</v>
      </c>
      <c r="I130" s="308" t="s">
        <v>943</v>
      </c>
      <c r="J130" s="335"/>
      <c r="N130" s="299"/>
      <c r="O130" s="299"/>
      <c r="P130" s="299"/>
      <c r="Q130" s="299"/>
      <c r="R130" s="299"/>
      <c r="S130" s="299"/>
      <c r="T130" s="299"/>
      <c r="U130" s="299"/>
    </row>
    <row r="131" spans="2:21" ht="16.5" x14ac:dyDescent="0.2">
      <c r="B131" s="298">
        <f t="shared" si="1"/>
        <v>127</v>
      </c>
      <c r="C131" s="308" t="s">
        <v>944</v>
      </c>
      <c r="D131" s="308" t="s">
        <v>945</v>
      </c>
      <c r="E131" s="308" t="s">
        <v>946</v>
      </c>
      <c r="F131" s="308" t="s">
        <v>947</v>
      </c>
      <c r="G131" s="308" t="s">
        <v>948</v>
      </c>
      <c r="H131" s="308" t="s">
        <v>949</v>
      </c>
      <c r="I131" s="308" t="s">
        <v>950</v>
      </c>
      <c r="J131" s="335"/>
      <c r="N131" s="299"/>
      <c r="O131" s="299"/>
      <c r="P131" s="299"/>
      <c r="Q131" s="299"/>
      <c r="R131" s="299"/>
      <c r="S131" s="299"/>
      <c r="T131" s="299"/>
      <c r="U131" s="299"/>
    </row>
    <row r="132" spans="2:21" ht="16.5" x14ac:dyDescent="0.2">
      <c r="B132" s="298">
        <f t="shared" si="1"/>
        <v>128</v>
      </c>
      <c r="C132" s="308" t="s">
        <v>951</v>
      </c>
      <c r="D132" s="308" t="s">
        <v>952</v>
      </c>
      <c r="E132" s="308" t="s">
        <v>953</v>
      </c>
      <c r="F132" s="308" t="s">
        <v>954</v>
      </c>
      <c r="G132" s="308" t="s">
        <v>941</v>
      </c>
      <c r="H132" s="308" t="s">
        <v>955</v>
      </c>
      <c r="I132" s="308" t="s">
        <v>956</v>
      </c>
      <c r="J132" s="335"/>
      <c r="N132" s="299"/>
      <c r="O132" s="299"/>
      <c r="P132" s="299"/>
      <c r="Q132" s="299"/>
      <c r="R132" s="299"/>
      <c r="S132" s="299"/>
      <c r="T132" s="299"/>
      <c r="U132" s="299"/>
    </row>
    <row r="133" spans="2:21" ht="16.5" x14ac:dyDescent="0.2">
      <c r="B133" s="298">
        <f t="shared" si="1"/>
        <v>129</v>
      </c>
      <c r="C133" s="308" t="s">
        <v>957</v>
      </c>
      <c r="D133" s="308" t="s">
        <v>958</v>
      </c>
      <c r="E133" s="308" t="s">
        <v>959</v>
      </c>
      <c r="F133" s="308" t="s">
        <v>960</v>
      </c>
      <c r="G133" s="308" t="s">
        <v>932</v>
      </c>
      <c r="H133" s="308" t="s">
        <v>961</v>
      </c>
      <c r="I133" s="308" t="s">
        <v>932</v>
      </c>
      <c r="J133" s="335"/>
      <c r="N133" s="299"/>
      <c r="O133" s="299"/>
      <c r="P133" s="299"/>
      <c r="Q133" s="299"/>
      <c r="R133" s="299"/>
      <c r="S133" s="299"/>
      <c r="T133" s="299"/>
      <c r="U133" s="299"/>
    </row>
    <row r="134" spans="2:21" ht="16.5" x14ac:dyDescent="0.2">
      <c r="B134" s="298">
        <f t="shared" si="1"/>
        <v>130</v>
      </c>
      <c r="C134" s="308" t="s">
        <v>962</v>
      </c>
      <c r="D134" s="308" t="s">
        <v>963</v>
      </c>
      <c r="E134" s="308" t="s">
        <v>478</v>
      </c>
      <c r="F134" s="308" t="s">
        <v>964</v>
      </c>
      <c r="G134" s="308" t="s">
        <v>965</v>
      </c>
      <c r="H134" s="308" t="s">
        <v>966</v>
      </c>
      <c r="I134" s="308" t="s">
        <v>967</v>
      </c>
      <c r="J134" s="335"/>
      <c r="N134" s="299"/>
      <c r="O134" s="299"/>
      <c r="P134" s="299"/>
      <c r="Q134" s="299"/>
      <c r="R134" s="299"/>
      <c r="S134" s="299"/>
      <c r="T134" s="299"/>
      <c r="U134" s="299"/>
    </row>
    <row r="135" spans="2:21" ht="16.5" x14ac:dyDescent="0.2">
      <c r="B135" s="298">
        <f t="shared" ref="B135:B146" si="2">1+B134</f>
        <v>131</v>
      </c>
      <c r="C135" s="308" t="s">
        <v>968</v>
      </c>
      <c r="D135" s="308" t="s">
        <v>969</v>
      </c>
      <c r="E135" s="308" t="s">
        <v>939</v>
      </c>
      <c r="F135" s="308" t="s">
        <v>970</v>
      </c>
      <c r="G135" s="308" t="s">
        <v>971</v>
      </c>
      <c r="H135" s="308" t="s">
        <v>972</v>
      </c>
      <c r="I135" s="308" t="s">
        <v>971</v>
      </c>
      <c r="J135" s="335"/>
      <c r="N135" s="299"/>
      <c r="O135" s="299"/>
      <c r="P135" s="299"/>
      <c r="Q135" s="299"/>
      <c r="R135" s="299"/>
      <c r="S135" s="299"/>
      <c r="T135" s="299"/>
      <c r="U135" s="299"/>
    </row>
    <row r="136" spans="2:21" ht="16.5" x14ac:dyDescent="0.2">
      <c r="B136" s="298">
        <f t="shared" si="2"/>
        <v>132</v>
      </c>
      <c r="C136" s="308" t="s">
        <v>973</v>
      </c>
      <c r="D136" s="308" t="s">
        <v>974</v>
      </c>
      <c r="E136" s="308" t="s">
        <v>550</v>
      </c>
      <c r="F136" s="308" t="s">
        <v>975</v>
      </c>
      <c r="G136" s="308" t="s">
        <v>976</v>
      </c>
      <c r="H136" s="308" t="s">
        <v>977</v>
      </c>
      <c r="I136" s="308" t="s">
        <v>978</v>
      </c>
      <c r="J136" s="335"/>
      <c r="N136" s="299"/>
      <c r="O136" s="299"/>
      <c r="P136" s="299"/>
      <c r="Q136" s="299"/>
      <c r="R136" s="299"/>
      <c r="S136" s="299"/>
      <c r="T136" s="299"/>
      <c r="U136" s="299"/>
    </row>
    <row r="137" spans="2:21" ht="16.5" x14ac:dyDescent="0.2">
      <c r="B137" s="298">
        <f t="shared" si="2"/>
        <v>133</v>
      </c>
      <c r="C137" s="308" t="s">
        <v>979</v>
      </c>
      <c r="D137" s="308" t="s">
        <v>980</v>
      </c>
      <c r="E137" s="308" t="s">
        <v>981</v>
      </c>
      <c r="F137" s="308" t="s">
        <v>982</v>
      </c>
      <c r="G137" s="308" t="s">
        <v>983</v>
      </c>
      <c r="H137" s="308" t="s">
        <v>984</v>
      </c>
      <c r="I137" s="308" t="s">
        <v>985</v>
      </c>
      <c r="J137" s="335"/>
      <c r="N137" s="299"/>
      <c r="O137" s="299"/>
      <c r="P137" s="299"/>
      <c r="Q137" s="299"/>
      <c r="R137" s="299"/>
      <c r="S137" s="299"/>
      <c r="T137" s="299"/>
      <c r="U137" s="299"/>
    </row>
    <row r="138" spans="2:21" ht="16.5" x14ac:dyDescent="0.2">
      <c r="B138" s="298">
        <f t="shared" si="2"/>
        <v>134</v>
      </c>
      <c r="C138" s="308" t="s">
        <v>986</v>
      </c>
      <c r="D138" s="308" t="s">
        <v>987</v>
      </c>
      <c r="E138" s="308" t="s">
        <v>988</v>
      </c>
      <c r="F138" s="308" t="s">
        <v>989</v>
      </c>
      <c r="G138" s="308" t="s">
        <v>990</v>
      </c>
      <c r="H138" s="308" t="s">
        <v>991</v>
      </c>
      <c r="I138" s="308" t="s">
        <v>990</v>
      </c>
      <c r="J138" s="335"/>
      <c r="N138" s="299"/>
      <c r="O138" s="299"/>
      <c r="P138" s="299"/>
      <c r="Q138" s="299"/>
      <c r="R138" s="299"/>
      <c r="S138" s="299"/>
      <c r="T138" s="299"/>
      <c r="U138" s="299"/>
    </row>
    <row r="139" spans="2:21" ht="16.5" x14ac:dyDescent="0.2">
      <c r="B139" s="298">
        <f t="shared" si="2"/>
        <v>135</v>
      </c>
      <c r="C139" s="308" t="s">
        <v>992</v>
      </c>
      <c r="D139" s="308" t="s">
        <v>993</v>
      </c>
      <c r="E139" s="308" t="s">
        <v>994</v>
      </c>
      <c r="F139" s="308" t="s">
        <v>995</v>
      </c>
      <c r="G139" s="308" t="s">
        <v>996</v>
      </c>
      <c r="H139" s="308" t="s">
        <v>997</v>
      </c>
      <c r="I139" s="308" t="s">
        <v>996</v>
      </c>
      <c r="J139" s="335"/>
      <c r="N139" s="299"/>
      <c r="O139" s="299"/>
      <c r="P139" s="299"/>
      <c r="Q139" s="299"/>
      <c r="R139" s="299"/>
      <c r="S139" s="299"/>
      <c r="T139" s="299"/>
      <c r="U139" s="299"/>
    </row>
    <row r="140" spans="2:21" ht="16.5" x14ac:dyDescent="0.2">
      <c r="B140" s="298">
        <f t="shared" si="2"/>
        <v>136</v>
      </c>
      <c r="C140" s="308" t="s">
        <v>998</v>
      </c>
      <c r="D140" s="308" t="s">
        <v>999</v>
      </c>
      <c r="E140" s="308" t="s">
        <v>1000</v>
      </c>
      <c r="F140" s="308" t="s">
        <v>1001</v>
      </c>
      <c r="G140" s="308" t="s">
        <v>950</v>
      </c>
      <c r="H140" s="308" t="s">
        <v>843</v>
      </c>
      <c r="I140" s="308" t="s">
        <v>950</v>
      </c>
      <c r="J140" s="335"/>
      <c r="N140" s="299"/>
      <c r="O140" s="299"/>
      <c r="P140" s="299"/>
      <c r="Q140" s="299"/>
      <c r="R140" s="299"/>
      <c r="S140" s="299"/>
      <c r="T140" s="299"/>
      <c r="U140" s="299"/>
    </row>
    <row r="141" spans="2:21" ht="16.5" x14ac:dyDescent="0.2">
      <c r="B141" s="298">
        <f t="shared" si="2"/>
        <v>137</v>
      </c>
      <c r="C141" s="308" t="s">
        <v>1002</v>
      </c>
      <c r="D141" s="308" t="s">
        <v>1003</v>
      </c>
      <c r="E141" s="308" t="s">
        <v>1004</v>
      </c>
      <c r="F141" s="308" t="s">
        <v>1005</v>
      </c>
      <c r="G141" s="308" t="s">
        <v>941</v>
      </c>
      <c r="H141" s="308" t="s">
        <v>1006</v>
      </c>
      <c r="I141" s="308" t="s">
        <v>941</v>
      </c>
      <c r="J141" s="335"/>
      <c r="N141" s="299"/>
      <c r="O141" s="299"/>
      <c r="P141" s="299"/>
      <c r="Q141" s="299"/>
      <c r="R141" s="299"/>
      <c r="S141" s="299"/>
      <c r="T141" s="299"/>
      <c r="U141" s="299"/>
    </row>
    <row r="142" spans="2:21" ht="28.5" x14ac:dyDescent="0.2">
      <c r="B142" s="298">
        <f t="shared" si="2"/>
        <v>138</v>
      </c>
      <c r="C142" s="308" t="s">
        <v>1161</v>
      </c>
      <c r="D142" s="308" t="s">
        <v>1162</v>
      </c>
      <c r="E142" s="308" t="s">
        <v>1163</v>
      </c>
      <c r="F142" s="308" t="s">
        <v>1164</v>
      </c>
      <c r="G142" s="308" t="s">
        <v>1165</v>
      </c>
      <c r="H142" s="308" t="s">
        <v>1166</v>
      </c>
      <c r="I142" s="308" t="s">
        <v>414</v>
      </c>
      <c r="J142" s="335"/>
      <c r="N142" s="299"/>
      <c r="O142" s="299"/>
      <c r="P142" s="299"/>
      <c r="Q142" s="299"/>
      <c r="R142" s="299"/>
      <c r="S142" s="299"/>
      <c r="T142" s="299"/>
      <c r="U142" s="299"/>
    </row>
    <row r="143" spans="2:21" ht="16.5" x14ac:dyDescent="0.2">
      <c r="B143" s="298">
        <f t="shared" si="2"/>
        <v>139</v>
      </c>
      <c r="C143" s="308" t="s">
        <v>1167</v>
      </c>
      <c r="D143" s="308" t="s">
        <v>1168</v>
      </c>
      <c r="E143" s="308" t="s">
        <v>1169</v>
      </c>
      <c r="F143" s="308" t="s">
        <v>1170</v>
      </c>
      <c r="G143" s="308" t="s">
        <v>1171</v>
      </c>
      <c r="H143" s="308" t="s">
        <v>984</v>
      </c>
      <c r="I143" s="308" t="s">
        <v>1172</v>
      </c>
      <c r="J143" s="335"/>
      <c r="N143" s="299"/>
      <c r="O143" s="299"/>
      <c r="P143" s="299"/>
      <c r="Q143" s="299"/>
      <c r="R143" s="299"/>
      <c r="S143" s="299"/>
      <c r="T143" s="299"/>
      <c r="U143" s="299"/>
    </row>
    <row r="144" spans="2:21" ht="16.5" x14ac:dyDescent="0.2">
      <c r="B144" s="298">
        <f t="shared" si="2"/>
        <v>140</v>
      </c>
      <c r="C144" s="308" t="s">
        <v>1173</v>
      </c>
      <c r="D144" s="308" t="s">
        <v>1174</v>
      </c>
      <c r="E144" s="308" t="s">
        <v>1175</v>
      </c>
      <c r="F144" s="308" t="s">
        <v>1176</v>
      </c>
      <c r="G144" s="308" t="s">
        <v>1177</v>
      </c>
      <c r="H144" s="308" t="s">
        <v>1178</v>
      </c>
      <c r="I144" s="308" t="s">
        <v>1179</v>
      </c>
      <c r="J144" s="335"/>
      <c r="N144" s="299"/>
      <c r="O144" s="299"/>
      <c r="P144" s="299"/>
      <c r="Q144" s="299"/>
      <c r="R144" s="299"/>
      <c r="S144" s="299"/>
      <c r="T144" s="299"/>
      <c r="U144" s="299"/>
    </row>
    <row r="145" spans="2:21" ht="16.5" x14ac:dyDescent="0.2">
      <c r="B145" s="298">
        <f t="shared" si="2"/>
        <v>141</v>
      </c>
      <c r="C145" s="308" t="s">
        <v>1180</v>
      </c>
      <c r="D145" s="308" t="s">
        <v>1181</v>
      </c>
      <c r="E145" s="308" t="s">
        <v>1182</v>
      </c>
      <c r="F145" s="308" t="s">
        <v>1183</v>
      </c>
      <c r="G145" s="308" t="s">
        <v>920</v>
      </c>
      <c r="H145" s="308" t="s">
        <v>1184</v>
      </c>
      <c r="I145" s="308" t="s">
        <v>1185</v>
      </c>
      <c r="J145" s="335"/>
      <c r="N145" s="299"/>
      <c r="O145" s="299"/>
      <c r="P145" s="299"/>
      <c r="Q145" s="299"/>
      <c r="R145" s="299"/>
      <c r="S145" s="299"/>
      <c r="T145" s="299"/>
      <c r="U145" s="299"/>
    </row>
    <row r="146" spans="2:21" ht="16.5" x14ac:dyDescent="0.2">
      <c r="B146" s="298">
        <f t="shared" si="2"/>
        <v>142</v>
      </c>
      <c r="C146" s="308" t="s">
        <v>1186</v>
      </c>
      <c r="D146" s="308" t="s">
        <v>1187</v>
      </c>
      <c r="E146" s="308" t="s">
        <v>953</v>
      </c>
      <c r="F146" s="308" t="s">
        <v>1188</v>
      </c>
      <c r="G146" s="308" t="s">
        <v>941</v>
      </c>
      <c r="H146" s="308" t="s">
        <v>1189</v>
      </c>
      <c r="I146" s="308" t="s">
        <v>956</v>
      </c>
      <c r="J146" s="335"/>
      <c r="N146" s="299"/>
      <c r="O146" s="299"/>
      <c r="P146" s="299"/>
      <c r="Q146" s="299"/>
      <c r="R146" s="299"/>
      <c r="S146" s="299"/>
      <c r="T146" s="299"/>
      <c r="U146" s="299"/>
    </row>
    <row r="147" spans="2:21" x14ac:dyDescent="0.2">
      <c r="B147" s="300"/>
      <c r="C147" s="299"/>
      <c r="D147" s="299"/>
      <c r="E147" s="299"/>
      <c r="F147" s="299"/>
      <c r="G147" s="299"/>
      <c r="H147" s="299"/>
      <c r="I147" s="299"/>
      <c r="N147" s="299"/>
      <c r="O147" s="299"/>
      <c r="P147" s="299"/>
      <c r="Q147" s="299"/>
      <c r="R147" s="299"/>
      <c r="S147" s="299"/>
      <c r="T147" s="299"/>
      <c r="U147" s="299"/>
    </row>
    <row r="148" spans="2:21" x14ac:dyDescent="0.2">
      <c r="C148" s="299"/>
      <c r="D148" s="299"/>
      <c r="E148" s="299"/>
      <c r="F148" s="299"/>
      <c r="G148" s="299"/>
      <c r="H148" s="299"/>
      <c r="I148" s="299"/>
      <c r="N148" s="299"/>
      <c r="O148" s="299"/>
      <c r="P148" s="299"/>
      <c r="Q148" s="299"/>
      <c r="R148" s="299"/>
      <c r="S148" s="299"/>
      <c r="T148" s="299"/>
      <c r="U148" s="299"/>
    </row>
    <row r="149" spans="2:21" x14ac:dyDescent="0.2">
      <c r="C149" s="299"/>
      <c r="D149" s="299"/>
      <c r="E149" s="299"/>
      <c r="F149" s="299"/>
      <c r="G149" s="299"/>
      <c r="H149" s="299"/>
      <c r="I149" s="299"/>
      <c r="N149" s="299"/>
      <c r="O149" s="299"/>
      <c r="P149" s="299"/>
      <c r="Q149" s="299"/>
      <c r="R149" s="299"/>
      <c r="S149" s="299"/>
      <c r="T149" s="299"/>
      <c r="U149" s="299"/>
    </row>
    <row r="150" spans="2:21" x14ac:dyDescent="0.2">
      <c r="N150" s="299"/>
      <c r="O150" s="299"/>
      <c r="P150" s="299"/>
      <c r="Q150" s="299"/>
      <c r="R150" s="299"/>
      <c r="S150" s="299"/>
      <c r="T150" s="299"/>
      <c r="U150" s="299"/>
    </row>
    <row r="152" spans="2:21" ht="18" x14ac:dyDescent="0.45">
      <c r="B152" s="298" t="s">
        <v>159</v>
      </c>
      <c r="C152" s="332"/>
      <c r="D152" s="332"/>
      <c r="E152" s="332"/>
      <c r="F152" s="332"/>
      <c r="G152" s="332"/>
      <c r="H152" s="332"/>
      <c r="I152" s="332"/>
    </row>
    <row r="153" spans="2:21" ht="18" x14ac:dyDescent="0.45">
      <c r="B153" s="297" t="s">
        <v>0</v>
      </c>
      <c r="C153" s="296"/>
      <c r="D153" s="296"/>
      <c r="E153" s="296"/>
      <c r="F153" s="296"/>
      <c r="G153" s="296"/>
      <c r="H153" s="296"/>
      <c r="I153" s="296" t="s">
        <v>181</v>
      </c>
    </row>
    <row r="154" spans="2:21" ht="18" x14ac:dyDescent="0.45">
      <c r="B154" s="333"/>
      <c r="C154" s="295"/>
      <c r="D154" s="295"/>
      <c r="E154" s="295"/>
      <c r="F154" s="295"/>
      <c r="G154" s="295"/>
      <c r="H154" s="295"/>
      <c r="I154" s="295">
        <f>450</f>
        <v>450</v>
      </c>
    </row>
    <row r="155" spans="2:21" ht="18" x14ac:dyDescent="0.45">
      <c r="B155" s="334"/>
      <c r="C155" s="295"/>
      <c r="D155" s="295"/>
      <c r="E155" s="295"/>
      <c r="F155" s="295"/>
      <c r="G155" s="295"/>
      <c r="H155" s="295"/>
      <c r="I155" s="295">
        <f>280</f>
        <v>280</v>
      </c>
    </row>
    <row r="156" spans="2:21" ht="18" x14ac:dyDescent="0.45">
      <c r="B156" s="334"/>
      <c r="C156" s="295"/>
      <c r="D156" s="295"/>
      <c r="E156" s="295"/>
      <c r="F156" s="295"/>
      <c r="G156" s="295"/>
      <c r="H156" s="295"/>
      <c r="I156" s="295">
        <v>120</v>
      </c>
    </row>
    <row r="157" spans="2:21" ht="18" x14ac:dyDescent="0.45">
      <c r="B157" s="334"/>
      <c r="C157" s="295"/>
      <c r="D157" s="295"/>
      <c r="E157" s="295"/>
      <c r="F157" s="295"/>
      <c r="G157" s="295"/>
      <c r="H157" s="295"/>
      <c r="I157" s="295">
        <v>120</v>
      </c>
    </row>
    <row r="158" spans="2:21" ht="18" x14ac:dyDescent="0.45">
      <c r="B158" s="334"/>
      <c r="C158" s="295"/>
      <c r="D158" s="295"/>
      <c r="E158" s="295"/>
      <c r="F158" s="295"/>
      <c r="G158" s="295"/>
      <c r="H158" s="295"/>
      <c r="I158" s="295">
        <v>120</v>
      </c>
    </row>
    <row r="159" spans="2:21" ht="18" x14ac:dyDescent="0.45">
      <c r="B159" s="334"/>
      <c r="C159" s="295"/>
      <c r="D159" s="295"/>
      <c r="E159" s="295"/>
      <c r="F159" s="295"/>
      <c r="G159" s="295"/>
      <c r="H159" s="295"/>
      <c r="I159" s="295">
        <v>100</v>
      </c>
    </row>
    <row r="160" spans="2:21" ht="18" x14ac:dyDescent="0.45">
      <c r="B160" s="334"/>
      <c r="C160" s="293"/>
      <c r="D160" s="293"/>
      <c r="E160" s="293"/>
      <c r="F160" s="293"/>
      <c r="G160" s="293"/>
      <c r="H160" s="293"/>
      <c r="I160" s="293">
        <f>AVERAGE(I154:I159)</f>
        <v>198.33333333333334</v>
      </c>
    </row>
    <row r="164" spans="2:9" ht="18" x14ac:dyDescent="0.45">
      <c r="B164" s="298"/>
      <c r="C164" s="332"/>
      <c r="D164" s="332"/>
      <c r="E164" s="332"/>
      <c r="F164" s="332"/>
      <c r="G164" s="332"/>
      <c r="H164" s="332"/>
      <c r="I164" s="332"/>
    </row>
    <row r="165" spans="2:9" ht="18" x14ac:dyDescent="0.45">
      <c r="B165" s="297" t="s">
        <v>0</v>
      </c>
      <c r="C165" s="296"/>
      <c r="D165" s="296"/>
      <c r="E165" s="296"/>
      <c r="F165" s="296"/>
      <c r="G165" s="296"/>
      <c r="H165" s="296"/>
      <c r="I165" s="296" t="s">
        <v>181</v>
      </c>
    </row>
    <row r="166" spans="2:9" ht="18" x14ac:dyDescent="0.45">
      <c r="B166" s="333"/>
      <c r="C166" s="295"/>
      <c r="D166" s="295"/>
      <c r="E166" s="295"/>
      <c r="F166" s="295"/>
      <c r="G166" s="295"/>
      <c r="H166" s="295"/>
      <c r="I166" s="295">
        <v>30</v>
      </c>
    </row>
    <row r="167" spans="2:9" ht="18" x14ac:dyDescent="0.45">
      <c r="B167" s="334"/>
      <c r="C167" s="295"/>
      <c r="D167" s="295"/>
      <c r="E167" s="295"/>
      <c r="F167" s="295"/>
      <c r="G167" s="295"/>
      <c r="H167" s="295"/>
      <c r="I167" s="295">
        <v>200</v>
      </c>
    </row>
    <row r="168" spans="2:9" ht="18" x14ac:dyDescent="0.45">
      <c r="B168" s="334"/>
      <c r="C168" s="295"/>
      <c r="D168" s="295"/>
      <c r="E168" s="295"/>
      <c r="F168" s="295"/>
      <c r="G168" s="295"/>
      <c r="H168" s="295"/>
      <c r="I168" s="295">
        <v>180</v>
      </c>
    </row>
    <row r="169" spans="2:9" ht="18" x14ac:dyDescent="0.45">
      <c r="B169" s="334"/>
      <c r="C169" s="295"/>
      <c r="D169" s="295"/>
      <c r="E169" s="295"/>
      <c r="F169" s="295"/>
      <c r="G169" s="295"/>
      <c r="H169" s="295"/>
      <c r="I169" s="295">
        <v>300</v>
      </c>
    </row>
    <row r="170" spans="2:9" ht="18" x14ac:dyDescent="0.45">
      <c r="B170" s="334"/>
      <c r="C170" s="295"/>
      <c r="D170" s="295"/>
      <c r="E170" s="295"/>
      <c r="F170" s="295"/>
      <c r="G170" s="295"/>
      <c r="H170" s="295"/>
      <c r="I170" s="295"/>
    </row>
    <row r="171" spans="2:9" ht="18" x14ac:dyDescent="0.45">
      <c r="B171" s="334"/>
      <c r="C171" s="295"/>
      <c r="D171" s="295"/>
      <c r="E171" s="295"/>
      <c r="F171" s="295"/>
      <c r="G171" s="295"/>
      <c r="H171" s="295"/>
      <c r="I171" s="295"/>
    </row>
    <row r="172" spans="2:9" ht="18" x14ac:dyDescent="0.45">
      <c r="B172" s="334"/>
      <c r="C172" s="293"/>
      <c r="D172" s="293"/>
      <c r="E172" s="293"/>
      <c r="F172" s="293"/>
      <c r="G172" s="293"/>
      <c r="H172" s="293"/>
      <c r="I172" s="293">
        <f>AVERAGE(I166:I171)</f>
        <v>177.5</v>
      </c>
    </row>
    <row r="175" spans="2:9" ht="18" x14ac:dyDescent="0.45">
      <c r="B175" s="298"/>
      <c r="C175" s="332"/>
      <c r="D175" s="332"/>
      <c r="E175" s="332"/>
      <c r="F175" s="332"/>
      <c r="G175" s="332"/>
      <c r="H175" s="332"/>
      <c r="I175" s="332"/>
    </row>
    <row r="176" spans="2:9" ht="18" x14ac:dyDescent="0.45">
      <c r="B176" s="297" t="s">
        <v>0</v>
      </c>
      <c r="C176" s="296"/>
      <c r="D176" s="296"/>
      <c r="E176" s="296"/>
      <c r="F176" s="296"/>
      <c r="G176" s="296"/>
      <c r="H176" s="296"/>
      <c r="I176" s="296" t="s">
        <v>181</v>
      </c>
    </row>
    <row r="177" spans="2:9" ht="18" x14ac:dyDescent="0.45">
      <c r="B177" s="333"/>
      <c r="C177" s="295"/>
      <c r="D177" s="295"/>
      <c r="E177" s="295"/>
      <c r="F177" s="295"/>
      <c r="G177" s="295"/>
      <c r="H177" s="295"/>
      <c r="I177" s="295">
        <v>180</v>
      </c>
    </row>
    <row r="178" spans="2:9" ht="18" x14ac:dyDescent="0.45">
      <c r="B178" s="334"/>
      <c r="C178" s="295"/>
      <c r="D178" s="295"/>
      <c r="E178" s="295"/>
      <c r="F178" s="295"/>
      <c r="G178" s="295"/>
      <c r="H178" s="295"/>
      <c r="I178" s="295">
        <v>43</v>
      </c>
    </row>
    <row r="179" spans="2:9" ht="18" x14ac:dyDescent="0.45">
      <c r="B179" s="334"/>
      <c r="C179" s="295"/>
      <c r="D179" s="295"/>
      <c r="E179" s="295"/>
      <c r="F179" s="295"/>
      <c r="G179" s="295"/>
      <c r="H179" s="295"/>
      <c r="I179" s="295">
        <v>60</v>
      </c>
    </row>
    <row r="180" spans="2:9" ht="18" x14ac:dyDescent="0.45">
      <c r="B180" s="334"/>
      <c r="C180" s="295"/>
      <c r="D180" s="295"/>
      <c r="E180" s="295"/>
      <c r="F180" s="295"/>
      <c r="G180" s="295"/>
      <c r="H180" s="295"/>
      <c r="I180" s="295">
        <v>20</v>
      </c>
    </row>
    <row r="181" spans="2:9" ht="18" x14ac:dyDescent="0.45">
      <c r="B181" s="334"/>
      <c r="C181" s="295"/>
      <c r="D181" s="295"/>
      <c r="E181" s="295"/>
      <c r="F181" s="295"/>
      <c r="G181" s="295"/>
      <c r="H181" s="295"/>
      <c r="I181" s="295"/>
    </row>
    <row r="182" spans="2:9" ht="18" x14ac:dyDescent="0.45">
      <c r="B182" s="334"/>
      <c r="C182" s="295"/>
      <c r="D182" s="295"/>
      <c r="E182" s="295"/>
      <c r="F182" s="295"/>
      <c r="G182" s="295"/>
      <c r="H182" s="295"/>
      <c r="I182" s="295"/>
    </row>
    <row r="183" spans="2:9" ht="18" x14ac:dyDescent="0.45">
      <c r="B183" s="334"/>
      <c r="C183" s="293"/>
      <c r="D183" s="293"/>
      <c r="E183" s="293"/>
      <c r="F183" s="293"/>
      <c r="G183" s="293"/>
      <c r="H183" s="293"/>
      <c r="I183" s="293">
        <f>AVERAGE(I177:I182)</f>
        <v>75.75</v>
      </c>
    </row>
  </sheetData>
  <mergeCells count="14">
    <mergeCell ref="J86:J105"/>
    <mergeCell ref="C3:J3"/>
    <mergeCell ref="J5:J25"/>
    <mergeCell ref="J26:J45"/>
    <mergeCell ref="J46:J65"/>
    <mergeCell ref="J66:J85"/>
    <mergeCell ref="C175:I175"/>
    <mergeCell ref="B177:B183"/>
    <mergeCell ref="J106:J126"/>
    <mergeCell ref="J127:J146"/>
    <mergeCell ref="C152:I152"/>
    <mergeCell ref="B154:B160"/>
    <mergeCell ref="C164:I164"/>
    <mergeCell ref="B166:B17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D172-151E-48DF-B73E-8EA6ABD58D67}">
  <sheetPr codeName="Sheet9"/>
  <dimension ref="C3:K29"/>
  <sheetViews>
    <sheetView rightToLeft="1" zoomScale="122" zoomScaleNormal="85" workbookViewId="0">
      <selection activeCell="G32" sqref="G32"/>
    </sheetView>
  </sheetViews>
  <sheetFormatPr defaultColWidth="9" defaultRowHeight="16.5" x14ac:dyDescent="0.45"/>
  <cols>
    <col min="1" max="2" width="9" style="144"/>
    <col min="3" max="3" width="18.875" style="144" bestFit="1" customWidth="1"/>
    <col min="4" max="4" width="6.875" style="144" bestFit="1" customWidth="1"/>
    <col min="5" max="5" width="9" style="144"/>
    <col min="6" max="6" width="20.75" style="144" bestFit="1" customWidth="1"/>
    <col min="7" max="7" width="11.125" style="144" bestFit="1" customWidth="1"/>
    <col min="8" max="8" width="13.125" style="144" bestFit="1" customWidth="1"/>
    <col min="9" max="9" width="12.125" style="144" bestFit="1" customWidth="1"/>
    <col min="10" max="10" width="11.125" style="144" customWidth="1"/>
    <col min="11" max="11" width="11.75" style="144" bestFit="1" customWidth="1"/>
    <col min="12" max="16384" width="9" style="144"/>
  </cols>
  <sheetData>
    <row r="3" spans="3:9" ht="17.25" thickBot="1" x14ac:dyDescent="0.5"/>
    <row r="4" spans="3:9" ht="33.75" thickBot="1" x14ac:dyDescent="0.5">
      <c r="C4" s="145" t="s">
        <v>80</v>
      </c>
      <c r="D4" s="146" t="s">
        <v>81</v>
      </c>
      <c r="F4" s="147" t="s">
        <v>85</v>
      </c>
      <c r="G4" s="148" t="s">
        <v>86</v>
      </c>
      <c r="H4" s="148" t="s">
        <v>87</v>
      </c>
      <c r="I4" s="148" t="s">
        <v>88</v>
      </c>
    </row>
    <row r="5" spans="3:9" ht="17.25" thickBot="1" x14ac:dyDescent="0.5">
      <c r="C5" s="149" t="s">
        <v>82</v>
      </c>
      <c r="D5" s="150">
        <v>0.02</v>
      </c>
      <c r="F5" s="151" t="s">
        <v>89</v>
      </c>
      <c r="G5" s="152">
        <v>3</v>
      </c>
      <c r="H5" s="153">
        <f>'الدراسة الفنية '!G137</f>
        <v>130966.08</v>
      </c>
      <c r="I5" s="154">
        <f>H5*G5</f>
        <v>392898.24</v>
      </c>
    </row>
    <row r="6" spans="3:9" ht="17.25" thickBot="1" x14ac:dyDescent="0.5">
      <c r="C6" s="149" t="s">
        <v>83</v>
      </c>
      <c r="D6" s="150">
        <v>0.15</v>
      </c>
      <c r="F6" s="151" t="s">
        <v>90</v>
      </c>
      <c r="G6" s="152">
        <v>3</v>
      </c>
      <c r="H6" s="155">
        <f>'الدراسة الفنية '!G38/12</f>
        <v>27500</v>
      </c>
      <c r="I6" s="154">
        <f>H6*G6</f>
        <v>82500</v>
      </c>
    </row>
    <row r="7" spans="3:9" ht="17.25" thickBot="1" x14ac:dyDescent="0.5">
      <c r="C7" s="149" t="s">
        <v>84</v>
      </c>
      <c r="D7" s="150">
        <v>0.05</v>
      </c>
      <c r="F7" s="337" t="s">
        <v>91</v>
      </c>
      <c r="G7" s="338"/>
      <c r="H7" s="156"/>
      <c r="I7" s="154">
        <f>SUM(I5:I6)</f>
        <v>475398.24</v>
      </c>
    </row>
    <row r="9" spans="3:9" ht="17.25" thickBot="1" x14ac:dyDescent="0.5"/>
    <row r="10" spans="3:9" ht="33.75" thickBot="1" x14ac:dyDescent="0.5">
      <c r="F10" s="157" t="s">
        <v>101</v>
      </c>
      <c r="G10" s="158" t="s">
        <v>94</v>
      </c>
      <c r="H10" s="158" t="s">
        <v>92</v>
      </c>
      <c r="I10" s="159" t="s">
        <v>146</v>
      </c>
    </row>
    <row r="11" spans="3:9" ht="17.25" thickBot="1" x14ac:dyDescent="0.5">
      <c r="F11" s="160" t="s">
        <v>95</v>
      </c>
      <c r="G11" s="161">
        <f>'الدراسة الفنية '!I52</f>
        <v>297942985.54999995</v>
      </c>
      <c r="H11" s="162" t="e">
        <f>G11/G$17</f>
        <v>#REF!</v>
      </c>
      <c r="I11" s="163" t="s">
        <v>147</v>
      </c>
    </row>
    <row r="12" spans="3:9" ht="17.25" thickBot="1" x14ac:dyDescent="0.5">
      <c r="F12" s="160" t="s">
        <v>96</v>
      </c>
      <c r="G12" s="161">
        <f>'الدراسة الفنية '!I78</f>
        <v>0</v>
      </c>
      <c r="H12" s="162" t="e">
        <f t="shared" ref="H12:H17" si="0">G12/G$17</f>
        <v>#REF!</v>
      </c>
      <c r="I12" s="163" t="s">
        <v>147</v>
      </c>
    </row>
    <row r="13" spans="3:9" ht="17.25" thickBot="1" x14ac:dyDescent="0.5">
      <c r="F13" s="160" t="s">
        <v>97</v>
      </c>
      <c r="G13" s="161">
        <f>'الدراسة الفنية '!I101</f>
        <v>10504</v>
      </c>
      <c r="H13" s="162" t="e">
        <f t="shared" si="0"/>
        <v>#REF!</v>
      </c>
      <c r="I13" s="163" t="s">
        <v>147</v>
      </c>
    </row>
    <row r="14" spans="3:9" ht="17.25" thickBot="1" x14ac:dyDescent="0.5">
      <c r="F14" s="160" t="s">
        <v>133</v>
      </c>
      <c r="G14" s="161" t="e">
        <f>#REF!</f>
        <v>#REF!</v>
      </c>
      <c r="H14" s="162" t="e">
        <f t="shared" si="0"/>
        <v>#REF!</v>
      </c>
      <c r="I14" s="163" t="s">
        <v>148</v>
      </c>
    </row>
    <row r="15" spans="3:9" ht="33.75" thickBot="1" x14ac:dyDescent="0.5">
      <c r="F15" s="160" t="s">
        <v>134</v>
      </c>
      <c r="G15" s="161" t="e">
        <f>#REF!</f>
        <v>#REF!</v>
      </c>
      <c r="H15" s="162" t="e">
        <f t="shared" si="0"/>
        <v>#REF!</v>
      </c>
      <c r="I15" s="163" t="s">
        <v>149</v>
      </c>
    </row>
    <row r="16" spans="3:9" ht="17.25" thickBot="1" x14ac:dyDescent="0.5">
      <c r="F16" s="160" t="s">
        <v>85</v>
      </c>
      <c r="G16" s="161">
        <f>I7</f>
        <v>475398.24</v>
      </c>
      <c r="H16" s="162" t="e">
        <f t="shared" si="0"/>
        <v>#REF!</v>
      </c>
      <c r="I16" s="163" t="s">
        <v>150</v>
      </c>
    </row>
    <row r="17" spans="6:11" ht="17.25" thickBot="1" x14ac:dyDescent="0.5">
      <c r="F17" s="164" t="s">
        <v>93</v>
      </c>
      <c r="G17" s="165" t="e">
        <f>SUM(G11:G16)</f>
        <v>#REF!</v>
      </c>
      <c r="H17" s="162" t="e">
        <f t="shared" si="0"/>
        <v>#REF!</v>
      </c>
      <c r="I17" s="163"/>
    </row>
    <row r="20" spans="6:11" ht="33" x14ac:dyDescent="0.45">
      <c r="F20" s="157" t="s">
        <v>101</v>
      </c>
      <c r="G20" s="158" t="s">
        <v>10</v>
      </c>
      <c r="H20" s="158" t="s">
        <v>11</v>
      </c>
      <c r="I20" s="158" t="s">
        <v>191</v>
      </c>
      <c r="J20" s="158" t="s">
        <v>13</v>
      </c>
      <c r="K20" s="158" t="s">
        <v>139</v>
      </c>
    </row>
    <row r="21" spans="6:11" x14ac:dyDescent="0.45">
      <c r="F21" s="160" t="s">
        <v>95</v>
      </c>
      <c r="G21" s="161">
        <f>'الدراسة الفنية '!I46</f>
        <v>283091.66666666669</v>
      </c>
      <c r="H21" s="161">
        <f>'الدراسة الفنية '!I47</f>
        <v>79963.333333333328</v>
      </c>
      <c r="I21" s="161">
        <f>'الدراسة الفنية '!I48</f>
        <v>0</v>
      </c>
      <c r="J21" s="161">
        <f>'الدراسة الفنية '!I49</f>
        <v>294629999.99999994</v>
      </c>
      <c r="K21" s="161">
        <f>SUM(G21:J21)</f>
        <v>294993054.99999994</v>
      </c>
    </row>
    <row r="22" spans="6:11" x14ac:dyDescent="0.45">
      <c r="F22" s="160" t="s">
        <v>96</v>
      </c>
      <c r="G22" s="161">
        <f>SUM('الدراسة الفنية '!R83:R86)+SUM('الدراسة الفنية '!R91:R92)</f>
        <v>0</v>
      </c>
      <c r="H22" s="161">
        <f>SUM('الدراسة الفنية '!R61:R64)*1.01</f>
        <v>0</v>
      </c>
      <c r="I22" s="161">
        <f>SUM('الدراسة الفنية '!R105:R108)*1.01</f>
        <v>0</v>
      </c>
      <c r="J22" s="161">
        <f>SUM('الدراسة الفنية '!R142:R145)*1.01</f>
        <v>0</v>
      </c>
      <c r="K22" s="161">
        <f>SUM(G22:J22)</f>
        <v>0</v>
      </c>
    </row>
    <row r="23" spans="6:11" x14ac:dyDescent="0.45">
      <c r="F23" s="160" t="s">
        <v>97</v>
      </c>
      <c r="G23" s="161">
        <f>SUM('الدراسة الفنية '!R87:R90)*1.01</f>
        <v>0</v>
      </c>
      <c r="H23" s="161">
        <f>SUM('الدراسة الفنية '!R65:R68)*1.01</f>
        <v>0</v>
      </c>
      <c r="I23" s="161">
        <f>SUM('الدراسة الفنية '!R109:R112)*1.01</f>
        <v>0</v>
      </c>
      <c r="J23" s="161">
        <f>SUM('الدراسة الفنية '!R146:R149)*1.01</f>
        <v>0</v>
      </c>
      <c r="K23" s="161">
        <f>SUM(G23:J23)</f>
        <v>0</v>
      </c>
    </row>
    <row r="24" spans="6:11" x14ac:dyDescent="0.45">
      <c r="F24" s="160" t="s">
        <v>133</v>
      </c>
      <c r="G24" s="161" t="e">
        <f>$G14/4</f>
        <v>#REF!</v>
      </c>
      <c r="H24" s="161" t="e">
        <f t="shared" ref="H24:J24" si="1">$G14/4</f>
        <v>#REF!</v>
      </c>
      <c r="I24" s="161" t="e">
        <f t="shared" si="1"/>
        <v>#REF!</v>
      </c>
      <c r="J24" s="161" t="e">
        <f t="shared" si="1"/>
        <v>#REF!</v>
      </c>
      <c r="K24" s="161" t="e">
        <f t="shared" ref="K24:K26" si="2">SUM(G24:J24)</f>
        <v>#REF!</v>
      </c>
    </row>
    <row r="25" spans="6:11" x14ac:dyDescent="0.45">
      <c r="F25" s="160" t="s">
        <v>134</v>
      </c>
      <c r="G25" s="161" t="e">
        <f>$G15/4</f>
        <v>#REF!</v>
      </c>
      <c r="H25" s="161" t="e">
        <f t="shared" ref="H25:J25" si="3">$G15/4</f>
        <v>#REF!</v>
      </c>
      <c r="I25" s="161" t="e">
        <f t="shared" si="3"/>
        <v>#REF!</v>
      </c>
      <c r="J25" s="161" t="e">
        <f t="shared" si="3"/>
        <v>#REF!</v>
      </c>
      <c r="K25" s="161" t="e">
        <f t="shared" si="2"/>
        <v>#REF!</v>
      </c>
    </row>
    <row r="26" spans="6:11" x14ac:dyDescent="0.45">
      <c r="F26" s="160" t="s">
        <v>85</v>
      </c>
      <c r="G26" s="161">
        <f>$I7/4</f>
        <v>118849.56</v>
      </c>
      <c r="H26" s="161">
        <f t="shared" ref="H26:J26" si="4">$I7/4</f>
        <v>118849.56</v>
      </c>
      <c r="I26" s="161">
        <f t="shared" si="4"/>
        <v>118849.56</v>
      </c>
      <c r="J26" s="161">
        <f t="shared" si="4"/>
        <v>118849.56</v>
      </c>
      <c r="K26" s="161">
        <f t="shared" si="2"/>
        <v>475398.24</v>
      </c>
    </row>
    <row r="27" spans="6:11" x14ac:dyDescent="0.45">
      <c r="F27" s="164" t="s">
        <v>93</v>
      </c>
      <c r="G27" s="165" t="e">
        <f>SUM(G21:G26)</f>
        <v>#REF!</v>
      </c>
      <c r="H27" s="165" t="e">
        <f t="shared" ref="H27:K27" si="5">SUM(H21:H26)</f>
        <v>#REF!</v>
      </c>
      <c r="I27" s="165" t="e">
        <f t="shared" si="5"/>
        <v>#REF!</v>
      </c>
      <c r="J27" s="165" t="e">
        <f t="shared" si="5"/>
        <v>#REF!</v>
      </c>
      <c r="K27" s="165" t="e">
        <f t="shared" si="5"/>
        <v>#REF!</v>
      </c>
    </row>
    <row r="28" spans="6:11" x14ac:dyDescent="0.45">
      <c r="K28" s="166"/>
    </row>
    <row r="29" spans="6:11" x14ac:dyDescent="0.45">
      <c r="K29" s="166"/>
    </row>
  </sheetData>
  <mergeCells count="1">
    <mergeCell ref="F7:G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C5BA9-B91E-464F-9B9B-26C1661C44F3}">
  <sheetPr codeName="Sheet8"/>
  <dimension ref="C3:R158"/>
  <sheetViews>
    <sheetView rightToLeft="1" zoomScale="72" zoomScaleNormal="85" workbookViewId="0">
      <selection activeCell="B40" sqref="B40"/>
    </sheetView>
  </sheetViews>
  <sheetFormatPr defaultColWidth="9" defaultRowHeight="18" x14ac:dyDescent="0.5"/>
  <cols>
    <col min="1" max="2" width="9" style="80"/>
    <col min="3" max="3" width="12.75" style="80" customWidth="1"/>
    <col min="4" max="4" width="31.625" style="80" customWidth="1"/>
    <col min="5" max="5" width="16" style="80" customWidth="1"/>
    <col min="6" max="6" width="12.375" style="80" bestFit="1" customWidth="1"/>
    <col min="7" max="7" width="13.875" style="80" bestFit="1" customWidth="1"/>
    <col min="8" max="8" width="10.125" style="80" bestFit="1" customWidth="1"/>
    <col min="9" max="9" width="17.125" style="80" customWidth="1"/>
    <col min="10" max="10" width="9.625" style="80" customWidth="1"/>
    <col min="11" max="11" width="14.125" style="80" bestFit="1" customWidth="1"/>
    <col min="12" max="12" width="13.125" style="80" bestFit="1" customWidth="1"/>
    <col min="13" max="13" width="9.125" style="80" bestFit="1" customWidth="1"/>
    <col min="14" max="14" width="35.375" style="80" bestFit="1" customWidth="1"/>
    <col min="15" max="17" width="11.375" style="80" customWidth="1"/>
    <col min="18" max="18" width="13.625" style="80" bestFit="1" customWidth="1"/>
    <col min="19" max="16384" width="9" style="80"/>
  </cols>
  <sheetData>
    <row r="3" spans="3:7" x14ac:dyDescent="0.5">
      <c r="D3" s="80" t="s">
        <v>23</v>
      </c>
      <c r="E3" s="81">
        <v>0.02</v>
      </c>
    </row>
    <row r="5" spans="3:7" x14ac:dyDescent="0.5">
      <c r="C5" s="82" t="s">
        <v>0</v>
      </c>
      <c r="D5" s="83" t="s">
        <v>20</v>
      </c>
      <c r="E5" s="83" t="s">
        <v>21</v>
      </c>
      <c r="F5" s="83" t="s">
        <v>22</v>
      </c>
      <c r="G5" s="83" t="s">
        <v>25</v>
      </c>
    </row>
    <row r="6" spans="3:7" x14ac:dyDescent="0.5">
      <c r="C6" s="354" t="s">
        <v>10</v>
      </c>
      <c r="D6" s="85" t="s">
        <v>189</v>
      </c>
      <c r="E6" s="85">
        <v>1</v>
      </c>
      <c r="F6" s="85">
        <v>2000</v>
      </c>
      <c r="G6" s="85">
        <f>F6*E6*12</f>
        <v>24000</v>
      </c>
    </row>
    <row r="7" spans="3:7" x14ac:dyDescent="0.5">
      <c r="C7" s="354"/>
      <c r="D7" s="85" t="s">
        <v>186</v>
      </c>
      <c r="E7" s="85">
        <v>1</v>
      </c>
      <c r="F7" s="85">
        <v>1500</v>
      </c>
      <c r="G7" s="85">
        <f>F7*E7*12</f>
        <v>18000</v>
      </c>
    </row>
    <row r="8" spans="3:7" x14ac:dyDescent="0.5">
      <c r="C8" s="354"/>
      <c r="D8" s="85" t="s">
        <v>18</v>
      </c>
      <c r="E8" s="85">
        <v>1</v>
      </c>
      <c r="F8" s="85">
        <v>1500</v>
      </c>
      <c r="G8" s="85">
        <f>F8*E8*12</f>
        <v>18000</v>
      </c>
    </row>
    <row r="9" spans="3:7" x14ac:dyDescent="0.5">
      <c r="C9" s="354"/>
      <c r="D9" s="85" t="s">
        <v>19</v>
      </c>
      <c r="E9" s="85">
        <v>1</v>
      </c>
      <c r="F9" s="85">
        <v>1500</v>
      </c>
      <c r="G9" s="85">
        <f>F9*E9*12</f>
        <v>18000</v>
      </c>
    </row>
    <row r="10" spans="3:7" x14ac:dyDescent="0.5">
      <c r="C10" s="354"/>
      <c r="D10" s="85"/>
      <c r="E10" s="85"/>
      <c r="F10" s="85"/>
      <c r="G10" s="85"/>
    </row>
    <row r="11" spans="3:7" x14ac:dyDescent="0.5">
      <c r="C11" s="354"/>
      <c r="D11" s="85"/>
      <c r="E11" s="85"/>
      <c r="F11" s="85"/>
      <c r="G11" s="85"/>
    </row>
    <row r="12" spans="3:7" x14ac:dyDescent="0.5">
      <c r="C12" s="84"/>
      <c r="D12" s="364" t="s">
        <v>28</v>
      </c>
      <c r="E12" s="364"/>
      <c r="F12" s="364"/>
      <c r="G12" s="86">
        <f>SUM(G6:G11)</f>
        <v>78000</v>
      </c>
    </row>
    <row r="13" spans="3:7" x14ac:dyDescent="0.5">
      <c r="C13" s="82" t="s">
        <v>0</v>
      </c>
      <c r="D13" s="83" t="s">
        <v>20</v>
      </c>
      <c r="E13" s="83" t="s">
        <v>21</v>
      </c>
      <c r="F13" s="83" t="s">
        <v>22</v>
      </c>
      <c r="G13" s="83" t="s">
        <v>25</v>
      </c>
    </row>
    <row r="14" spans="3:7" x14ac:dyDescent="0.5">
      <c r="C14" s="354" t="s">
        <v>11</v>
      </c>
      <c r="D14" s="87" t="s">
        <v>190</v>
      </c>
      <c r="E14" s="87">
        <v>1</v>
      </c>
      <c r="F14" s="87">
        <v>2000</v>
      </c>
      <c r="G14" s="87">
        <f>F14*E14*12</f>
        <v>24000</v>
      </c>
    </row>
    <row r="15" spans="3:7" x14ac:dyDescent="0.5">
      <c r="C15" s="354"/>
      <c r="D15" s="87" t="s">
        <v>24</v>
      </c>
      <c r="E15" s="87">
        <v>1</v>
      </c>
      <c r="F15" s="87">
        <v>1500</v>
      </c>
      <c r="G15" s="87">
        <f>F15*E15*12</f>
        <v>18000</v>
      </c>
    </row>
    <row r="16" spans="3:7" x14ac:dyDescent="0.5">
      <c r="C16" s="354"/>
      <c r="D16" s="87" t="s">
        <v>186</v>
      </c>
      <c r="E16" s="87">
        <v>1</v>
      </c>
      <c r="F16" s="87">
        <v>1500</v>
      </c>
      <c r="G16" s="87">
        <f>F16*E16*12</f>
        <v>18000</v>
      </c>
    </row>
    <row r="17" spans="3:7" x14ac:dyDescent="0.5">
      <c r="C17" s="354"/>
      <c r="D17" s="87" t="s">
        <v>18</v>
      </c>
      <c r="E17" s="87">
        <v>1</v>
      </c>
      <c r="F17" s="87">
        <v>1500</v>
      </c>
      <c r="G17" s="87">
        <f>F17*E17*12</f>
        <v>18000</v>
      </c>
    </row>
    <row r="18" spans="3:7" x14ac:dyDescent="0.5">
      <c r="C18" s="354"/>
      <c r="D18" s="87" t="s">
        <v>19</v>
      </c>
      <c r="E18" s="87">
        <v>1</v>
      </c>
      <c r="F18" s="87">
        <v>1500</v>
      </c>
      <c r="G18" s="87">
        <f>F18*E18*12</f>
        <v>18000</v>
      </c>
    </row>
    <row r="19" spans="3:7" x14ac:dyDescent="0.5">
      <c r="C19" s="354"/>
      <c r="D19" s="87"/>
      <c r="E19" s="87"/>
      <c r="F19" s="87"/>
      <c r="G19" s="87"/>
    </row>
    <row r="20" spans="3:7" x14ac:dyDescent="0.5">
      <c r="C20" s="84"/>
      <c r="D20" s="359" t="s">
        <v>27</v>
      </c>
      <c r="E20" s="359"/>
      <c r="F20" s="359"/>
      <c r="G20" s="88">
        <f>SUM(G14:G19)</f>
        <v>96000</v>
      </c>
    </row>
    <row r="21" spans="3:7" x14ac:dyDescent="0.5">
      <c r="C21" s="82" t="s">
        <v>0</v>
      </c>
      <c r="D21" s="83" t="s">
        <v>20</v>
      </c>
      <c r="E21" s="83" t="s">
        <v>21</v>
      </c>
      <c r="F21" s="83" t="s">
        <v>22</v>
      </c>
      <c r="G21" s="83" t="s">
        <v>25</v>
      </c>
    </row>
    <row r="22" spans="3:7" x14ac:dyDescent="0.5">
      <c r="C22" s="355" t="s">
        <v>12</v>
      </c>
      <c r="D22" s="87" t="s">
        <v>188</v>
      </c>
      <c r="E22" s="87">
        <v>1</v>
      </c>
      <c r="F22" s="87">
        <v>2000</v>
      </c>
      <c r="G22" s="87">
        <f>F22*E22*12</f>
        <v>24000</v>
      </c>
    </row>
    <row r="23" spans="3:7" x14ac:dyDescent="0.5">
      <c r="C23" s="355"/>
      <c r="D23" s="87" t="s">
        <v>186</v>
      </c>
      <c r="E23" s="87">
        <v>1</v>
      </c>
      <c r="F23" s="87">
        <v>1500</v>
      </c>
      <c r="G23" s="87">
        <f>F23*E23*12</f>
        <v>18000</v>
      </c>
    </row>
    <row r="24" spans="3:7" x14ac:dyDescent="0.5">
      <c r="C24" s="355"/>
      <c r="D24" s="87" t="s">
        <v>19</v>
      </c>
      <c r="E24" s="87">
        <v>1</v>
      </c>
      <c r="F24" s="87">
        <v>1500</v>
      </c>
      <c r="G24" s="87">
        <f>F24*E24*12</f>
        <v>18000</v>
      </c>
    </row>
    <row r="25" spans="3:7" x14ac:dyDescent="0.5">
      <c r="C25" s="355"/>
      <c r="D25" s="87" t="s">
        <v>18</v>
      </c>
      <c r="E25" s="87">
        <v>1</v>
      </c>
      <c r="F25" s="87">
        <v>1500</v>
      </c>
      <c r="G25" s="87">
        <f>F25*E25*12</f>
        <v>18000</v>
      </c>
    </row>
    <row r="26" spans="3:7" x14ac:dyDescent="0.5">
      <c r="C26" s="355"/>
      <c r="D26" s="87"/>
      <c r="E26" s="87"/>
      <c r="F26" s="87"/>
      <c r="G26" s="87"/>
    </row>
    <row r="27" spans="3:7" x14ac:dyDescent="0.5">
      <c r="C27" s="355"/>
      <c r="D27" s="87"/>
      <c r="E27" s="87"/>
      <c r="F27" s="87"/>
      <c r="G27" s="87"/>
    </row>
    <row r="28" spans="3:7" x14ac:dyDescent="0.5">
      <c r="C28" s="89"/>
      <c r="D28" s="359" t="s">
        <v>26</v>
      </c>
      <c r="E28" s="359"/>
      <c r="F28" s="359"/>
      <c r="G28" s="88">
        <f>SUM(G22:G27)</f>
        <v>78000</v>
      </c>
    </row>
    <row r="29" spans="3:7" x14ac:dyDescent="0.5">
      <c r="C29" s="82" t="s">
        <v>0</v>
      </c>
      <c r="D29" s="83" t="s">
        <v>20</v>
      </c>
      <c r="E29" s="83" t="s">
        <v>21</v>
      </c>
      <c r="F29" s="83" t="s">
        <v>22</v>
      </c>
      <c r="G29" s="83" t="s">
        <v>25</v>
      </c>
    </row>
    <row r="30" spans="3:7" x14ac:dyDescent="0.5">
      <c r="C30" s="355" t="s">
        <v>13</v>
      </c>
      <c r="D30" s="87" t="s">
        <v>187</v>
      </c>
      <c r="E30" s="87">
        <v>1</v>
      </c>
      <c r="F30" s="87">
        <v>2000</v>
      </c>
      <c r="G30" s="87">
        <f>F30*E30*12</f>
        <v>24000</v>
      </c>
    </row>
    <row r="31" spans="3:7" x14ac:dyDescent="0.5">
      <c r="C31" s="355"/>
      <c r="D31" s="87" t="s">
        <v>186</v>
      </c>
      <c r="E31" s="87">
        <v>1</v>
      </c>
      <c r="F31" s="87">
        <v>1500</v>
      </c>
      <c r="G31" s="87">
        <f>F31*E31*12</f>
        <v>18000</v>
      </c>
    </row>
    <row r="32" spans="3:7" x14ac:dyDescent="0.5">
      <c r="C32" s="355"/>
      <c r="D32" s="87" t="s">
        <v>19</v>
      </c>
      <c r="E32" s="87">
        <v>1</v>
      </c>
      <c r="F32" s="87">
        <v>1500</v>
      </c>
      <c r="G32" s="87">
        <f>F32*E32*12</f>
        <v>18000</v>
      </c>
    </row>
    <row r="33" spans="3:12" x14ac:dyDescent="0.5">
      <c r="C33" s="355"/>
      <c r="D33" s="87" t="s">
        <v>18</v>
      </c>
      <c r="E33" s="87">
        <v>1</v>
      </c>
      <c r="F33" s="87">
        <v>1500</v>
      </c>
      <c r="G33" s="87">
        <f>F33*E33*12</f>
        <v>18000</v>
      </c>
    </row>
    <row r="34" spans="3:12" x14ac:dyDescent="0.5">
      <c r="C34" s="355"/>
      <c r="D34" s="87"/>
      <c r="E34" s="87"/>
      <c r="F34" s="87"/>
      <c r="G34" s="87"/>
    </row>
    <row r="35" spans="3:12" x14ac:dyDescent="0.5">
      <c r="C35" s="355"/>
      <c r="D35" s="87"/>
      <c r="E35" s="87"/>
      <c r="F35" s="87"/>
      <c r="G35" s="87"/>
    </row>
    <row r="36" spans="3:12" x14ac:dyDescent="0.5">
      <c r="C36" s="90"/>
      <c r="D36" s="359" t="s">
        <v>29</v>
      </c>
      <c r="E36" s="359"/>
      <c r="F36" s="359"/>
      <c r="G36" s="88">
        <f>SUM(G30:G35)</f>
        <v>78000</v>
      </c>
    </row>
    <row r="37" spans="3:12" x14ac:dyDescent="0.5">
      <c r="C37" s="90"/>
      <c r="D37" s="361"/>
      <c r="E37" s="362"/>
      <c r="F37" s="362"/>
      <c r="G37" s="363"/>
    </row>
    <row r="38" spans="3:12" x14ac:dyDescent="0.5">
      <c r="C38" s="90"/>
      <c r="D38" s="360" t="s">
        <v>30</v>
      </c>
      <c r="E38" s="360"/>
      <c r="F38" s="360"/>
      <c r="G38" s="92">
        <f>SUM(G36,G28,G20,G12)</f>
        <v>330000</v>
      </c>
    </row>
    <row r="44" spans="3:12" x14ac:dyDescent="0.5">
      <c r="C44" s="347" t="s">
        <v>0</v>
      </c>
      <c r="D44" s="347" t="s">
        <v>31</v>
      </c>
      <c r="E44" s="347" t="s">
        <v>1</v>
      </c>
      <c r="F44" s="343" t="s">
        <v>32</v>
      </c>
      <c r="G44" s="341" t="s">
        <v>40</v>
      </c>
      <c r="H44" s="343" t="s">
        <v>33</v>
      </c>
      <c r="I44" s="341" t="s">
        <v>41</v>
      </c>
    </row>
    <row r="45" spans="3:12" x14ac:dyDescent="0.5">
      <c r="C45" s="347"/>
      <c r="D45" s="347"/>
      <c r="E45" s="347"/>
      <c r="F45" s="356"/>
      <c r="G45" s="342"/>
      <c r="H45" s="344"/>
      <c r="I45" s="342"/>
    </row>
    <row r="46" spans="3:12" x14ac:dyDescent="0.5">
      <c r="C46" s="93">
        <v>1</v>
      </c>
      <c r="D46" s="93" t="s">
        <v>42</v>
      </c>
      <c r="E46" s="93" t="s">
        <v>36</v>
      </c>
      <c r="F46" s="94">
        <v>700</v>
      </c>
      <c r="G46" s="108">
        <f>'دراسة الموارد التقنية '!F61</f>
        <v>404.41666666666669</v>
      </c>
      <c r="H46" s="95">
        <v>0.05</v>
      </c>
      <c r="I46" s="96">
        <f t="shared" ref="I46:I49" si="0">G46*F46</f>
        <v>283091.66666666669</v>
      </c>
      <c r="J46" s="97"/>
      <c r="K46" s="98"/>
      <c r="L46" s="99"/>
    </row>
    <row r="47" spans="3:12" x14ac:dyDescent="0.5">
      <c r="C47" s="93">
        <v>2</v>
      </c>
      <c r="D47" s="93" t="s">
        <v>43</v>
      </c>
      <c r="E47" s="93" t="s">
        <v>36</v>
      </c>
      <c r="F47" s="94">
        <v>700</v>
      </c>
      <c r="G47" s="108">
        <f>'دراسة الموارد التقنية '!F81</f>
        <v>114.23333333333332</v>
      </c>
      <c r="H47" s="95">
        <v>0.05</v>
      </c>
      <c r="I47" s="96">
        <f>G47*F47</f>
        <v>79963.333333333328</v>
      </c>
      <c r="J47" s="100"/>
      <c r="K47" s="101"/>
      <c r="L47" s="99"/>
    </row>
    <row r="48" spans="3:12" x14ac:dyDescent="0.5">
      <c r="C48" s="93">
        <v>3</v>
      </c>
      <c r="D48" s="93" t="s">
        <v>44</v>
      </c>
      <c r="E48" s="93" t="s">
        <v>36</v>
      </c>
      <c r="F48" s="94">
        <v>1000</v>
      </c>
      <c r="G48" s="108">
        <f>'دراسة الموارد التقنية '!F42</f>
        <v>0</v>
      </c>
      <c r="H48" s="95">
        <v>0.05</v>
      </c>
      <c r="I48" s="96">
        <f t="shared" si="0"/>
        <v>0</v>
      </c>
      <c r="J48" s="100"/>
      <c r="K48" s="101"/>
      <c r="L48" s="99"/>
    </row>
    <row r="49" spans="3:18" x14ac:dyDescent="0.5">
      <c r="C49" s="93">
        <v>4</v>
      </c>
      <c r="D49" s="93" t="s">
        <v>45</v>
      </c>
      <c r="E49" s="93" t="s">
        <v>36</v>
      </c>
      <c r="F49" s="94">
        <v>300</v>
      </c>
      <c r="G49" s="108">
        <f>'دراسة الموارد التقنية '!F24</f>
        <v>982099.99999999988</v>
      </c>
      <c r="H49" s="95">
        <v>0.05</v>
      </c>
      <c r="I49" s="96">
        <f t="shared" si="0"/>
        <v>294629999.99999994</v>
      </c>
      <c r="J49" s="100"/>
      <c r="K49" s="101"/>
      <c r="L49" s="99"/>
    </row>
    <row r="50" spans="3:18" x14ac:dyDescent="0.5">
      <c r="C50" s="93"/>
      <c r="D50" s="93"/>
      <c r="E50" s="93"/>
      <c r="F50" s="94"/>
      <c r="G50" s="94"/>
      <c r="H50" s="94"/>
      <c r="I50" s="102">
        <f t="shared" ref="I50" si="1">G50*F50</f>
        <v>0</v>
      </c>
      <c r="J50" s="100"/>
      <c r="K50" s="103"/>
    </row>
    <row r="51" spans="3:18" x14ac:dyDescent="0.5">
      <c r="C51" s="347" t="s">
        <v>34</v>
      </c>
      <c r="D51" s="347"/>
      <c r="E51" s="347"/>
      <c r="F51" s="347"/>
      <c r="G51" s="94" t="s">
        <v>35</v>
      </c>
      <c r="H51" s="104">
        <v>0.01</v>
      </c>
      <c r="I51" s="105">
        <f>SUM(I46:I50)*H51</f>
        <v>2949930.5499999993</v>
      </c>
      <c r="J51" s="100"/>
      <c r="K51" s="103"/>
    </row>
    <row r="52" spans="3:18" x14ac:dyDescent="0.5">
      <c r="C52" s="348" t="s">
        <v>37</v>
      </c>
      <c r="D52" s="348"/>
      <c r="E52" s="348"/>
      <c r="F52" s="348"/>
      <c r="G52" s="348"/>
      <c r="H52" s="348"/>
      <c r="I52" s="106">
        <f>SUM(I46:I51)</f>
        <v>297942985.54999995</v>
      </c>
      <c r="J52" s="100"/>
      <c r="K52" s="103"/>
    </row>
    <row r="53" spans="3:18" x14ac:dyDescent="0.5">
      <c r="C53" s="350" t="s">
        <v>38</v>
      </c>
      <c r="D53" s="351"/>
      <c r="E53" s="351"/>
      <c r="F53" s="351"/>
      <c r="G53" s="351"/>
      <c r="H53" s="352"/>
      <c r="I53" s="107">
        <f>SUMPRODUCT(H46:H49,I46:I49)</f>
        <v>14749652.749999998</v>
      </c>
      <c r="J53" s="100"/>
      <c r="K53" s="103"/>
    </row>
    <row r="54" spans="3:18" x14ac:dyDescent="0.5">
      <c r="C54" s="347" t="s">
        <v>39</v>
      </c>
      <c r="D54" s="347"/>
      <c r="E54" s="347"/>
      <c r="F54" s="347"/>
      <c r="G54" s="94" t="s">
        <v>35</v>
      </c>
      <c r="H54" s="104">
        <v>0.01</v>
      </c>
      <c r="I54" s="106">
        <f>H54*I52</f>
        <v>2979429.8554999996</v>
      </c>
      <c r="J54" s="100"/>
      <c r="K54" s="103"/>
    </row>
    <row r="55" spans="3:18" x14ac:dyDescent="0.5">
      <c r="J55" s="100"/>
      <c r="K55" s="103"/>
    </row>
    <row r="56" spans="3:18" x14ac:dyDescent="0.5">
      <c r="J56" s="100"/>
      <c r="K56" s="103"/>
      <c r="N56" s="93"/>
    </row>
    <row r="57" spans="3:18" x14ac:dyDescent="0.5">
      <c r="J57" s="100"/>
      <c r="K57" s="103"/>
    </row>
    <row r="58" spans="3:18" ht="14.25" customHeight="1" x14ac:dyDescent="0.5">
      <c r="C58" s="347" t="s">
        <v>0</v>
      </c>
      <c r="D58" s="347" t="s">
        <v>31</v>
      </c>
      <c r="E58" s="347" t="s">
        <v>51</v>
      </c>
      <c r="F58" s="343" t="s">
        <v>46</v>
      </c>
      <c r="G58" s="341" t="s">
        <v>47</v>
      </c>
      <c r="H58" s="343" t="s">
        <v>33</v>
      </c>
      <c r="I58" s="345" t="s">
        <v>41</v>
      </c>
      <c r="J58" s="100"/>
      <c r="K58" s="103"/>
      <c r="M58" s="347"/>
      <c r="N58" s="347"/>
      <c r="O58" s="343"/>
      <c r="P58" s="341"/>
      <c r="Q58" s="343"/>
      <c r="R58" s="345"/>
    </row>
    <row r="59" spans="3:18" ht="14.25" customHeight="1" x14ac:dyDescent="0.5">
      <c r="C59" s="347"/>
      <c r="D59" s="347"/>
      <c r="E59" s="347"/>
      <c r="F59" s="356"/>
      <c r="G59" s="342"/>
      <c r="H59" s="344"/>
      <c r="I59" s="346"/>
      <c r="J59" s="100"/>
      <c r="K59" s="103"/>
      <c r="M59" s="347"/>
      <c r="N59" s="347"/>
      <c r="O59" s="356"/>
      <c r="P59" s="342"/>
      <c r="Q59" s="344"/>
      <c r="R59" s="346"/>
    </row>
    <row r="60" spans="3:18" x14ac:dyDescent="0.5">
      <c r="C60" s="93">
        <v>1</v>
      </c>
      <c r="D60" s="93" t="s">
        <v>52</v>
      </c>
      <c r="E60" s="93" t="s">
        <v>10</v>
      </c>
      <c r="F60" s="108">
        <v>1</v>
      </c>
      <c r="G60" s="109">
        <f>P83</f>
        <v>0</v>
      </c>
      <c r="H60" s="95">
        <v>0.15</v>
      </c>
      <c r="I60" s="105">
        <f t="shared" ref="I60:I76" si="2">G60*F60</f>
        <v>0</v>
      </c>
      <c r="J60" s="100"/>
      <c r="K60" s="101"/>
      <c r="L60" s="99"/>
      <c r="M60" s="93"/>
      <c r="N60" s="93"/>
      <c r="O60" s="108"/>
      <c r="P60" s="109"/>
      <c r="Q60" s="95"/>
      <c r="R60" s="105"/>
    </row>
    <row r="61" spans="3:18" x14ac:dyDescent="0.5">
      <c r="C61" s="93">
        <v>2</v>
      </c>
      <c r="D61" s="93" t="s">
        <v>53</v>
      </c>
      <c r="E61" s="93" t="s">
        <v>54</v>
      </c>
      <c r="F61" s="108">
        <v>1</v>
      </c>
      <c r="G61" s="109">
        <f>P61</f>
        <v>0</v>
      </c>
      <c r="H61" s="95">
        <v>0.15</v>
      </c>
      <c r="I61" s="105">
        <f t="shared" si="2"/>
        <v>0</v>
      </c>
      <c r="J61" s="100"/>
      <c r="K61" s="101"/>
      <c r="L61" s="99"/>
      <c r="M61" s="93"/>
      <c r="N61" s="110"/>
      <c r="O61" s="108"/>
      <c r="P61" s="109"/>
      <c r="Q61" s="95"/>
      <c r="R61" s="105"/>
    </row>
    <row r="62" spans="3:18" x14ac:dyDescent="0.5">
      <c r="C62" s="93">
        <v>3</v>
      </c>
      <c r="D62" s="93" t="s">
        <v>55</v>
      </c>
      <c r="E62" s="93" t="s">
        <v>12</v>
      </c>
      <c r="F62" s="108">
        <v>1</v>
      </c>
      <c r="G62" s="109">
        <f>P105</f>
        <v>0</v>
      </c>
      <c r="H62" s="95">
        <v>0.15</v>
      </c>
      <c r="I62" s="105">
        <f t="shared" si="2"/>
        <v>0</v>
      </c>
      <c r="J62" s="100"/>
      <c r="K62" s="101"/>
      <c r="L62" s="99"/>
      <c r="M62" s="93"/>
      <c r="N62" s="110"/>
      <c r="O62" s="108"/>
      <c r="P62" s="109"/>
      <c r="Q62" s="95"/>
      <c r="R62" s="105"/>
    </row>
    <row r="63" spans="3:18" x14ac:dyDescent="0.5">
      <c r="C63" s="93">
        <v>4</v>
      </c>
      <c r="D63" s="93" t="s">
        <v>56</v>
      </c>
      <c r="E63" s="93" t="s">
        <v>13</v>
      </c>
      <c r="F63" s="108">
        <f>O142</f>
        <v>0</v>
      </c>
      <c r="G63" s="109">
        <f>P142</f>
        <v>0</v>
      </c>
      <c r="H63" s="95">
        <v>0.15</v>
      </c>
      <c r="I63" s="105">
        <f t="shared" si="2"/>
        <v>0</v>
      </c>
      <c r="J63" s="100"/>
      <c r="K63" s="101"/>
      <c r="L63" s="99"/>
      <c r="M63" s="93"/>
      <c r="N63" s="110"/>
      <c r="O63" s="108"/>
      <c r="P63" s="109"/>
      <c r="Q63" s="95"/>
      <c r="R63" s="105"/>
    </row>
    <row r="64" spans="3:18" x14ac:dyDescent="0.5">
      <c r="C64" s="93">
        <v>5</v>
      </c>
      <c r="D64" s="93" t="s">
        <v>57</v>
      </c>
      <c r="E64" s="93" t="s">
        <v>10</v>
      </c>
      <c r="F64" s="108">
        <v>1</v>
      </c>
      <c r="G64" s="109">
        <f>P84</f>
        <v>0</v>
      </c>
      <c r="H64" s="95">
        <v>0.15</v>
      </c>
      <c r="I64" s="105">
        <f t="shared" si="2"/>
        <v>0</v>
      </c>
      <c r="J64" s="100"/>
      <c r="K64" s="101"/>
      <c r="L64" s="99"/>
      <c r="M64" s="93"/>
      <c r="N64" s="110"/>
      <c r="O64" s="94"/>
      <c r="P64" s="109"/>
      <c r="Q64" s="95"/>
      <c r="R64" s="105"/>
    </row>
    <row r="65" spans="3:18" x14ac:dyDescent="0.5">
      <c r="C65" s="93">
        <v>6</v>
      </c>
      <c r="D65" s="93" t="s">
        <v>58</v>
      </c>
      <c r="E65" s="93" t="s">
        <v>54</v>
      </c>
      <c r="F65" s="108">
        <v>1</v>
      </c>
      <c r="G65" s="109">
        <f>P62</f>
        <v>0</v>
      </c>
      <c r="H65" s="95">
        <v>0.15</v>
      </c>
      <c r="I65" s="105">
        <f t="shared" si="2"/>
        <v>0</v>
      </c>
      <c r="J65" s="100"/>
      <c r="K65" s="101"/>
      <c r="L65" s="99"/>
      <c r="M65" s="93"/>
      <c r="N65" s="93"/>
      <c r="O65" s="108"/>
      <c r="P65" s="109"/>
      <c r="Q65" s="95"/>
      <c r="R65" s="105"/>
    </row>
    <row r="66" spans="3:18" x14ac:dyDescent="0.5">
      <c r="C66" s="93">
        <v>7</v>
      </c>
      <c r="D66" s="93" t="s">
        <v>58</v>
      </c>
      <c r="E66" s="93" t="s">
        <v>12</v>
      </c>
      <c r="F66" s="108">
        <v>1</v>
      </c>
      <c r="G66" s="109">
        <f>P106</f>
        <v>0</v>
      </c>
      <c r="H66" s="95">
        <v>0.15</v>
      </c>
      <c r="I66" s="105">
        <f t="shared" si="2"/>
        <v>0</v>
      </c>
      <c r="J66" s="100"/>
      <c r="K66" s="101"/>
      <c r="L66" s="99"/>
      <c r="M66" s="93"/>
      <c r="N66" s="93"/>
      <c r="O66" s="108"/>
      <c r="P66" s="109"/>
      <c r="Q66" s="95"/>
      <c r="R66" s="105"/>
    </row>
    <row r="67" spans="3:18" x14ac:dyDescent="0.5">
      <c r="C67" s="93">
        <v>8</v>
      </c>
      <c r="D67" s="93" t="s">
        <v>58</v>
      </c>
      <c r="E67" s="93" t="s">
        <v>13</v>
      </c>
      <c r="F67" s="108">
        <v>1</v>
      </c>
      <c r="G67" s="109">
        <f>P143</f>
        <v>0</v>
      </c>
      <c r="H67" s="95">
        <v>0.15</v>
      </c>
      <c r="I67" s="105">
        <f t="shared" si="2"/>
        <v>0</v>
      </c>
      <c r="J67" s="100"/>
      <c r="K67" s="101"/>
      <c r="L67" s="99"/>
      <c r="M67" s="93"/>
      <c r="N67" s="93"/>
      <c r="O67" s="108"/>
      <c r="P67" s="109"/>
      <c r="Q67" s="95"/>
      <c r="R67" s="105"/>
    </row>
    <row r="68" spans="3:18" x14ac:dyDescent="0.5">
      <c r="C68" s="93">
        <v>9</v>
      </c>
      <c r="D68" s="93" t="s">
        <v>59</v>
      </c>
      <c r="E68" s="93" t="s">
        <v>10</v>
      </c>
      <c r="F68" s="108">
        <v>1</v>
      </c>
      <c r="G68" s="109">
        <f>P85</f>
        <v>0</v>
      </c>
      <c r="H68" s="95">
        <v>0.15</v>
      </c>
      <c r="I68" s="105">
        <f t="shared" si="2"/>
        <v>0</v>
      </c>
      <c r="J68" s="100"/>
      <c r="K68" s="101"/>
      <c r="L68" s="99"/>
      <c r="M68" s="93"/>
      <c r="N68" s="93"/>
      <c r="O68" s="111"/>
      <c r="P68" s="112"/>
      <c r="Q68" s="95"/>
      <c r="R68" s="105"/>
    </row>
    <row r="69" spans="3:18" x14ac:dyDescent="0.5">
      <c r="C69" s="93">
        <v>10</v>
      </c>
      <c r="D69" s="113" t="s">
        <v>60</v>
      </c>
      <c r="E69" s="93" t="s">
        <v>54</v>
      </c>
      <c r="F69" s="108">
        <v>1</v>
      </c>
      <c r="G69" s="109">
        <f>P63</f>
        <v>0</v>
      </c>
      <c r="H69" s="95">
        <v>0.15</v>
      </c>
      <c r="I69" s="105">
        <f t="shared" si="2"/>
        <v>0</v>
      </c>
      <c r="J69" s="100"/>
      <c r="K69" s="101"/>
      <c r="L69" s="99"/>
      <c r="M69" s="93"/>
      <c r="N69" s="113"/>
      <c r="O69" s="108"/>
      <c r="P69" s="109"/>
      <c r="Q69" s="95"/>
      <c r="R69" s="105"/>
    </row>
    <row r="70" spans="3:18" x14ac:dyDescent="0.5">
      <c r="C70" s="93">
        <v>11</v>
      </c>
      <c r="D70" s="113" t="s">
        <v>61</v>
      </c>
      <c r="E70" s="93" t="s">
        <v>12</v>
      </c>
      <c r="F70" s="108">
        <v>1</v>
      </c>
      <c r="G70" s="109">
        <f>P107</f>
        <v>0</v>
      </c>
      <c r="H70" s="95">
        <v>0.15</v>
      </c>
      <c r="I70" s="105">
        <f t="shared" si="2"/>
        <v>0</v>
      </c>
      <c r="J70" s="100"/>
      <c r="K70" s="101"/>
      <c r="L70" s="99"/>
      <c r="M70" s="93"/>
      <c r="N70" s="113"/>
      <c r="O70" s="108"/>
      <c r="P70" s="109"/>
      <c r="Q70" s="95"/>
      <c r="R70" s="105"/>
    </row>
    <row r="71" spans="3:18" x14ac:dyDescent="0.5">
      <c r="C71" s="93">
        <v>12</v>
      </c>
      <c r="D71" s="113" t="s">
        <v>62</v>
      </c>
      <c r="E71" s="93" t="s">
        <v>13</v>
      </c>
      <c r="F71" s="108">
        <v>1</v>
      </c>
      <c r="G71" s="109">
        <f>P144</f>
        <v>0</v>
      </c>
      <c r="H71" s="95">
        <v>0.15</v>
      </c>
      <c r="I71" s="105">
        <f t="shared" si="2"/>
        <v>0</v>
      </c>
      <c r="J71" s="100"/>
      <c r="K71" s="101"/>
      <c r="L71" s="99"/>
      <c r="M71" s="347"/>
      <c r="N71" s="347"/>
      <c r="O71" s="347"/>
      <c r="P71" s="94"/>
      <c r="Q71" s="104"/>
      <c r="R71" s="105"/>
    </row>
    <row r="72" spans="3:18" x14ac:dyDescent="0.5">
      <c r="C72" s="93">
        <v>13</v>
      </c>
      <c r="D72" s="113" t="s">
        <v>63</v>
      </c>
      <c r="E72" s="93" t="s">
        <v>10</v>
      </c>
      <c r="F72" s="94">
        <v>1</v>
      </c>
      <c r="G72" s="109">
        <f>P86</f>
        <v>0</v>
      </c>
      <c r="H72" s="95">
        <v>0.15</v>
      </c>
      <c r="I72" s="105">
        <f t="shared" si="2"/>
        <v>0</v>
      </c>
      <c r="J72" s="100"/>
      <c r="K72" s="101"/>
      <c r="L72" s="99"/>
      <c r="M72" s="348"/>
      <c r="N72" s="348"/>
      <c r="O72" s="348"/>
      <c r="P72" s="348"/>
      <c r="Q72" s="348"/>
      <c r="R72" s="106"/>
    </row>
    <row r="73" spans="3:18" x14ac:dyDescent="0.5">
      <c r="C73" s="93">
        <v>14</v>
      </c>
      <c r="D73" s="113" t="s">
        <v>63</v>
      </c>
      <c r="E73" s="93" t="s">
        <v>54</v>
      </c>
      <c r="F73" s="94">
        <v>1</v>
      </c>
      <c r="G73" s="109">
        <f>P64</f>
        <v>0</v>
      </c>
      <c r="H73" s="95">
        <v>0.15</v>
      </c>
      <c r="I73" s="105">
        <f t="shared" si="2"/>
        <v>0</v>
      </c>
      <c r="J73" s="100"/>
      <c r="K73" s="101"/>
      <c r="L73" s="99"/>
      <c r="M73" s="350"/>
      <c r="N73" s="351"/>
      <c r="O73" s="351"/>
      <c r="P73" s="351"/>
      <c r="Q73" s="352"/>
      <c r="R73" s="107"/>
    </row>
    <row r="74" spans="3:18" x14ac:dyDescent="0.5">
      <c r="C74" s="93">
        <v>15</v>
      </c>
      <c r="D74" s="113" t="s">
        <v>63</v>
      </c>
      <c r="E74" s="93" t="s">
        <v>12</v>
      </c>
      <c r="F74" s="94">
        <v>1</v>
      </c>
      <c r="G74" s="109">
        <f>P108</f>
        <v>0</v>
      </c>
      <c r="H74" s="95">
        <v>0.15</v>
      </c>
      <c r="I74" s="105">
        <f t="shared" si="2"/>
        <v>0</v>
      </c>
      <c r="J74" s="100"/>
      <c r="K74" s="101"/>
      <c r="L74" s="99"/>
      <c r="M74" s="347"/>
      <c r="N74" s="347"/>
      <c r="O74" s="347"/>
      <c r="P74" s="94"/>
      <c r="Q74" s="104"/>
      <c r="R74" s="106"/>
    </row>
    <row r="75" spans="3:18" x14ac:dyDescent="0.5">
      <c r="C75" s="93">
        <v>16</v>
      </c>
      <c r="D75" s="113" t="s">
        <v>63</v>
      </c>
      <c r="E75" s="93" t="s">
        <v>13</v>
      </c>
      <c r="F75" s="94">
        <v>1</v>
      </c>
      <c r="G75" s="109">
        <f>P145</f>
        <v>0</v>
      </c>
      <c r="H75" s="95">
        <v>0.15</v>
      </c>
      <c r="I75" s="105">
        <f t="shared" si="2"/>
        <v>0</v>
      </c>
      <c r="J75" s="100"/>
      <c r="K75" s="101"/>
      <c r="L75" s="99"/>
    </row>
    <row r="76" spans="3:18" x14ac:dyDescent="0.5">
      <c r="C76" s="114">
        <v>17</v>
      </c>
      <c r="D76" s="115" t="s">
        <v>58</v>
      </c>
      <c r="E76" s="114" t="s">
        <v>10</v>
      </c>
      <c r="F76" s="116">
        <v>1</v>
      </c>
      <c r="G76" s="117">
        <f>P92</f>
        <v>0</v>
      </c>
      <c r="H76" s="95">
        <v>0.15</v>
      </c>
      <c r="I76" s="105">
        <f t="shared" si="2"/>
        <v>0</v>
      </c>
      <c r="J76" s="100"/>
      <c r="K76" s="103"/>
    </row>
    <row r="77" spans="3:18" x14ac:dyDescent="0.5">
      <c r="C77" s="118" t="s">
        <v>34</v>
      </c>
      <c r="D77" s="118"/>
      <c r="E77" s="118"/>
      <c r="F77" s="118"/>
      <c r="G77" s="94" t="s">
        <v>35</v>
      </c>
      <c r="H77" s="104">
        <v>0.01</v>
      </c>
      <c r="I77" s="102">
        <f>SUM(I60:I75)*H77</f>
        <v>0</v>
      </c>
      <c r="J77" s="100"/>
      <c r="K77" s="103"/>
    </row>
    <row r="78" spans="3:18" x14ac:dyDescent="0.5">
      <c r="C78" s="119" t="s">
        <v>48</v>
      </c>
      <c r="D78" s="119"/>
      <c r="E78" s="119"/>
      <c r="F78" s="119"/>
      <c r="G78" s="119"/>
      <c r="H78" s="119"/>
      <c r="I78" s="106">
        <f>SUM(I60:I77)</f>
        <v>0</v>
      </c>
      <c r="J78" s="100"/>
      <c r="K78" s="103"/>
      <c r="N78" s="93"/>
    </row>
    <row r="79" spans="3:18" x14ac:dyDescent="0.5">
      <c r="C79" s="120" t="s">
        <v>49</v>
      </c>
      <c r="D79" s="121"/>
      <c r="E79" s="121"/>
      <c r="F79" s="121"/>
      <c r="G79" s="121"/>
      <c r="H79" s="122"/>
      <c r="I79" s="107">
        <f>SUMPRODUCT(H60:H75,I60:I75)</f>
        <v>0</v>
      </c>
      <c r="J79" s="100"/>
      <c r="K79" s="103"/>
    </row>
    <row r="80" spans="3:18" x14ac:dyDescent="0.5">
      <c r="C80" s="118" t="s">
        <v>50</v>
      </c>
      <c r="D80" s="118"/>
      <c r="E80" s="118"/>
      <c r="F80" s="118"/>
      <c r="G80" s="94" t="s">
        <v>35</v>
      </c>
      <c r="H80" s="104">
        <v>0.01</v>
      </c>
      <c r="I80" s="106">
        <f>H80*I78</f>
        <v>0</v>
      </c>
      <c r="J80" s="100"/>
      <c r="K80" s="103"/>
      <c r="M80" s="347"/>
      <c r="N80" s="347"/>
      <c r="O80" s="343"/>
      <c r="P80" s="341"/>
      <c r="Q80" s="343"/>
      <c r="R80" s="345"/>
    </row>
    <row r="81" spans="3:18" x14ac:dyDescent="0.5">
      <c r="J81" s="100"/>
      <c r="K81" s="103"/>
      <c r="M81" s="347"/>
      <c r="N81" s="347"/>
      <c r="O81" s="356"/>
      <c r="P81" s="342"/>
      <c r="Q81" s="344"/>
      <c r="R81" s="346"/>
    </row>
    <row r="82" spans="3:18" x14ac:dyDescent="0.5">
      <c r="C82" s="347" t="s">
        <v>0</v>
      </c>
      <c r="D82" s="347" t="s">
        <v>31</v>
      </c>
      <c r="E82" s="347" t="s">
        <v>51</v>
      </c>
      <c r="F82" s="343" t="s">
        <v>46</v>
      </c>
      <c r="G82" s="341" t="s">
        <v>47</v>
      </c>
      <c r="H82" s="343" t="s">
        <v>33</v>
      </c>
      <c r="I82" s="345" t="s">
        <v>41</v>
      </c>
      <c r="J82" s="100"/>
      <c r="K82" s="103"/>
      <c r="M82" s="93"/>
      <c r="N82" s="93"/>
      <c r="O82" s="108"/>
      <c r="P82" s="109"/>
      <c r="Q82" s="95"/>
      <c r="R82" s="105"/>
    </row>
    <row r="83" spans="3:18" x14ac:dyDescent="0.5">
      <c r="C83" s="347"/>
      <c r="D83" s="347"/>
      <c r="E83" s="347"/>
      <c r="F83" s="356"/>
      <c r="G83" s="342"/>
      <c r="H83" s="344"/>
      <c r="I83" s="346"/>
      <c r="J83" s="100"/>
      <c r="K83" s="103"/>
      <c r="M83" s="93"/>
      <c r="N83" s="93"/>
      <c r="O83" s="108"/>
      <c r="P83" s="109"/>
      <c r="Q83" s="95"/>
      <c r="R83" s="105"/>
    </row>
    <row r="84" spans="3:18" x14ac:dyDescent="0.5">
      <c r="C84" s="93">
        <v>1</v>
      </c>
      <c r="D84" s="93" t="s">
        <v>64</v>
      </c>
      <c r="E84" s="93" t="s">
        <v>10</v>
      </c>
      <c r="F84" s="108">
        <v>1</v>
      </c>
      <c r="G84" s="109">
        <v>2000</v>
      </c>
      <c r="H84" s="95">
        <v>0.2</v>
      </c>
      <c r="I84" s="105">
        <f t="shared" ref="I84:I99" si="3">G84*F84</f>
        <v>2000</v>
      </c>
      <c r="J84" s="100"/>
      <c r="K84" s="123"/>
      <c r="L84" s="124"/>
      <c r="M84" s="93"/>
      <c r="N84" s="93"/>
      <c r="O84" s="108"/>
      <c r="P84" s="109"/>
      <c r="Q84" s="95"/>
      <c r="R84" s="105"/>
    </row>
    <row r="85" spans="3:18" x14ac:dyDescent="0.5">
      <c r="C85" s="93">
        <v>2</v>
      </c>
      <c r="D85" s="93" t="s">
        <v>64</v>
      </c>
      <c r="E85" s="93" t="s">
        <v>54</v>
      </c>
      <c r="F85" s="108">
        <v>1</v>
      </c>
      <c r="G85" s="109">
        <v>2000</v>
      </c>
      <c r="H85" s="95">
        <v>0.2</v>
      </c>
      <c r="I85" s="105">
        <f t="shared" si="3"/>
        <v>2000</v>
      </c>
      <c r="J85" s="100"/>
      <c r="K85" s="123"/>
      <c r="L85" s="124"/>
      <c r="M85" s="93"/>
      <c r="N85" s="93"/>
      <c r="O85" s="108"/>
      <c r="P85" s="109"/>
      <c r="Q85" s="95"/>
      <c r="R85" s="105"/>
    </row>
    <row r="86" spans="3:18" x14ac:dyDescent="0.5">
      <c r="C86" s="93">
        <v>3</v>
      </c>
      <c r="D86" s="93" t="s">
        <v>64</v>
      </c>
      <c r="E86" s="93" t="s">
        <v>12</v>
      </c>
      <c r="F86" s="108">
        <v>1</v>
      </c>
      <c r="G86" s="109">
        <v>2000</v>
      </c>
      <c r="H86" s="95">
        <v>0.2</v>
      </c>
      <c r="I86" s="105">
        <f t="shared" si="3"/>
        <v>2000</v>
      </c>
      <c r="J86" s="100"/>
      <c r="K86" s="123"/>
      <c r="L86" s="124"/>
      <c r="M86" s="93"/>
      <c r="N86" s="113"/>
      <c r="O86" s="94"/>
      <c r="P86" s="109"/>
      <c r="Q86" s="95"/>
      <c r="R86" s="105"/>
    </row>
    <row r="87" spans="3:18" x14ac:dyDescent="0.5">
      <c r="C87" s="93">
        <v>4</v>
      </c>
      <c r="D87" s="93" t="s">
        <v>64</v>
      </c>
      <c r="E87" s="93" t="s">
        <v>13</v>
      </c>
      <c r="F87" s="108">
        <v>1</v>
      </c>
      <c r="G87" s="109">
        <v>2000</v>
      </c>
      <c r="H87" s="95">
        <v>0.2</v>
      </c>
      <c r="I87" s="105">
        <f t="shared" si="3"/>
        <v>2000</v>
      </c>
      <c r="J87" s="100"/>
      <c r="K87" s="123"/>
      <c r="L87" s="124"/>
      <c r="M87" s="93"/>
      <c r="N87" s="93"/>
      <c r="O87" s="108"/>
      <c r="P87" s="109"/>
      <c r="Q87" s="95"/>
      <c r="R87" s="105"/>
    </row>
    <row r="88" spans="3:18" x14ac:dyDescent="0.5">
      <c r="C88" s="93">
        <v>5</v>
      </c>
      <c r="D88" s="93" t="s">
        <v>65</v>
      </c>
      <c r="E88" s="93" t="s">
        <v>10</v>
      </c>
      <c r="F88" s="108">
        <v>1</v>
      </c>
      <c r="G88" s="109">
        <v>300</v>
      </c>
      <c r="H88" s="95">
        <v>0.2</v>
      </c>
      <c r="I88" s="105">
        <f t="shared" si="3"/>
        <v>300</v>
      </c>
      <c r="J88" s="100"/>
      <c r="K88" s="123"/>
      <c r="L88" s="124"/>
      <c r="M88" s="93"/>
      <c r="N88" s="93"/>
      <c r="O88" s="108"/>
      <c r="P88" s="109"/>
      <c r="Q88" s="95"/>
      <c r="R88" s="105"/>
    </row>
    <row r="89" spans="3:18" x14ac:dyDescent="0.5">
      <c r="C89" s="93">
        <v>6</v>
      </c>
      <c r="D89" s="93" t="s">
        <v>65</v>
      </c>
      <c r="E89" s="93" t="s">
        <v>54</v>
      </c>
      <c r="F89" s="108">
        <v>1</v>
      </c>
      <c r="G89" s="109">
        <v>300</v>
      </c>
      <c r="H89" s="95">
        <v>0.2</v>
      </c>
      <c r="I89" s="105">
        <f t="shared" si="3"/>
        <v>300</v>
      </c>
      <c r="J89" s="100"/>
      <c r="K89" s="123"/>
      <c r="L89" s="124"/>
      <c r="M89" s="93"/>
      <c r="N89" s="93"/>
      <c r="O89" s="108"/>
      <c r="P89" s="109"/>
      <c r="Q89" s="95"/>
      <c r="R89" s="105"/>
    </row>
    <row r="90" spans="3:18" x14ac:dyDescent="0.5">
      <c r="C90" s="93">
        <v>7</v>
      </c>
      <c r="D90" s="93" t="s">
        <v>65</v>
      </c>
      <c r="E90" s="93" t="s">
        <v>12</v>
      </c>
      <c r="F90" s="108">
        <v>1</v>
      </c>
      <c r="G90" s="109">
        <v>300</v>
      </c>
      <c r="H90" s="95">
        <v>0.2</v>
      </c>
      <c r="I90" s="105">
        <f t="shared" si="3"/>
        <v>300</v>
      </c>
      <c r="J90" s="100"/>
      <c r="K90" s="123"/>
      <c r="L90" s="124"/>
      <c r="M90" s="93"/>
      <c r="N90" s="93"/>
      <c r="O90" s="111"/>
      <c r="P90" s="112"/>
      <c r="Q90" s="95"/>
      <c r="R90" s="105"/>
    </row>
    <row r="91" spans="3:18" x14ac:dyDescent="0.5">
      <c r="C91" s="93">
        <v>8</v>
      </c>
      <c r="D91" s="93" t="s">
        <v>65</v>
      </c>
      <c r="E91" s="93" t="s">
        <v>13</v>
      </c>
      <c r="F91" s="108">
        <v>1</v>
      </c>
      <c r="G91" s="109">
        <v>300</v>
      </c>
      <c r="H91" s="95">
        <v>0.2</v>
      </c>
      <c r="I91" s="105">
        <f t="shared" si="3"/>
        <v>300</v>
      </c>
      <c r="J91" s="100"/>
      <c r="K91" s="123"/>
      <c r="L91" s="124"/>
      <c r="M91" s="93"/>
      <c r="N91" s="113"/>
      <c r="O91" s="108"/>
      <c r="P91" s="109"/>
      <c r="Q91" s="95"/>
      <c r="R91" s="105"/>
    </row>
    <row r="92" spans="3:18" x14ac:dyDescent="0.5">
      <c r="C92" s="93">
        <v>9</v>
      </c>
      <c r="D92" s="93" t="s">
        <v>66</v>
      </c>
      <c r="E92" s="93" t="s">
        <v>10</v>
      </c>
      <c r="F92" s="108">
        <f>O89</f>
        <v>0</v>
      </c>
      <c r="G92" s="109">
        <v>40</v>
      </c>
      <c r="H92" s="95">
        <v>0.1</v>
      </c>
      <c r="I92" s="105">
        <f t="shared" si="3"/>
        <v>0</v>
      </c>
      <c r="J92" s="100"/>
      <c r="K92" s="123"/>
      <c r="L92" s="124"/>
      <c r="M92" s="93"/>
      <c r="N92" s="113"/>
      <c r="O92" s="108"/>
      <c r="P92" s="109"/>
      <c r="Q92" s="95"/>
      <c r="R92" s="105"/>
    </row>
    <row r="93" spans="3:18" x14ac:dyDescent="0.5">
      <c r="C93" s="93">
        <v>10</v>
      </c>
      <c r="D93" s="93" t="s">
        <v>66</v>
      </c>
      <c r="E93" s="93" t="s">
        <v>54</v>
      </c>
      <c r="F93" s="108">
        <f>O67</f>
        <v>0</v>
      </c>
      <c r="G93" s="109">
        <v>40</v>
      </c>
      <c r="H93" s="95">
        <v>0.1</v>
      </c>
      <c r="I93" s="105">
        <f t="shared" si="3"/>
        <v>0</v>
      </c>
      <c r="J93" s="100"/>
      <c r="K93" s="123"/>
      <c r="L93" s="124"/>
      <c r="M93" s="347"/>
      <c r="N93" s="347"/>
      <c r="O93" s="347"/>
      <c r="P93" s="94"/>
      <c r="Q93" s="104"/>
      <c r="R93" s="105"/>
    </row>
    <row r="94" spans="3:18" x14ac:dyDescent="0.5">
      <c r="C94" s="93">
        <v>11</v>
      </c>
      <c r="D94" s="93" t="s">
        <v>66</v>
      </c>
      <c r="E94" s="93" t="s">
        <v>12</v>
      </c>
      <c r="F94" s="108">
        <f>O111</f>
        <v>0</v>
      </c>
      <c r="G94" s="109">
        <v>40</v>
      </c>
      <c r="H94" s="95">
        <v>0.1</v>
      </c>
      <c r="I94" s="105">
        <f t="shared" si="3"/>
        <v>0</v>
      </c>
      <c r="J94" s="100"/>
      <c r="K94" s="123"/>
      <c r="L94" s="124"/>
      <c r="M94" s="348"/>
      <c r="N94" s="348"/>
      <c r="O94" s="348"/>
      <c r="P94" s="348"/>
      <c r="Q94" s="348"/>
      <c r="R94" s="106"/>
    </row>
    <row r="95" spans="3:18" x14ac:dyDescent="0.5">
      <c r="C95" s="93">
        <v>12</v>
      </c>
      <c r="D95" s="93" t="s">
        <v>66</v>
      </c>
      <c r="E95" s="93" t="s">
        <v>13</v>
      </c>
      <c r="F95" s="108">
        <f>O148</f>
        <v>0</v>
      </c>
      <c r="G95" s="109">
        <v>40</v>
      </c>
      <c r="H95" s="95">
        <v>0.1</v>
      </c>
      <c r="I95" s="105">
        <f t="shared" si="3"/>
        <v>0</v>
      </c>
      <c r="J95" s="100"/>
      <c r="K95" s="123"/>
      <c r="L95" s="124"/>
      <c r="M95" s="350"/>
      <c r="N95" s="351"/>
      <c r="O95" s="351"/>
      <c r="P95" s="351"/>
      <c r="Q95" s="352"/>
      <c r="R95" s="107"/>
    </row>
    <row r="96" spans="3:18" x14ac:dyDescent="0.5">
      <c r="C96" s="93">
        <v>13</v>
      </c>
      <c r="D96" s="93" t="s">
        <v>67</v>
      </c>
      <c r="E96" s="93" t="s">
        <v>10</v>
      </c>
      <c r="F96" s="94">
        <v>1</v>
      </c>
      <c r="G96" s="109">
        <v>300</v>
      </c>
      <c r="H96" s="95">
        <v>0.1</v>
      </c>
      <c r="I96" s="105">
        <f t="shared" si="3"/>
        <v>300</v>
      </c>
      <c r="J96" s="100"/>
      <c r="K96" s="123"/>
      <c r="L96" s="124"/>
      <c r="M96" s="347"/>
      <c r="N96" s="347"/>
      <c r="O96" s="347"/>
      <c r="P96" s="94"/>
      <c r="Q96" s="104"/>
      <c r="R96" s="106"/>
    </row>
    <row r="97" spans="3:18" x14ac:dyDescent="0.5">
      <c r="C97" s="93">
        <v>14</v>
      </c>
      <c r="D97" s="93" t="s">
        <v>67</v>
      </c>
      <c r="E97" s="93" t="s">
        <v>54</v>
      </c>
      <c r="F97" s="94">
        <v>1</v>
      </c>
      <c r="G97" s="109">
        <v>300</v>
      </c>
      <c r="H97" s="95">
        <v>0.1</v>
      </c>
      <c r="I97" s="105">
        <f t="shared" si="3"/>
        <v>300</v>
      </c>
      <c r="J97" s="100"/>
      <c r="K97" s="123"/>
      <c r="L97" s="124"/>
    </row>
    <row r="98" spans="3:18" x14ac:dyDescent="0.5">
      <c r="C98" s="93">
        <v>15</v>
      </c>
      <c r="D98" s="93" t="s">
        <v>67</v>
      </c>
      <c r="E98" s="93" t="s">
        <v>12</v>
      </c>
      <c r="F98" s="94">
        <v>1</v>
      </c>
      <c r="G98" s="109">
        <v>300</v>
      </c>
      <c r="H98" s="95">
        <v>0.1</v>
      </c>
      <c r="I98" s="105">
        <f t="shared" si="3"/>
        <v>300</v>
      </c>
      <c r="J98" s="100"/>
      <c r="K98" s="123"/>
      <c r="L98" s="124"/>
    </row>
    <row r="99" spans="3:18" x14ac:dyDescent="0.5">
      <c r="C99" s="93">
        <v>16</v>
      </c>
      <c r="D99" s="93" t="s">
        <v>67</v>
      </c>
      <c r="E99" s="93" t="s">
        <v>13</v>
      </c>
      <c r="F99" s="94">
        <v>1</v>
      </c>
      <c r="G99" s="109">
        <v>300</v>
      </c>
      <c r="H99" s="95">
        <v>0.1</v>
      </c>
      <c r="I99" s="105">
        <f t="shared" si="3"/>
        <v>300</v>
      </c>
      <c r="J99" s="125"/>
      <c r="K99" s="126"/>
      <c r="L99" s="124"/>
    </row>
    <row r="100" spans="3:18" x14ac:dyDescent="0.5">
      <c r="C100" s="347" t="s">
        <v>34</v>
      </c>
      <c r="D100" s="347"/>
      <c r="E100" s="347"/>
      <c r="F100" s="347"/>
      <c r="G100" s="94" t="s">
        <v>35</v>
      </c>
      <c r="H100" s="104">
        <v>0.01</v>
      </c>
      <c r="I100" s="127">
        <f>SUM(I84:I99)*H100</f>
        <v>104</v>
      </c>
      <c r="N100" s="93"/>
    </row>
    <row r="101" spans="3:18" x14ac:dyDescent="0.5">
      <c r="C101" s="348" t="s">
        <v>98</v>
      </c>
      <c r="D101" s="348"/>
      <c r="E101" s="348"/>
      <c r="F101" s="348"/>
      <c r="G101" s="348"/>
      <c r="H101" s="348"/>
      <c r="I101" s="128">
        <f>SUM(I84:I100)</f>
        <v>10504</v>
      </c>
    </row>
    <row r="102" spans="3:18" x14ac:dyDescent="0.5">
      <c r="C102" s="350" t="s">
        <v>99</v>
      </c>
      <c r="D102" s="351"/>
      <c r="E102" s="351"/>
      <c r="F102" s="351"/>
      <c r="G102" s="351"/>
      <c r="H102" s="352"/>
      <c r="I102" s="129">
        <f>SUMPRODUCT(I84:I99,H84:H99)</f>
        <v>1960</v>
      </c>
      <c r="K102" s="99"/>
      <c r="M102" s="347"/>
      <c r="N102" s="347"/>
      <c r="O102" s="343"/>
      <c r="P102" s="341"/>
      <c r="Q102" s="343"/>
      <c r="R102" s="345"/>
    </row>
    <row r="103" spans="3:18" x14ac:dyDescent="0.5">
      <c r="C103" s="347" t="s">
        <v>100</v>
      </c>
      <c r="D103" s="347"/>
      <c r="E103" s="347"/>
      <c r="F103" s="347"/>
      <c r="G103" s="94" t="s">
        <v>35</v>
      </c>
      <c r="H103" s="104">
        <v>0.01</v>
      </c>
      <c r="I103" s="128">
        <f>H103*I101</f>
        <v>105.04</v>
      </c>
      <c r="M103" s="347"/>
      <c r="N103" s="347"/>
      <c r="O103" s="356"/>
      <c r="P103" s="342"/>
      <c r="Q103" s="344"/>
      <c r="R103" s="346"/>
    </row>
    <row r="104" spans="3:18" x14ac:dyDescent="0.5">
      <c r="M104" s="93"/>
      <c r="N104" s="93"/>
      <c r="O104" s="108"/>
      <c r="P104" s="109"/>
      <c r="Q104" s="95"/>
      <c r="R104" s="105"/>
    </row>
    <row r="105" spans="3:18" x14ac:dyDescent="0.5">
      <c r="I105" s="130">
        <f>SUM(I101,I78,I52)</f>
        <v>297953489.54999995</v>
      </c>
      <c r="K105" s="130"/>
      <c r="M105" s="93"/>
      <c r="N105" s="93"/>
      <c r="O105" s="108"/>
      <c r="P105" s="109"/>
      <c r="Q105" s="95"/>
      <c r="R105" s="105"/>
    </row>
    <row r="106" spans="3:18" x14ac:dyDescent="0.5">
      <c r="I106" s="130">
        <f>SUM(I102,I79,I53)</f>
        <v>14751612.749999998</v>
      </c>
      <c r="M106" s="93"/>
      <c r="N106" s="93"/>
      <c r="O106" s="108"/>
      <c r="P106" s="109"/>
      <c r="Q106" s="95"/>
      <c r="R106" s="105"/>
    </row>
    <row r="107" spans="3:18" x14ac:dyDescent="0.5">
      <c r="M107" s="93"/>
      <c r="N107" s="113"/>
      <c r="O107" s="108"/>
      <c r="P107" s="109"/>
      <c r="Q107" s="95"/>
      <c r="R107" s="105"/>
    </row>
    <row r="108" spans="3:18" ht="36" x14ac:dyDescent="0.5">
      <c r="C108" s="131" t="s">
        <v>0</v>
      </c>
      <c r="D108" s="357" t="s">
        <v>31</v>
      </c>
      <c r="E108" s="358"/>
      <c r="F108" s="131" t="s">
        <v>71</v>
      </c>
      <c r="G108" s="131" t="s">
        <v>72</v>
      </c>
      <c r="H108" s="132" t="s">
        <v>68</v>
      </c>
      <c r="I108" s="131" t="s">
        <v>69</v>
      </c>
      <c r="J108" s="131" t="s">
        <v>143</v>
      </c>
      <c r="M108" s="93"/>
      <c r="N108" s="113"/>
      <c r="O108" s="94"/>
      <c r="P108" s="109"/>
      <c r="Q108" s="95"/>
      <c r="R108" s="105"/>
    </row>
    <row r="109" spans="3:18" x14ac:dyDescent="0.5">
      <c r="C109" s="94">
        <v>1</v>
      </c>
      <c r="D109" s="339" t="s">
        <v>163</v>
      </c>
      <c r="E109" s="340"/>
      <c r="F109" s="94">
        <v>400</v>
      </c>
      <c r="G109" s="94">
        <f>F109*12</f>
        <v>4800</v>
      </c>
      <c r="H109" s="104">
        <v>0.4</v>
      </c>
      <c r="I109" s="135">
        <f>H109*G109</f>
        <v>1920</v>
      </c>
      <c r="J109" s="135">
        <f>G109-I109</f>
        <v>2880</v>
      </c>
      <c r="M109" s="93"/>
      <c r="N109" s="93"/>
      <c r="O109" s="108"/>
      <c r="P109" s="109"/>
      <c r="Q109" s="95"/>
      <c r="R109" s="105"/>
    </row>
    <row r="110" spans="3:18" x14ac:dyDescent="0.5">
      <c r="C110" s="94">
        <v>2</v>
      </c>
      <c r="D110" s="339" t="s">
        <v>164</v>
      </c>
      <c r="E110" s="340"/>
      <c r="F110" s="94">
        <v>2500</v>
      </c>
      <c r="G110" s="94">
        <f t="shared" ref="G110:G119" si="4">F110*12</f>
        <v>30000</v>
      </c>
      <c r="H110" s="104">
        <v>0.4</v>
      </c>
      <c r="I110" s="135">
        <f t="shared" ref="I110:I119" si="5">H110*G110</f>
        <v>12000</v>
      </c>
      <c r="J110" s="135">
        <f t="shared" ref="J110:J136" si="6">G110-I110</f>
        <v>18000</v>
      </c>
      <c r="M110" s="93"/>
      <c r="N110" s="93"/>
      <c r="O110" s="108"/>
      <c r="P110" s="109"/>
      <c r="Q110" s="95"/>
      <c r="R110" s="105"/>
    </row>
    <row r="111" spans="3:18" x14ac:dyDescent="0.5">
      <c r="C111" s="94">
        <v>3</v>
      </c>
      <c r="D111" s="339" t="s">
        <v>70</v>
      </c>
      <c r="E111" s="340"/>
      <c r="F111" s="94">
        <v>500</v>
      </c>
      <c r="G111" s="94">
        <f t="shared" si="4"/>
        <v>6000</v>
      </c>
      <c r="H111" s="104">
        <v>0.4</v>
      </c>
      <c r="I111" s="135">
        <f t="shared" si="5"/>
        <v>2400</v>
      </c>
      <c r="J111" s="135">
        <f t="shared" si="6"/>
        <v>3600</v>
      </c>
      <c r="M111" s="93"/>
      <c r="N111" s="93"/>
      <c r="O111" s="108"/>
      <c r="P111" s="109"/>
      <c r="Q111" s="95"/>
      <c r="R111" s="105"/>
    </row>
    <row r="112" spans="3:18" x14ac:dyDescent="0.5">
      <c r="C112" s="94">
        <v>4</v>
      </c>
      <c r="D112" s="339" t="s">
        <v>171</v>
      </c>
      <c r="E112" s="340"/>
      <c r="F112" s="94">
        <v>50</v>
      </c>
      <c r="G112" s="94">
        <f t="shared" si="4"/>
        <v>600</v>
      </c>
      <c r="H112" s="104">
        <v>0.5</v>
      </c>
      <c r="I112" s="135">
        <f t="shared" si="5"/>
        <v>300</v>
      </c>
      <c r="J112" s="135">
        <f t="shared" si="6"/>
        <v>300</v>
      </c>
      <c r="M112" s="93"/>
      <c r="N112" s="93"/>
      <c r="O112" s="111"/>
      <c r="P112" s="112"/>
      <c r="Q112" s="95"/>
      <c r="R112" s="105"/>
    </row>
    <row r="113" spans="3:18" x14ac:dyDescent="0.5">
      <c r="C113" s="94">
        <v>5</v>
      </c>
      <c r="D113" s="339" t="s">
        <v>172</v>
      </c>
      <c r="E113" s="340"/>
      <c r="F113" s="94">
        <v>300</v>
      </c>
      <c r="G113" s="94">
        <f t="shared" si="4"/>
        <v>3600</v>
      </c>
      <c r="H113" s="104">
        <v>0.6</v>
      </c>
      <c r="I113" s="135">
        <f t="shared" si="5"/>
        <v>2160</v>
      </c>
      <c r="J113" s="135">
        <f t="shared" si="6"/>
        <v>1440</v>
      </c>
      <c r="M113" s="93"/>
      <c r="N113" s="113"/>
      <c r="O113" s="108"/>
      <c r="P113" s="109"/>
      <c r="Q113" s="95"/>
      <c r="R113" s="105"/>
    </row>
    <row r="114" spans="3:18" x14ac:dyDescent="0.5">
      <c r="C114" s="94">
        <v>6</v>
      </c>
      <c r="D114" s="339" t="s">
        <v>73</v>
      </c>
      <c r="E114" s="340"/>
      <c r="F114" s="94">
        <v>100</v>
      </c>
      <c r="G114" s="94">
        <f t="shared" si="4"/>
        <v>1200</v>
      </c>
      <c r="H114" s="104">
        <v>0</v>
      </c>
      <c r="I114" s="135">
        <f t="shared" si="5"/>
        <v>0</v>
      </c>
      <c r="J114" s="135">
        <f t="shared" si="6"/>
        <v>1200</v>
      </c>
      <c r="M114" s="93"/>
      <c r="N114" s="113"/>
      <c r="O114" s="108"/>
      <c r="P114" s="109"/>
      <c r="Q114" s="95"/>
      <c r="R114" s="105"/>
    </row>
    <row r="115" spans="3:18" x14ac:dyDescent="0.5">
      <c r="C115" s="94">
        <v>7</v>
      </c>
      <c r="D115" s="339" t="s">
        <v>74</v>
      </c>
      <c r="E115" s="340"/>
      <c r="F115" s="94">
        <v>50</v>
      </c>
      <c r="G115" s="94">
        <f t="shared" si="4"/>
        <v>600</v>
      </c>
      <c r="H115" s="104">
        <v>0</v>
      </c>
      <c r="I115" s="135">
        <f t="shared" si="5"/>
        <v>0</v>
      </c>
      <c r="J115" s="135">
        <f t="shared" si="6"/>
        <v>600</v>
      </c>
      <c r="M115" s="347"/>
      <c r="N115" s="347"/>
      <c r="O115" s="347"/>
      <c r="P115" s="94"/>
      <c r="Q115" s="104"/>
      <c r="R115" s="105"/>
    </row>
    <row r="116" spans="3:18" x14ac:dyDescent="0.5">
      <c r="C116" s="94">
        <v>8</v>
      </c>
      <c r="D116" s="339" t="s">
        <v>75</v>
      </c>
      <c r="E116" s="340"/>
      <c r="F116" s="94">
        <f>38*4</f>
        <v>152</v>
      </c>
      <c r="G116" s="94">
        <f t="shared" si="4"/>
        <v>1824</v>
      </c>
      <c r="H116" s="104">
        <v>0.6</v>
      </c>
      <c r="I116" s="135">
        <f t="shared" si="5"/>
        <v>1094.3999999999999</v>
      </c>
      <c r="J116" s="135">
        <f t="shared" si="6"/>
        <v>729.60000000000014</v>
      </c>
      <c r="M116" s="348"/>
      <c r="N116" s="348"/>
      <c r="O116" s="348"/>
      <c r="P116" s="348"/>
      <c r="Q116" s="348"/>
      <c r="R116" s="106"/>
    </row>
    <row r="117" spans="3:18" x14ac:dyDescent="0.5">
      <c r="C117" s="94">
        <v>9</v>
      </c>
      <c r="D117" s="339" t="s">
        <v>76</v>
      </c>
      <c r="E117" s="340"/>
      <c r="F117" s="94">
        <f>4*133</f>
        <v>532</v>
      </c>
      <c r="G117" s="94">
        <f t="shared" si="4"/>
        <v>6384</v>
      </c>
      <c r="H117" s="104">
        <v>0.6</v>
      </c>
      <c r="I117" s="135">
        <f t="shared" si="5"/>
        <v>3830.3999999999996</v>
      </c>
      <c r="J117" s="135">
        <f t="shared" si="6"/>
        <v>2553.6000000000004</v>
      </c>
      <c r="M117" s="350"/>
      <c r="N117" s="351"/>
      <c r="O117" s="351"/>
      <c r="P117" s="351"/>
      <c r="Q117" s="352"/>
      <c r="R117" s="107"/>
    </row>
    <row r="118" spans="3:18" x14ac:dyDescent="0.5">
      <c r="C118" s="94">
        <v>10</v>
      </c>
      <c r="D118" s="339" t="s">
        <v>77</v>
      </c>
      <c r="E118" s="340"/>
      <c r="F118" s="94">
        <f>200</f>
        <v>200</v>
      </c>
      <c r="G118" s="94">
        <f t="shared" si="4"/>
        <v>2400</v>
      </c>
      <c r="H118" s="104">
        <v>0.4</v>
      </c>
      <c r="I118" s="135">
        <f t="shared" si="5"/>
        <v>960</v>
      </c>
      <c r="J118" s="135">
        <f t="shared" si="6"/>
        <v>1440</v>
      </c>
      <c r="M118" s="347"/>
      <c r="N118" s="347"/>
      <c r="O118" s="347"/>
      <c r="P118" s="94"/>
      <c r="Q118" s="104"/>
      <c r="R118" s="106"/>
    </row>
    <row r="119" spans="3:18" x14ac:dyDescent="0.5">
      <c r="C119" s="94">
        <v>11</v>
      </c>
      <c r="D119" s="339" t="s">
        <v>78</v>
      </c>
      <c r="E119" s="340"/>
      <c r="F119" s="94">
        <v>150</v>
      </c>
      <c r="G119" s="94">
        <f t="shared" si="4"/>
        <v>1800</v>
      </c>
      <c r="H119" s="104">
        <v>0</v>
      </c>
      <c r="I119" s="135">
        <f t="shared" si="5"/>
        <v>0</v>
      </c>
      <c r="J119" s="135">
        <f t="shared" si="6"/>
        <v>1800</v>
      </c>
    </row>
    <row r="120" spans="3:18" x14ac:dyDescent="0.5">
      <c r="C120" s="94">
        <v>13</v>
      </c>
      <c r="D120" s="339" t="s">
        <v>165</v>
      </c>
      <c r="E120" s="340"/>
      <c r="F120" s="94">
        <v>50</v>
      </c>
      <c r="G120" s="94">
        <f>F120*12</f>
        <v>600</v>
      </c>
      <c r="H120" s="104">
        <v>0.4</v>
      </c>
      <c r="I120" s="135">
        <f>H120*G120</f>
        <v>240</v>
      </c>
      <c r="J120" s="135">
        <f>G120-I120</f>
        <v>360</v>
      </c>
    </row>
    <row r="121" spans="3:18" x14ac:dyDescent="0.5">
      <c r="C121" s="94">
        <f>C120+1</f>
        <v>14</v>
      </c>
      <c r="D121" s="339" t="s">
        <v>166</v>
      </c>
      <c r="E121" s="340"/>
      <c r="F121" s="94">
        <v>1500</v>
      </c>
      <c r="G121" s="94">
        <f t="shared" ref="G121" si="7">F121*12</f>
        <v>18000</v>
      </c>
      <c r="H121" s="104">
        <v>0.4</v>
      </c>
      <c r="I121" s="135">
        <f t="shared" ref="I121" si="8">H121*G121</f>
        <v>7200</v>
      </c>
      <c r="J121" s="135">
        <f t="shared" ref="J121" si="9">G121-I121</f>
        <v>10800</v>
      </c>
    </row>
    <row r="122" spans="3:18" x14ac:dyDescent="0.5">
      <c r="C122" s="94">
        <f t="shared" ref="C122:C131" si="10">C121+1</f>
        <v>15</v>
      </c>
      <c r="D122" s="339" t="s">
        <v>167</v>
      </c>
      <c r="E122" s="340"/>
      <c r="F122" s="94">
        <v>50</v>
      </c>
      <c r="G122" s="94">
        <f>F122*12</f>
        <v>600</v>
      </c>
      <c r="H122" s="104">
        <v>0.4</v>
      </c>
      <c r="I122" s="135">
        <f>H122*G122</f>
        <v>240</v>
      </c>
      <c r="J122" s="135">
        <f>G122-I122</f>
        <v>360</v>
      </c>
    </row>
    <row r="123" spans="3:18" x14ac:dyDescent="0.5">
      <c r="C123" s="94">
        <f t="shared" si="10"/>
        <v>16</v>
      </c>
      <c r="D123" s="339" t="s">
        <v>168</v>
      </c>
      <c r="E123" s="340"/>
      <c r="F123" s="94">
        <v>1500</v>
      </c>
      <c r="G123" s="94">
        <f t="shared" ref="G123" si="11">F123*12</f>
        <v>18000</v>
      </c>
      <c r="H123" s="104">
        <v>0.4</v>
      </c>
      <c r="I123" s="135">
        <f t="shared" ref="I123" si="12">H123*G123</f>
        <v>7200</v>
      </c>
      <c r="J123" s="135">
        <f t="shared" ref="J123" si="13">G123-I123</f>
        <v>10800</v>
      </c>
    </row>
    <row r="124" spans="3:18" x14ac:dyDescent="0.5">
      <c r="C124" s="94">
        <f t="shared" si="10"/>
        <v>17</v>
      </c>
      <c r="D124" s="339" t="s">
        <v>169</v>
      </c>
      <c r="E124" s="340"/>
      <c r="F124" s="94">
        <v>100</v>
      </c>
      <c r="G124" s="94">
        <f>F124*12</f>
        <v>1200</v>
      </c>
      <c r="H124" s="104">
        <v>0.4</v>
      </c>
      <c r="I124" s="135">
        <f>H124*G124</f>
        <v>480</v>
      </c>
      <c r="J124" s="135">
        <f>G124-I124</f>
        <v>720</v>
      </c>
    </row>
    <row r="125" spans="3:18" x14ac:dyDescent="0.5">
      <c r="C125" s="94">
        <f t="shared" si="10"/>
        <v>18</v>
      </c>
      <c r="D125" s="339" t="s">
        <v>170</v>
      </c>
      <c r="E125" s="340"/>
      <c r="F125" s="94">
        <v>2000</v>
      </c>
      <c r="G125" s="94">
        <f t="shared" ref="G125:G127" si="14">F125*12</f>
        <v>24000</v>
      </c>
      <c r="H125" s="104">
        <v>0.4</v>
      </c>
      <c r="I125" s="135">
        <f t="shared" ref="I125:I127" si="15">H125*G125</f>
        <v>9600</v>
      </c>
      <c r="J125" s="135">
        <f t="shared" ref="J125:J127" si="16">G125-I125</f>
        <v>14400</v>
      </c>
    </row>
    <row r="126" spans="3:18" x14ac:dyDescent="0.5">
      <c r="C126" s="94">
        <f t="shared" si="10"/>
        <v>19</v>
      </c>
      <c r="D126" s="339" t="s">
        <v>173</v>
      </c>
      <c r="E126" s="340"/>
      <c r="F126" s="94">
        <v>60</v>
      </c>
      <c r="G126" s="94">
        <f t="shared" si="14"/>
        <v>720</v>
      </c>
      <c r="H126" s="104">
        <v>0.5</v>
      </c>
      <c r="I126" s="135">
        <f t="shared" si="15"/>
        <v>360</v>
      </c>
      <c r="J126" s="135">
        <f t="shared" si="16"/>
        <v>360</v>
      </c>
    </row>
    <row r="127" spans="3:18" x14ac:dyDescent="0.5">
      <c r="C127" s="94">
        <f t="shared" si="10"/>
        <v>20</v>
      </c>
      <c r="D127" s="339" t="s">
        <v>174</v>
      </c>
      <c r="E127" s="340"/>
      <c r="F127" s="94">
        <v>100</v>
      </c>
      <c r="G127" s="94">
        <f t="shared" si="14"/>
        <v>1200</v>
      </c>
      <c r="H127" s="104">
        <v>0.6</v>
      </c>
      <c r="I127" s="135">
        <f t="shared" si="15"/>
        <v>720</v>
      </c>
      <c r="J127" s="135">
        <f t="shared" si="16"/>
        <v>480</v>
      </c>
    </row>
    <row r="128" spans="3:18" x14ac:dyDescent="0.5">
      <c r="C128" s="94">
        <f t="shared" si="10"/>
        <v>21</v>
      </c>
      <c r="D128" s="339" t="s">
        <v>175</v>
      </c>
      <c r="E128" s="340"/>
      <c r="F128" s="94">
        <v>60</v>
      </c>
      <c r="G128" s="94">
        <f t="shared" ref="G128:G129" si="17">F128*12</f>
        <v>720</v>
      </c>
      <c r="H128" s="104">
        <v>0.5</v>
      </c>
      <c r="I128" s="135">
        <f t="shared" ref="I128:I129" si="18">H128*G128</f>
        <v>360</v>
      </c>
      <c r="J128" s="135">
        <f t="shared" ref="J128:J129" si="19">G128-I128</f>
        <v>360</v>
      </c>
    </row>
    <row r="129" spans="3:18" x14ac:dyDescent="0.5">
      <c r="C129" s="94">
        <f t="shared" si="10"/>
        <v>22</v>
      </c>
      <c r="D129" s="339" t="s">
        <v>176</v>
      </c>
      <c r="E129" s="340"/>
      <c r="F129" s="94">
        <v>150</v>
      </c>
      <c r="G129" s="94">
        <f t="shared" si="17"/>
        <v>1800</v>
      </c>
      <c r="H129" s="104">
        <v>0.6</v>
      </c>
      <c r="I129" s="135">
        <f t="shared" si="18"/>
        <v>1080</v>
      </c>
      <c r="J129" s="135">
        <f t="shared" si="19"/>
        <v>720</v>
      </c>
    </row>
    <row r="130" spans="3:18" x14ac:dyDescent="0.5">
      <c r="C130" s="94">
        <f t="shared" si="10"/>
        <v>23</v>
      </c>
      <c r="D130" s="339" t="s">
        <v>177</v>
      </c>
      <c r="E130" s="340"/>
      <c r="F130" s="94">
        <v>60</v>
      </c>
      <c r="G130" s="94">
        <f>F130*12</f>
        <v>720</v>
      </c>
      <c r="H130" s="104">
        <v>0.5</v>
      </c>
      <c r="I130" s="135">
        <f>H130*G130</f>
        <v>360</v>
      </c>
      <c r="J130" s="135">
        <f>G130-I130</f>
        <v>360</v>
      </c>
    </row>
    <row r="131" spans="3:18" x14ac:dyDescent="0.5">
      <c r="C131" s="94">
        <f t="shared" si="10"/>
        <v>24</v>
      </c>
      <c r="D131" s="339" t="s">
        <v>178</v>
      </c>
      <c r="E131" s="340"/>
      <c r="F131" s="94">
        <v>300</v>
      </c>
      <c r="G131" s="94">
        <f>F131*12</f>
        <v>3600</v>
      </c>
      <c r="H131" s="104">
        <v>0.6</v>
      </c>
      <c r="I131" s="135">
        <f>H131*G131</f>
        <v>2160</v>
      </c>
      <c r="J131" s="135">
        <f>G131-I131</f>
        <v>1440</v>
      </c>
    </row>
    <row r="132" spans="3:18" x14ac:dyDescent="0.5">
      <c r="C132" s="94"/>
      <c r="D132" s="339"/>
      <c r="E132" s="340"/>
      <c r="F132" s="94"/>
      <c r="G132" s="94"/>
      <c r="H132" s="104"/>
      <c r="I132" s="135"/>
      <c r="J132" s="135"/>
    </row>
    <row r="133" spans="3:18" x14ac:dyDescent="0.5">
      <c r="C133" s="94"/>
      <c r="D133" s="339"/>
      <c r="E133" s="340"/>
      <c r="F133" s="94"/>
      <c r="G133" s="94"/>
      <c r="H133" s="104"/>
      <c r="I133" s="135"/>
      <c r="J133" s="135"/>
    </row>
    <row r="134" spans="3:18" x14ac:dyDescent="0.5">
      <c r="C134" s="94"/>
      <c r="D134" s="133"/>
      <c r="E134" s="134"/>
      <c r="F134" s="94"/>
      <c r="G134" s="94"/>
      <c r="H134" s="104"/>
      <c r="I134" s="135"/>
      <c r="J134" s="135"/>
    </row>
    <row r="135" spans="3:18" x14ac:dyDescent="0.5">
      <c r="C135" s="94"/>
      <c r="D135" s="133"/>
      <c r="E135" s="134"/>
      <c r="F135" s="94"/>
      <c r="G135" s="94"/>
      <c r="H135" s="104"/>
      <c r="I135" s="135"/>
      <c r="J135" s="135"/>
    </row>
    <row r="136" spans="3:18" x14ac:dyDescent="0.5">
      <c r="C136" s="365" t="s">
        <v>34</v>
      </c>
      <c r="D136" s="365"/>
      <c r="E136" s="136" t="s">
        <v>35</v>
      </c>
      <c r="F136" s="104">
        <v>0.01</v>
      </c>
      <c r="G136" s="94">
        <f>SUM(G109:G120)*F136</f>
        <v>598.08000000000004</v>
      </c>
      <c r="H136" s="104">
        <v>0</v>
      </c>
      <c r="I136" s="135">
        <f>H136*G136</f>
        <v>0</v>
      </c>
      <c r="J136" s="135">
        <f t="shared" si="6"/>
        <v>598.08000000000004</v>
      </c>
    </row>
    <row r="137" spans="3:18" x14ac:dyDescent="0.5">
      <c r="C137" s="366" t="s">
        <v>79</v>
      </c>
      <c r="D137" s="366"/>
      <c r="E137" s="366"/>
      <c r="F137" s="137">
        <f>SUM(F109:F120)</f>
        <v>4984</v>
      </c>
      <c r="G137" s="137">
        <f>SUM(G109:G136)</f>
        <v>130966.08</v>
      </c>
      <c r="H137" s="95"/>
      <c r="I137" s="128">
        <f>SUM(I109:I136)</f>
        <v>54664.800000000003</v>
      </c>
      <c r="J137" s="128">
        <f>SUM(J109:J136)</f>
        <v>76301.279999999999</v>
      </c>
      <c r="N137" s="93"/>
    </row>
    <row r="139" spans="3:18" x14ac:dyDescent="0.5">
      <c r="M139" s="347"/>
      <c r="N139" s="347"/>
      <c r="O139" s="343"/>
      <c r="P139" s="341"/>
      <c r="Q139" s="343"/>
      <c r="R139" s="345"/>
    </row>
    <row r="140" spans="3:18" x14ac:dyDescent="0.5">
      <c r="D140" s="93" t="s">
        <v>153</v>
      </c>
      <c r="M140" s="347"/>
      <c r="N140" s="347"/>
      <c r="O140" s="356"/>
      <c r="P140" s="342"/>
      <c r="Q140" s="344"/>
      <c r="R140" s="346"/>
    </row>
    <row r="141" spans="3:18" x14ac:dyDescent="0.5">
      <c r="M141" s="93"/>
      <c r="N141" s="93"/>
      <c r="O141" s="108"/>
      <c r="P141" s="109"/>
      <c r="Q141" s="95"/>
      <c r="R141" s="105"/>
    </row>
    <row r="142" spans="3:18" ht="14.25" customHeight="1" x14ac:dyDescent="0.5">
      <c r="C142" s="354" t="s">
        <v>0</v>
      </c>
      <c r="D142" s="354" t="s">
        <v>159</v>
      </c>
      <c r="E142" s="355" t="s">
        <v>151</v>
      </c>
      <c r="F142" s="353" t="s">
        <v>155</v>
      </c>
      <c r="G142" s="353" t="s">
        <v>156</v>
      </c>
      <c r="H142" s="353" t="s">
        <v>156</v>
      </c>
      <c r="M142" s="93"/>
      <c r="N142" s="93"/>
      <c r="O142" s="108"/>
      <c r="P142" s="109"/>
      <c r="Q142" s="95"/>
      <c r="R142" s="105"/>
    </row>
    <row r="143" spans="3:18" ht="14.25" customHeight="1" x14ac:dyDescent="0.5">
      <c r="C143" s="354"/>
      <c r="D143" s="354"/>
      <c r="E143" s="354"/>
      <c r="F143" s="353"/>
      <c r="G143" s="353"/>
      <c r="H143" s="353"/>
      <c r="M143" s="93"/>
      <c r="N143" s="93"/>
      <c r="O143" s="108"/>
      <c r="P143" s="109"/>
      <c r="Q143" s="95"/>
      <c r="R143" s="105"/>
    </row>
    <row r="144" spans="3:18" x14ac:dyDescent="0.5">
      <c r="C144" s="138">
        <v>1</v>
      </c>
      <c r="D144" s="138" t="s">
        <v>152</v>
      </c>
      <c r="E144" s="139">
        <v>750</v>
      </c>
      <c r="F144" s="140">
        <v>6</v>
      </c>
      <c r="G144" s="141">
        <f>F144*E144</f>
        <v>4500</v>
      </c>
      <c r="H144" s="141">
        <f>G144*12</f>
        <v>54000</v>
      </c>
      <c r="M144" s="93"/>
      <c r="N144" s="113"/>
      <c r="O144" s="108"/>
      <c r="P144" s="109"/>
      <c r="Q144" s="95"/>
      <c r="R144" s="105"/>
    </row>
    <row r="145" spans="3:18" x14ac:dyDescent="0.5">
      <c r="C145" s="138">
        <v>2</v>
      </c>
      <c r="D145" s="138" t="s">
        <v>160</v>
      </c>
      <c r="E145" s="139">
        <v>300</v>
      </c>
      <c r="F145" s="140">
        <v>8</v>
      </c>
      <c r="G145" s="141">
        <f t="shared" ref="G145:G149" si="20">F145*E145</f>
        <v>2400</v>
      </c>
      <c r="H145" s="141">
        <f>G145*F145</f>
        <v>19200</v>
      </c>
      <c r="M145" s="93"/>
      <c r="N145" s="113"/>
      <c r="O145" s="94"/>
      <c r="P145" s="109"/>
      <c r="Q145" s="95"/>
      <c r="R145" s="105"/>
    </row>
    <row r="146" spans="3:18" x14ac:dyDescent="0.5">
      <c r="C146" s="91">
        <v>3</v>
      </c>
      <c r="D146" s="138" t="s">
        <v>161</v>
      </c>
      <c r="E146" s="91">
        <v>1000</v>
      </c>
      <c r="F146" s="91">
        <v>5</v>
      </c>
      <c r="G146" s="141">
        <f t="shared" si="20"/>
        <v>5000</v>
      </c>
      <c r="H146" s="141">
        <f t="shared" ref="H146:H149" si="21">G146*F146</f>
        <v>25000</v>
      </c>
      <c r="M146" s="93"/>
      <c r="N146" s="93"/>
      <c r="O146" s="108"/>
      <c r="P146" s="109"/>
      <c r="Q146" s="95"/>
      <c r="R146" s="105"/>
    </row>
    <row r="147" spans="3:18" x14ac:dyDescent="0.5">
      <c r="C147" s="91">
        <v>4</v>
      </c>
      <c r="D147" s="138" t="s">
        <v>162</v>
      </c>
      <c r="E147" s="91">
        <v>700</v>
      </c>
      <c r="F147" s="91">
        <v>7</v>
      </c>
      <c r="G147" s="141">
        <f t="shared" si="20"/>
        <v>4900</v>
      </c>
      <c r="H147" s="141">
        <f t="shared" si="21"/>
        <v>34300</v>
      </c>
      <c r="M147" s="93"/>
      <c r="N147" s="93"/>
      <c r="O147" s="108"/>
      <c r="P147" s="109"/>
      <c r="Q147" s="95"/>
      <c r="R147" s="105"/>
    </row>
    <row r="148" spans="3:18" x14ac:dyDescent="0.5">
      <c r="C148" s="91"/>
      <c r="D148" s="91"/>
      <c r="E148" s="91"/>
      <c r="F148" s="91"/>
      <c r="G148" s="141">
        <f t="shared" si="20"/>
        <v>0</v>
      </c>
      <c r="H148" s="141">
        <f t="shared" si="21"/>
        <v>0</v>
      </c>
      <c r="M148" s="93"/>
      <c r="N148" s="93"/>
      <c r="O148" s="108"/>
      <c r="P148" s="109"/>
      <c r="Q148" s="95"/>
      <c r="R148" s="105"/>
    </row>
    <row r="149" spans="3:18" x14ac:dyDescent="0.5">
      <c r="C149" s="91"/>
      <c r="D149" s="91"/>
      <c r="E149" s="91"/>
      <c r="F149" s="91"/>
      <c r="G149" s="141">
        <f t="shared" si="20"/>
        <v>0</v>
      </c>
      <c r="H149" s="141">
        <f t="shared" si="21"/>
        <v>0</v>
      </c>
      <c r="M149" s="93"/>
      <c r="N149" s="93"/>
      <c r="O149" s="111"/>
      <c r="P149" s="112"/>
      <c r="Q149" s="95"/>
      <c r="R149" s="105"/>
    </row>
    <row r="150" spans="3:18" x14ac:dyDescent="0.5">
      <c r="C150" s="349" t="s">
        <v>154</v>
      </c>
      <c r="D150" s="349"/>
      <c r="E150" s="349"/>
      <c r="F150" s="142"/>
      <c r="G150" s="143">
        <f>SUM(G144:G145)</f>
        <v>6900</v>
      </c>
      <c r="H150" s="143">
        <f>SUM(H144:H145)</f>
        <v>73200</v>
      </c>
      <c r="M150" s="347"/>
      <c r="N150" s="347"/>
      <c r="O150" s="347"/>
      <c r="P150" s="94"/>
      <c r="Q150" s="104"/>
      <c r="R150" s="105"/>
    </row>
    <row r="151" spans="3:18" x14ac:dyDescent="0.5">
      <c r="M151" s="348"/>
      <c r="N151" s="348"/>
      <c r="O151" s="348"/>
      <c r="P151" s="348"/>
      <c r="Q151" s="348"/>
      <c r="R151" s="106"/>
    </row>
    <row r="152" spans="3:18" x14ac:dyDescent="0.5">
      <c r="M152" s="350"/>
      <c r="N152" s="351"/>
      <c r="O152" s="351"/>
      <c r="P152" s="351"/>
      <c r="Q152" s="352"/>
      <c r="R152" s="107"/>
    </row>
    <row r="153" spans="3:18" x14ac:dyDescent="0.5">
      <c r="M153" s="347"/>
      <c r="N153" s="347"/>
      <c r="O153" s="347"/>
      <c r="P153" s="94"/>
      <c r="Q153" s="104"/>
      <c r="R153" s="106"/>
    </row>
    <row r="156" spans="3:18" x14ac:dyDescent="0.5">
      <c r="R156" s="130"/>
    </row>
    <row r="158" spans="3:18" x14ac:dyDescent="0.5">
      <c r="R158" s="130"/>
    </row>
  </sheetData>
  <mergeCells count="114">
    <mergeCell ref="C6:C11"/>
    <mergeCell ref="C14:C19"/>
    <mergeCell ref="C22:C27"/>
    <mergeCell ref="C30:C35"/>
    <mergeCell ref="D12:F12"/>
    <mergeCell ref="D20:F20"/>
    <mergeCell ref="D28:F28"/>
    <mergeCell ref="C136:D136"/>
    <mergeCell ref="C137:E137"/>
    <mergeCell ref="C52:H52"/>
    <mergeCell ref="C53:H53"/>
    <mergeCell ref="C54:F54"/>
    <mergeCell ref="H44:H45"/>
    <mergeCell ref="C51:F51"/>
    <mergeCell ref="C44:C45"/>
    <mergeCell ref="D44:D45"/>
    <mergeCell ref="E44:E45"/>
    <mergeCell ref="F44:F45"/>
    <mergeCell ref="G44:G45"/>
    <mergeCell ref="H58:H59"/>
    <mergeCell ref="C58:C59"/>
    <mergeCell ref="D58:D59"/>
    <mergeCell ref="E58:E59"/>
    <mergeCell ref="F58:F59"/>
    <mergeCell ref="H82:H83"/>
    <mergeCell ref="I82:I83"/>
    <mergeCell ref="C100:F100"/>
    <mergeCell ref="C101:H101"/>
    <mergeCell ref="C82:C83"/>
    <mergeCell ref="D82:D83"/>
    <mergeCell ref="E82:E83"/>
    <mergeCell ref="F82:F83"/>
    <mergeCell ref="D36:F36"/>
    <mergeCell ref="D38:F38"/>
    <mergeCell ref="D37:G37"/>
    <mergeCell ref="I44:I45"/>
    <mergeCell ref="I58:I59"/>
    <mergeCell ref="G58:G59"/>
    <mergeCell ref="G82:G83"/>
    <mergeCell ref="Q58:Q59"/>
    <mergeCell ref="R58:R59"/>
    <mergeCell ref="M71:O71"/>
    <mergeCell ref="M72:Q72"/>
    <mergeCell ref="M73:Q73"/>
    <mergeCell ref="M58:M59"/>
    <mergeCell ref="N58:N59"/>
    <mergeCell ref="O58:O59"/>
    <mergeCell ref="P58:P59"/>
    <mergeCell ref="Q80:Q81"/>
    <mergeCell ref="R80:R81"/>
    <mergeCell ref="M93:O93"/>
    <mergeCell ref="M94:Q94"/>
    <mergeCell ref="M95:Q95"/>
    <mergeCell ref="M74:O74"/>
    <mergeCell ref="M80:M81"/>
    <mergeCell ref="N80:N81"/>
    <mergeCell ref="O80:O81"/>
    <mergeCell ref="P80:P81"/>
    <mergeCell ref="R102:R103"/>
    <mergeCell ref="M115:O115"/>
    <mergeCell ref="M116:Q116"/>
    <mergeCell ref="M117:Q117"/>
    <mergeCell ref="M96:O96"/>
    <mergeCell ref="M102:M103"/>
    <mergeCell ref="N102:N103"/>
    <mergeCell ref="O102:O103"/>
    <mergeCell ref="P102:P103"/>
    <mergeCell ref="M118:O118"/>
    <mergeCell ref="C142:C143"/>
    <mergeCell ref="D142:D143"/>
    <mergeCell ref="E142:E143"/>
    <mergeCell ref="F142:F143"/>
    <mergeCell ref="G142:G143"/>
    <mergeCell ref="N139:N140"/>
    <mergeCell ref="O139:O140"/>
    <mergeCell ref="Q102:Q103"/>
    <mergeCell ref="C102:H102"/>
    <mergeCell ref="C103:F103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P139:P140"/>
    <mergeCell ref="Q139:Q140"/>
    <mergeCell ref="R139:R140"/>
    <mergeCell ref="M150:O150"/>
    <mergeCell ref="M151:Q151"/>
    <mergeCell ref="C150:E150"/>
    <mergeCell ref="M139:M140"/>
    <mergeCell ref="M152:Q152"/>
    <mergeCell ref="M153:O153"/>
    <mergeCell ref="H142:H143"/>
    <mergeCell ref="D130:E130"/>
    <mergeCell ref="D131:E131"/>
    <mergeCell ref="D132:E132"/>
    <mergeCell ref="D133:E133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4A9AA-3BBE-49E1-9ADC-BEDFE5A26E1D}">
  <sheetPr codeName="Sheet7"/>
  <dimension ref="D4:M19"/>
  <sheetViews>
    <sheetView rightToLeft="1" topLeftCell="B1" zoomScale="175" zoomScaleNormal="175" workbookViewId="0">
      <selection activeCell="H4" sqref="H4"/>
    </sheetView>
  </sheetViews>
  <sheetFormatPr defaultColWidth="9" defaultRowHeight="16.5" x14ac:dyDescent="0.45"/>
  <cols>
    <col min="1" max="3" width="9" style="144"/>
    <col min="4" max="4" width="15.75" style="144" customWidth="1"/>
    <col min="5" max="5" width="7" style="171" customWidth="1"/>
    <col min="6" max="6" width="14.375" style="171" customWidth="1"/>
    <col min="7" max="7" width="14.75" style="171" bestFit="1" customWidth="1"/>
    <col min="8" max="8" width="16.75" style="171" bestFit="1" customWidth="1"/>
    <col min="9" max="9" width="14.375" style="171" customWidth="1"/>
    <col min="10" max="10" width="9" style="171"/>
    <col min="11" max="11" width="16.625" style="171" bestFit="1" customWidth="1"/>
    <col min="12" max="13" width="9" style="171"/>
    <col min="14" max="16384" width="9" style="144"/>
  </cols>
  <sheetData>
    <row r="4" spans="4:11" x14ac:dyDescent="0.45">
      <c r="D4" s="167" t="s">
        <v>14</v>
      </c>
      <c r="E4" s="168"/>
      <c r="F4" s="169" t="s">
        <v>17</v>
      </c>
      <c r="G4" s="170" t="s">
        <v>16</v>
      </c>
      <c r="H4" s="170" t="s">
        <v>193</v>
      </c>
      <c r="I4" s="169" t="s">
        <v>5</v>
      </c>
    </row>
    <row r="5" spans="4:11" ht="14.25" customHeight="1" x14ac:dyDescent="0.45">
      <c r="D5" s="172" t="s">
        <v>240</v>
      </c>
      <c r="E5" s="168" t="s">
        <v>15</v>
      </c>
      <c r="F5" s="170">
        <v>300</v>
      </c>
      <c r="G5" s="173">
        <v>7.0000000000000007E-2</v>
      </c>
      <c r="H5" s="189">
        <f>'اسعار الخدمات'!I183</f>
        <v>75.75</v>
      </c>
      <c r="I5" s="174">
        <f>H5*F5*12</f>
        <v>272700</v>
      </c>
      <c r="K5" s="175"/>
    </row>
    <row r="6" spans="4:11" ht="14.25" customHeight="1" x14ac:dyDescent="0.45">
      <c r="D6" s="172" t="s">
        <v>206</v>
      </c>
      <c r="E6" s="168" t="s">
        <v>15</v>
      </c>
      <c r="F6" s="170">
        <v>100</v>
      </c>
      <c r="G6" s="173">
        <v>0.1</v>
      </c>
      <c r="H6" s="189" t="str">
        <f>'اسعار الخدمات'!I5</f>
        <v>الربح المتوقع (ريال)</v>
      </c>
      <c r="I6" s="174" t="e">
        <f>H6*F6*12</f>
        <v>#VALUE!</v>
      </c>
    </row>
    <row r="7" spans="4:11" ht="14.25" customHeight="1" x14ac:dyDescent="0.45">
      <c r="D7" s="172" t="s">
        <v>241</v>
      </c>
      <c r="E7" s="168" t="s">
        <v>15</v>
      </c>
      <c r="F7" s="170">
        <v>105</v>
      </c>
      <c r="G7" s="173">
        <v>7.0000000000000007E-2</v>
      </c>
      <c r="H7" s="189">
        <f>'اسعار الخدمات'!I160</f>
        <v>198.33333333333334</v>
      </c>
      <c r="I7" s="174">
        <f>H7*F7*12</f>
        <v>249900</v>
      </c>
    </row>
    <row r="8" spans="4:11" ht="14.25" customHeight="1" x14ac:dyDescent="0.45">
      <c r="D8" s="172" t="s">
        <v>242</v>
      </c>
      <c r="E8" s="168" t="s">
        <v>15</v>
      </c>
      <c r="F8" s="170">
        <v>90</v>
      </c>
      <c r="G8" s="173">
        <v>7.0000000000000007E-2</v>
      </c>
      <c r="H8" s="189">
        <f>'اسعار الخدمات'!I172</f>
        <v>177.5</v>
      </c>
      <c r="I8" s="174">
        <f>H8*F8*12</f>
        <v>191700</v>
      </c>
    </row>
    <row r="9" spans="4:11" x14ac:dyDescent="0.45">
      <c r="D9" s="176"/>
      <c r="E9" s="168"/>
      <c r="F9" s="168"/>
      <c r="G9" s="177"/>
      <c r="H9" s="177"/>
      <c r="I9" s="178" t="e">
        <f>SUM(I5:I8)</f>
        <v>#VALUE!</v>
      </c>
    </row>
    <row r="12" spans="4:11" x14ac:dyDescent="0.45">
      <c r="D12" s="167" t="s">
        <v>14</v>
      </c>
      <c r="E12" s="168"/>
      <c r="F12" s="179" t="s">
        <v>6</v>
      </c>
      <c r="G12" s="179" t="s">
        <v>7</v>
      </c>
      <c r="H12" s="179" t="s">
        <v>8</v>
      </c>
      <c r="I12" s="179" t="s">
        <v>9</v>
      </c>
    </row>
    <row r="13" spans="4:11" x14ac:dyDescent="0.45">
      <c r="D13" s="172" t="s">
        <v>240</v>
      </c>
      <c r="E13" s="168"/>
      <c r="F13" s="174">
        <f>I5*(1+G5)</f>
        <v>291789</v>
      </c>
      <c r="G13" s="174">
        <f>F13*(1+$G5)</f>
        <v>312214.23000000004</v>
      </c>
      <c r="H13" s="174">
        <f>G13*(1+$G5)</f>
        <v>334069.22610000009</v>
      </c>
      <c r="I13" s="174">
        <f>H13*(1+$G5)</f>
        <v>357454.07192700013</v>
      </c>
    </row>
    <row r="14" spans="4:11" x14ac:dyDescent="0.45">
      <c r="D14" s="172" t="s">
        <v>206</v>
      </c>
      <c r="E14" s="168"/>
      <c r="F14" s="174" t="e">
        <f t="shared" ref="F14:F16" si="0">I6*(1+G6)</f>
        <v>#VALUE!</v>
      </c>
      <c r="G14" s="174" t="e">
        <f t="shared" ref="G14:H16" si="1">F14*(1+$G6)</f>
        <v>#VALUE!</v>
      </c>
      <c r="H14" s="174" t="e">
        <f t="shared" si="1"/>
        <v>#VALUE!</v>
      </c>
      <c r="I14" s="174" t="e">
        <f t="shared" ref="I14" si="2">H14*(1+$G6)</f>
        <v>#VALUE!</v>
      </c>
    </row>
    <row r="15" spans="4:11" x14ac:dyDescent="0.45">
      <c r="D15" s="172" t="s">
        <v>241</v>
      </c>
      <c r="E15" s="168"/>
      <c r="F15" s="174">
        <f t="shared" si="0"/>
        <v>267393</v>
      </c>
      <c r="G15" s="174">
        <f t="shared" si="1"/>
        <v>286110.51</v>
      </c>
      <c r="H15" s="174">
        <f t="shared" si="1"/>
        <v>306138.24570000003</v>
      </c>
      <c r="I15" s="174">
        <f t="shared" ref="I15" si="3">H15*(1+$G7)</f>
        <v>327567.92289900006</v>
      </c>
    </row>
    <row r="16" spans="4:11" x14ac:dyDescent="0.45">
      <c r="D16" s="172" t="s">
        <v>242</v>
      </c>
      <c r="E16" s="168"/>
      <c r="F16" s="174">
        <f t="shared" si="0"/>
        <v>205119</v>
      </c>
      <c r="G16" s="174">
        <f t="shared" si="1"/>
        <v>219477.33000000002</v>
      </c>
      <c r="H16" s="174">
        <f t="shared" si="1"/>
        <v>234840.74310000002</v>
      </c>
      <c r="I16" s="174">
        <f t="shared" ref="I16" si="4">H16*(1+$G8)</f>
        <v>251279.59511700005</v>
      </c>
    </row>
    <row r="17" spans="4:9" x14ac:dyDescent="0.45">
      <c r="D17" s="176"/>
      <c r="E17" s="168"/>
      <c r="F17" s="180" t="e">
        <f>SUM(F13:F16)</f>
        <v>#VALUE!</v>
      </c>
      <c r="G17" s="180" t="e">
        <f t="shared" ref="G17:I17" si="5">SUM(G13:G16)</f>
        <v>#VALUE!</v>
      </c>
      <c r="H17" s="180" t="e">
        <f t="shared" si="5"/>
        <v>#VALUE!</v>
      </c>
      <c r="I17" s="180" t="e">
        <f t="shared" si="5"/>
        <v>#VALUE!</v>
      </c>
    </row>
    <row r="18" spans="4:9" x14ac:dyDescent="0.45">
      <c r="F18" s="181"/>
    </row>
    <row r="19" spans="4:9" x14ac:dyDescent="0.45">
      <c r="H19" s="180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63CA0-E8C4-49D6-8332-E83948AE89AB}">
  <dimension ref="B3:U183"/>
  <sheetViews>
    <sheetView rightToLeft="1" zoomScale="115" zoomScaleNormal="115" workbookViewId="0">
      <selection activeCell="F13" sqref="F13"/>
    </sheetView>
  </sheetViews>
  <sheetFormatPr defaultRowHeight="14.25" x14ac:dyDescent="0.2"/>
  <cols>
    <col min="1" max="2" width="9" style="292"/>
    <col min="3" max="8" width="28.375" style="292" customWidth="1"/>
    <col min="9" max="9" width="14.125" style="292" bestFit="1" customWidth="1"/>
    <col min="10" max="10" width="20.125" style="292" bestFit="1" customWidth="1"/>
    <col min="11" max="16384" width="9" style="292"/>
  </cols>
  <sheetData>
    <row r="3" spans="2:21" ht="16.5" x14ac:dyDescent="0.2">
      <c r="B3" s="298"/>
      <c r="C3" s="368" t="s">
        <v>1009</v>
      </c>
      <c r="D3" s="368"/>
      <c r="E3" s="368"/>
      <c r="F3" s="368"/>
      <c r="G3" s="368"/>
      <c r="H3" s="368"/>
      <c r="I3" s="368"/>
      <c r="J3" s="368"/>
    </row>
    <row r="4" spans="2:21" ht="16.5" x14ac:dyDescent="0.2">
      <c r="B4" s="307" t="s">
        <v>0</v>
      </c>
      <c r="C4" s="307" t="s">
        <v>192</v>
      </c>
      <c r="D4" s="307" t="s">
        <v>383</v>
      </c>
      <c r="E4" s="307" t="s">
        <v>181</v>
      </c>
      <c r="F4" s="307" t="s">
        <v>381</v>
      </c>
      <c r="G4" s="307" t="s">
        <v>380</v>
      </c>
      <c r="H4" s="307" t="s">
        <v>382</v>
      </c>
      <c r="I4" s="307" t="s">
        <v>492</v>
      </c>
      <c r="J4" s="306" t="s">
        <v>1008</v>
      </c>
      <c r="N4" s="305"/>
      <c r="O4" s="305"/>
      <c r="P4" s="305"/>
      <c r="Q4" s="305"/>
      <c r="R4" s="305"/>
      <c r="S4" s="305"/>
      <c r="T4" s="305"/>
      <c r="U4" s="305"/>
    </row>
    <row r="5" spans="2:21" ht="16.5" x14ac:dyDescent="0.2">
      <c r="B5" s="294"/>
      <c r="C5" s="305" t="s">
        <v>192</v>
      </c>
      <c r="D5" s="305" t="s">
        <v>383</v>
      </c>
      <c r="E5" s="305" t="s">
        <v>384</v>
      </c>
      <c r="F5" s="305" t="s">
        <v>385</v>
      </c>
      <c r="G5" s="305" t="s">
        <v>386</v>
      </c>
      <c r="H5" s="305" t="s">
        <v>387</v>
      </c>
      <c r="I5" s="305" t="s">
        <v>388</v>
      </c>
      <c r="J5" s="367" t="s">
        <v>1015</v>
      </c>
      <c r="N5" s="299"/>
      <c r="O5" s="299"/>
      <c r="P5" s="299"/>
      <c r="Q5" s="299"/>
      <c r="R5" s="299"/>
      <c r="S5" s="299"/>
      <c r="T5" s="299"/>
      <c r="U5" s="299"/>
    </row>
    <row r="6" spans="2:21" ht="28.5" x14ac:dyDescent="0.2">
      <c r="B6" s="303"/>
      <c r="C6" s="301" t="s">
        <v>404</v>
      </c>
      <c r="D6" s="301" t="s">
        <v>428</v>
      </c>
      <c r="E6" s="301" t="s">
        <v>389</v>
      </c>
      <c r="F6" s="301" t="s">
        <v>429</v>
      </c>
      <c r="G6" s="301" t="s">
        <v>390</v>
      </c>
      <c r="H6" s="301" t="s">
        <v>430</v>
      </c>
      <c r="I6" s="301" t="s">
        <v>391</v>
      </c>
      <c r="J6" s="367"/>
      <c r="N6" s="299"/>
      <c r="O6" s="299"/>
      <c r="P6" s="299"/>
      <c r="Q6" s="299"/>
      <c r="R6" s="299"/>
      <c r="S6" s="299"/>
      <c r="T6" s="299"/>
      <c r="U6" s="299"/>
    </row>
    <row r="7" spans="2:21" ht="16.5" x14ac:dyDescent="0.2">
      <c r="B7" s="303"/>
      <c r="C7" s="301" t="s">
        <v>405</v>
      </c>
      <c r="D7" s="301" t="s">
        <v>431</v>
      </c>
      <c r="E7" s="301" t="s">
        <v>406</v>
      </c>
      <c r="F7" s="301" t="s">
        <v>432</v>
      </c>
      <c r="G7" s="301" t="s">
        <v>392</v>
      </c>
      <c r="H7" s="301" t="s">
        <v>407</v>
      </c>
      <c r="I7" s="301" t="s">
        <v>433</v>
      </c>
      <c r="J7" s="367"/>
      <c r="N7" s="299"/>
      <c r="O7" s="299"/>
      <c r="P7" s="299"/>
      <c r="Q7" s="299"/>
      <c r="R7" s="299"/>
      <c r="S7" s="299"/>
      <c r="T7" s="299"/>
      <c r="U7" s="299"/>
    </row>
    <row r="8" spans="2:21" ht="16.5" x14ac:dyDescent="0.2">
      <c r="B8" s="303"/>
      <c r="C8" s="301" t="s">
        <v>408</v>
      </c>
      <c r="D8" s="301" t="s">
        <v>434</v>
      </c>
      <c r="E8" s="301" t="s">
        <v>409</v>
      </c>
      <c r="F8" s="301" t="s">
        <v>435</v>
      </c>
      <c r="G8" s="301" t="s">
        <v>410</v>
      </c>
      <c r="H8" s="301" t="s">
        <v>436</v>
      </c>
      <c r="I8" s="301" t="s">
        <v>437</v>
      </c>
      <c r="J8" s="367"/>
      <c r="N8" s="299"/>
      <c r="O8" s="299"/>
      <c r="P8" s="299"/>
      <c r="Q8" s="299"/>
      <c r="R8" s="299"/>
      <c r="S8" s="299"/>
      <c r="T8" s="299"/>
      <c r="U8" s="299"/>
    </row>
    <row r="9" spans="2:21" ht="16.5" x14ac:dyDescent="0.2">
      <c r="B9" s="303"/>
      <c r="C9" s="301" t="s">
        <v>411</v>
      </c>
      <c r="D9" s="301" t="s">
        <v>438</v>
      </c>
      <c r="E9" s="301" t="s">
        <v>412</v>
      </c>
      <c r="F9" s="301" t="s">
        <v>439</v>
      </c>
      <c r="G9" s="301" t="s">
        <v>413</v>
      </c>
      <c r="H9" s="301" t="s">
        <v>440</v>
      </c>
      <c r="I9" s="301" t="s">
        <v>392</v>
      </c>
      <c r="J9" s="367"/>
      <c r="N9" s="299"/>
      <c r="O9" s="299"/>
      <c r="P9" s="299"/>
      <c r="Q9" s="299"/>
      <c r="R9" s="299"/>
      <c r="S9" s="299"/>
      <c r="T9" s="299"/>
      <c r="U9" s="299"/>
    </row>
    <row r="10" spans="2:21" ht="16.5" x14ac:dyDescent="0.2">
      <c r="B10" s="303"/>
      <c r="C10" s="301" t="s">
        <v>441</v>
      </c>
      <c r="D10" s="301" t="s">
        <v>442</v>
      </c>
      <c r="E10" s="301" t="s">
        <v>414</v>
      </c>
      <c r="F10" s="301" t="s">
        <v>443</v>
      </c>
      <c r="G10" s="301" t="s">
        <v>415</v>
      </c>
      <c r="H10" s="301" t="s">
        <v>444</v>
      </c>
      <c r="I10" s="301" t="s">
        <v>393</v>
      </c>
      <c r="J10" s="367"/>
      <c r="N10" s="299"/>
      <c r="O10" s="299"/>
      <c r="P10" s="299"/>
      <c r="Q10" s="299"/>
      <c r="R10" s="299"/>
      <c r="S10" s="299"/>
      <c r="T10" s="299"/>
      <c r="U10" s="299"/>
    </row>
    <row r="11" spans="2:21" ht="16.5" x14ac:dyDescent="0.2">
      <c r="B11" s="303"/>
      <c r="C11" s="301" t="s">
        <v>416</v>
      </c>
      <c r="D11" s="301" t="s">
        <v>445</v>
      </c>
      <c r="E11" s="301" t="s">
        <v>417</v>
      </c>
      <c r="F11" s="301" t="s">
        <v>446</v>
      </c>
      <c r="G11" s="301" t="s">
        <v>418</v>
      </c>
      <c r="H11" s="301" t="s">
        <v>447</v>
      </c>
      <c r="I11" s="301" t="s">
        <v>418</v>
      </c>
      <c r="J11" s="367"/>
      <c r="N11" s="299"/>
      <c r="O11" s="299"/>
      <c r="P11" s="299"/>
      <c r="Q11" s="299"/>
      <c r="R11" s="299"/>
      <c r="S11" s="299"/>
      <c r="T11" s="299"/>
      <c r="U11" s="299"/>
    </row>
    <row r="12" spans="2:21" ht="16.5" x14ac:dyDescent="0.2">
      <c r="B12" s="303"/>
      <c r="C12" s="301" t="s">
        <v>448</v>
      </c>
      <c r="D12" s="301" t="s">
        <v>449</v>
      </c>
      <c r="E12" s="301" t="s">
        <v>419</v>
      </c>
      <c r="F12" s="301" t="s">
        <v>450</v>
      </c>
      <c r="G12" s="301" t="s">
        <v>420</v>
      </c>
      <c r="H12" s="301" t="s">
        <v>451</v>
      </c>
      <c r="I12" s="301" t="s">
        <v>452</v>
      </c>
      <c r="J12" s="367"/>
      <c r="N12" s="299"/>
      <c r="O12" s="299"/>
      <c r="P12" s="299"/>
      <c r="Q12" s="299"/>
      <c r="R12" s="299"/>
      <c r="S12" s="299"/>
      <c r="T12" s="299"/>
      <c r="U12" s="299"/>
    </row>
    <row r="13" spans="2:21" ht="16.5" x14ac:dyDescent="0.2">
      <c r="B13" s="303"/>
      <c r="C13" s="301" t="s">
        <v>421</v>
      </c>
      <c r="D13" s="301" t="s">
        <v>453</v>
      </c>
      <c r="E13" s="301" t="s">
        <v>422</v>
      </c>
      <c r="F13" s="301" t="s">
        <v>454</v>
      </c>
      <c r="G13" s="301" t="s">
        <v>423</v>
      </c>
      <c r="H13" s="301" t="s">
        <v>455</v>
      </c>
      <c r="I13" s="301" t="s">
        <v>456</v>
      </c>
      <c r="J13" s="367"/>
      <c r="N13" s="299"/>
      <c r="O13" s="299"/>
      <c r="P13" s="299"/>
      <c r="Q13" s="299"/>
      <c r="R13" s="299"/>
      <c r="S13" s="299"/>
      <c r="T13" s="299"/>
      <c r="U13" s="299"/>
    </row>
    <row r="14" spans="2:21" ht="16.5" x14ac:dyDescent="0.2">
      <c r="B14" s="303"/>
      <c r="C14" s="301" t="s">
        <v>424</v>
      </c>
      <c r="D14" s="301" t="s">
        <v>457</v>
      </c>
      <c r="E14" s="301" t="s">
        <v>425</v>
      </c>
      <c r="F14" s="301" t="s">
        <v>458</v>
      </c>
      <c r="G14" s="301" t="s">
        <v>426</v>
      </c>
      <c r="H14" s="301" t="s">
        <v>427</v>
      </c>
      <c r="I14" s="301" t="s">
        <v>426</v>
      </c>
      <c r="J14" s="367"/>
      <c r="N14" s="299"/>
      <c r="O14" s="299"/>
      <c r="P14" s="299"/>
      <c r="Q14" s="299"/>
      <c r="R14" s="299"/>
      <c r="S14" s="299"/>
      <c r="T14" s="299"/>
      <c r="U14" s="299"/>
    </row>
    <row r="15" spans="2:21" ht="16.5" x14ac:dyDescent="0.2">
      <c r="B15" s="303"/>
      <c r="C15" s="301" t="s">
        <v>459</v>
      </c>
      <c r="D15" s="301" t="s">
        <v>460</v>
      </c>
      <c r="E15" s="301" t="s">
        <v>461</v>
      </c>
      <c r="F15" s="301" t="s">
        <v>462</v>
      </c>
      <c r="G15" s="301" t="s">
        <v>420</v>
      </c>
      <c r="H15" s="301" t="s">
        <v>463</v>
      </c>
      <c r="I15" s="301" t="s">
        <v>420</v>
      </c>
      <c r="J15" s="367"/>
      <c r="N15" s="299"/>
      <c r="O15" s="299"/>
      <c r="P15" s="299"/>
      <c r="Q15" s="299"/>
      <c r="R15" s="299"/>
      <c r="S15" s="299"/>
      <c r="T15" s="299"/>
      <c r="U15" s="299"/>
    </row>
    <row r="16" spans="2:21" ht="16.5" x14ac:dyDescent="0.2">
      <c r="B16" s="303"/>
      <c r="C16" s="301" t="s">
        <v>464</v>
      </c>
      <c r="D16" s="301" t="s">
        <v>465</v>
      </c>
      <c r="E16" s="301" t="s">
        <v>466</v>
      </c>
      <c r="F16" s="301" t="s">
        <v>467</v>
      </c>
      <c r="G16" s="301" t="s">
        <v>468</v>
      </c>
      <c r="H16" s="301" t="s">
        <v>469</v>
      </c>
      <c r="I16" s="301" t="s">
        <v>420</v>
      </c>
      <c r="J16" s="367"/>
      <c r="N16" s="299"/>
      <c r="O16" s="299"/>
      <c r="P16" s="299"/>
      <c r="Q16" s="299"/>
      <c r="R16" s="299"/>
      <c r="S16" s="299"/>
      <c r="T16" s="299"/>
      <c r="U16" s="299"/>
    </row>
    <row r="17" spans="2:21" ht="16.5" x14ac:dyDescent="0.2">
      <c r="B17" s="303"/>
      <c r="C17" s="301" t="s">
        <v>470</v>
      </c>
      <c r="D17" s="301" t="s">
        <v>471</v>
      </c>
      <c r="E17" s="301" t="s">
        <v>472</v>
      </c>
      <c r="F17" s="301" t="s">
        <v>473</v>
      </c>
      <c r="G17" s="301" t="s">
        <v>410</v>
      </c>
      <c r="H17" s="301" t="s">
        <v>474</v>
      </c>
      <c r="I17" s="301" t="s">
        <v>475</v>
      </c>
      <c r="J17" s="367"/>
      <c r="N17" s="299"/>
      <c r="O17" s="299"/>
      <c r="P17" s="299"/>
      <c r="Q17" s="299"/>
      <c r="R17" s="299"/>
      <c r="S17" s="299"/>
      <c r="T17" s="299"/>
      <c r="U17" s="299"/>
    </row>
    <row r="18" spans="2:21" ht="16.5" x14ac:dyDescent="0.2">
      <c r="B18" s="303"/>
      <c r="C18" s="301" t="s">
        <v>476</v>
      </c>
      <c r="D18" s="301" t="s">
        <v>477</v>
      </c>
      <c r="E18" s="301" t="s">
        <v>478</v>
      </c>
      <c r="F18" s="301" t="s">
        <v>479</v>
      </c>
      <c r="G18" s="301" t="s">
        <v>420</v>
      </c>
      <c r="H18" s="301" t="s">
        <v>480</v>
      </c>
      <c r="I18" s="301" t="s">
        <v>481</v>
      </c>
      <c r="J18" s="367"/>
      <c r="N18" s="299"/>
      <c r="O18" s="299"/>
      <c r="P18" s="299"/>
      <c r="Q18" s="299"/>
      <c r="R18" s="299"/>
      <c r="S18" s="299"/>
      <c r="T18" s="299"/>
      <c r="U18" s="299"/>
    </row>
    <row r="19" spans="2:21" ht="28.5" x14ac:dyDescent="0.2">
      <c r="B19" s="303"/>
      <c r="C19" s="301" t="s">
        <v>1010</v>
      </c>
      <c r="D19" s="301" t="s">
        <v>1011</v>
      </c>
      <c r="E19" s="301" t="s">
        <v>1012</v>
      </c>
      <c r="F19" s="301" t="s">
        <v>1013</v>
      </c>
      <c r="G19" s="301" t="s">
        <v>420</v>
      </c>
      <c r="H19" s="301" t="s">
        <v>1014</v>
      </c>
      <c r="I19" s="301" t="s">
        <v>452</v>
      </c>
      <c r="J19" s="367"/>
      <c r="N19" s="299"/>
      <c r="O19" s="299"/>
      <c r="P19" s="299"/>
      <c r="Q19" s="299"/>
      <c r="R19" s="299"/>
      <c r="S19" s="299"/>
      <c r="T19" s="299"/>
      <c r="U19" s="299"/>
    </row>
    <row r="20" spans="2:21" ht="28.5" x14ac:dyDescent="0.2">
      <c r="B20" s="303"/>
      <c r="C20" s="301" t="s">
        <v>1016</v>
      </c>
      <c r="D20" s="301" t="s">
        <v>1017</v>
      </c>
      <c r="E20" s="301" t="s">
        <v>417</v>
      </c>
      <c r="F20" s="301" t="s">
        <v>1018</v>
      </c>
      <c r="G20" s="301" t="s">
        <v>452</v>
      </c>
      <c r="H20" s="301" t="s">
        <v>1019</v>
      </c>
      <c r="I20" s="301" t="s">
        <v>1020</v>
      </c>
      <c r="J20" s="367"/>
      <c r="N20" s="299"/>
      <c r="O20" s="299"/>
      <c r="P20" s="299"/>
      <c r="Q20" s="299"/>
      <c r="R20" s="299"/>
      <c r="S20" s="299"/>
      <c r="T20" s="299"/>
      <c r="U20" s="299"/>
    </row>
    <row r="21" spans="2:21" ht="28.5" x14ac:dyDescent="0.2">
      <c r="B21" s="303"/>
      <c r="C21" s="301" t="s">
        <v>1021</v>
      </c>
      <c r="D21" s="301" t="s">
        <v>1022</v>
      </c>
      <c r="E21" s="301" t="s">
        <v>1023</v>
      </c>
      <c r="F21" s="301" t="s">
        <v>1024</v>
      </c>
      <c r="G21" s="301" t="s">
        <v>1025</v>
      </c>
      <c r="H21" s="301" t="s">
        <v>1026</v>
      </c>
      <c r="I21" s="301" t="s">
        <v>1027</v>
      </c>
      <c r="J21" s="367"/>
      <c r="N21" s="299"/>
      <c r="O21" s="299"/>
      <c r="P21" s="299"/>
      <c r="Q21" s="299"/>
      <c r="R21" s="299"/>
      <c r="S21" s="299"/>
      <c r="T21" s="299"/>
      <c r="U21" s="299"/>
    </row>
    <row r="22" spans="2:21" ht="28.5" x14ac:dyDescent="0.2">
      <c r="B22" s="303"/>
      <c r="C22" s="301" t="s">
        <v>1028</v>
      </c>
      <c r="D22" s="301" t="s">
        <v>1029</v>
      </c>
      <c r="E22" s="301" t="s">
        <v>1030</v>
      </c>
      <c r="F22" s="301" t="s">
        <v>1031</v>
      </c>
      <c r="G22" s="301" t="s">
        <v>418</v>
      </c>
      <c r="H22" s="301" t="s">
        <v>1032</v>
      </c>
      <c r="I22" s="301" t="s">
        <v>1033</v>
      </c>
      <c r="J22" s="367"/>
      <c r="N22" s="299"/>
      <c r="O22" s="299"/>
      <c r="P22" s="299"/>
      <c r="Q22" s="299"/>
      <c r="R22" s="299"/>
      <c r="S22" s="299"/>
      <c r="T22" s="299"/>
      <c r="U22" s="299"/>
    </row>
    <row r="23" spans="2:21" ht="28.5" x14ac:dyDescent="0.2">
      <c r="B23" s="303"/>
      <c r="C23" s="301" t="s">
        <v>1034</v>
      </c>
      <c r="D23" s="301" t="s">
        <v>1035</v>
      </c>
      <c r="E23" s="301" t="s">
        <v>389</v>
      </c>
      <c r="F23" s="301" t="s">
        <v>1036</v>
      </c>
      <c r="G23" s="301" t="s">
        <v>1027</v>
      </c>
      <c r="H23" s="301" t="s">
        <v>1037</v>
      </c>
      <c r="I23" s="301" t="s">
        <v>1038</v>
      </c>
      <c r="J23" s="367"/>
      <c r="N23" s="299"/>
      <c r="O23" s="299"/>
      <c r="P23" s="299"/>
      <c r="Q23" s="299"/>
      <c r="R23" s="299"/>
      <c r="S23" s="299"/>
      <c r="T23" s="299"/>
      <c r="U23" s="299"/>
    </row>
    <row r="24" spans="2:21" ht="16.5" x14ac:dyDescent="0.2">
      <c r="B24" s="303"/>
      <c r="C24" s="301" t="s">
        <v>482</v>
      </c>
      <c r="D24" s="301" t="s">
        <v>483</v>
      </c>
      <c r="E24" s="301" t="s">
        <v>484</v>
      </c>
      <c r="F24" s="301" t="s">
        <v>485</v>
      </c>
      <c r="G24" s="301" t="s">
        <v>420</v>
      </c>
      <c r="H24" s="301" t="s">
        <v>486</v>
      </c>
      <c r="I24" s="301" t="s">
        <v>418</v>
      </c>
      <c r="J24" s="367"/>
      <c r="N24" s="299"/>
      <c r="O24" s="299"/>
      <c r="P24" s="299"/>
      <c r="Q24" s="299"/>
      <c r="R24" s="299"/>
      <c r="S24" s="299"/>
      <c r="T24" s="299"/>
      <c r="U24" s="299"/>
    </row>
    <row r="25" spans="2:21" ht="16.5" x14ac:dyDescent="0.2">
      <c r="B25" s="303"/>
      <c r="C25" s="301" t="s">
        <v>487</v>
      </c>
      <c r="D25" s="301" t="s">
        <v>488</v>
      </c>
      <c r="E25" s="301" t="s">
        <v>489</v>
      </c>
      <c r="F25" s="301" t="s">
        <v>490</v>
      </c>
      <c r="G25" s="301" t="s">
        <v>468</v>
      </c>
      <c r="H25" s="301" t="s">
        <v>491</v>
      </c>
      <c r="I25" s="301" t="s">
        <v>452</v>
      </c>
      <c r="J25" s="367"/>
      <c r="N25" s="299"/>
      <c r="O25" s="299"/>
      <c r="P25" s="299"/>
      <c r="Q25" s="299"/>
      <c r="R25" s="299"/>
      <c r="S25" s="299"/>
      <c r="T25" s="299"/>
      <c r="U25" s="299"/>
    </row>
    <row r="26" spans="2:21" ht="28.5" x14ac:dyDescent="0.2">
      <c r="B26" s="303"/>
      <c r="C26" s="301" t="s">
        <v>493</v>
      </c>
      <c r="D26" s="301" t="s">
        <v>494</v>
      </c>
      <c r="E26" s="301" t="s">
        <v>401</v>
      </c>
      <c r="F26" s="301" t="s">
        <v>495</v>
      </c>
      <c r="G26" s="301" t="s">
        <v>402</v>
      </c>
      <c r="H26" s="301" t="s">
        <v>496</v>
      </c>
      <c r="I26" s="301" t="s">
        <v>402</v>
      </c>
      <c r="J26" s="367" t="s">
        <v>589</v>
      </c>
      <c r="N26" s="299"/>
      <c r="O26" s="299"/>
      <c r="P26" s="299"/>
      <c r="Q26" s="299"/>
      <c r="R26" s="299"/>
      <c r="S26" s="299"/>
      <c r="T26" s="299"/>
      <c r="U26" s="299"/>
    </row>
    <row r="27" spans="2:21" ht="28.5" x14ac:dyDescent="0.2">
      <c r="B27" s="303"/>
      <c r="C27" s="301" t="s">
        <v>497</v>
      </c>
      <c r="D27" s="301" t="s">
        <v>498</v>
      </c>
      <c r="E27" s="301" t="s">
        <v>499</v>
      </c>
      <c r="F27" s="301" t="s">
        <v>500</v>
      </c>
      <c r="G27" s="301" t="s">
        <v>501</v>
      </c>
      <c r="H27" s="301" t="s">
        <v>502</v>
      </c>
      <c r="I27" s="301" t="s">
        <v>503</v>
      </c>
      <c r="J27" s="367"/>
      <c r="N27" s="299"/>
      <c r="O27" s="299"/>
      <c r="P27" s="299"/>
      <c r="Q27" s="299"/>
      <c r="R27" s="299"/>
      <c r="S27" s="299"/>
      <c r="T27" s="299"/>
      <c r="U27" s="299"/>
    </row>
    <row r="28" spans="2:21" ht="28.5" x14ac:dyDescent="0.2">
      <c r="B28" s="303"/>
      <c r="C28" s="301" t="s">
        <v>504</v>
      </c>
      <c r="D28" s="301" t="s">
        <v>505</v>
      </c>
      <c r="E28" s="301" t="s">
        <v>506</v>
      </c>
      <c r="F28" s="301" t="s">
        <v>507</v>
      </c>
      <c r="G28" s="301" t="s">
        <v>508</v>
      </c>
      <c r="H28" s="301" t="s">
        <v>509</v>
      </c>
      <c r="I28" s="301" t="s">
        <v>508</v>
      </c>
      <c r="J28" s="367"/>
      <c r="N28" s="299"/>
      <c r="O28" s="299"/>
      <c r="P28" s="299"/>
      <c r="Q28" s="299"/>
      <c r="R28" s="299"/>
      <c r="S28" s="299"/>
      <c r="T28" s="299"/>
      <c r="U28" s="299"/>
    </row>
    <row r="29" spans="2:21" ht="28.5" x14ac:dyDescent="0.2">
      <c r="B29" s="303"/>
      <c r="C29" s="301" t="s">
        <v>510</v>
      </c>
      <c r="D29" s="301" t="s">
        <v>511</v>
      </c>
      <c r="E29" s="301" t="s">
        <v>512</v>
      </c>
      <c r="F29" s="301" t="s">
        <v>513</v>
      </c>
      <c r="G29" s="301" t="s">
        <v>514</v>
      </c>
      <c r="H29" s="301" t="s">
        <v>515</v>
      </c>
      <c r="I29" s="301" t="s">
        <v>516</v>
      </c>
      <c r="J29" s="367"/>
      <c r="N29" s="299"/>
      <c r="O29" s="299"/>
      <c r="P29" s="299"/>
      <c r="Q29" s="299"/>
      <c r="R29" s="299"/>
      <c r="S29" s="299"/>
      <c r="T29" s="299"/>
      <c r="U29" s="299"/>
    </row>
    <row r="30" spans="2:21" ht="28.5" x14ac:dyDescent="0.2">
      <c r="B30" s="303"/>
      <c r="C30" s="301" t="s">
        <v>517</v>
      </c>
      <c r="D30" s="301" t="s">
        <v>518</v>
      </c>
      <c r="E30" s="301" t="s">
        <v>519</v>
      </c>
      <c r="F30" s="301" t="s">
        <v>520</v>
      </c>
      <c r="G30" s="301" t="s">
        <v>521</v>
      </c>
      <c r="H30" s="301" t="s">
        <v>522</v>
      </c>
      <c r="I30" s="301" t="s">
        <v>523</v>
      </c>
      <c r="J30" s="367"/>
      <c r="N30" s="299"/>
      <c r="O30" s="299"/>
      <c r="P30" s="299"/>
      <c r="Q30" s="299"/>
      <c r="R30" s="299"/>
      <c r="S30" s="299"/>
      <c r="T30" s="299"/>
      <c r="U30" s="299"/>
    </row>
    <row r="31" spans="2:21" ht="28.5" x14ac:dyDescent="0.2">
      <c r="B31" s="303"/>
      <c r="C31" s="301" t="s">
        <v>524</v>
      </c>
      <c r="D31" s="301" t="s">
        <v>525</v>
      </c>
      <c r="E31" s="301" t="s">
        <v>526</v>
      </c>
      <c r="F31" s="301" t="s">
        <v>527</v>
      </c>
      <c r="G31" s="301" t="s">
        <v>508</v>
      </c>
      <c r="H31" s="301" t="s">
        <v>528</v>
      </c>
      <c r="I31" s="301" t="s">
        <v>529</v>
      </c>
      <c r="J31" s="367"/>
      <c r="N31" s="299"/>
      <c r="O31" s="299"/>
      <c r="P31" s="299"/>
      <c r="Q31" s="299"/>
      <c r="R31" s="299"/>
      <c r="S31" s="299"/>
      <c r="T31" s="299"/>
      <c r="U31" s="299"/>
    </row>
    <row r="32" spans="2:21" ht="28.5" x14ac:dyDescent="0.2">
      <c r="B32" s="303"/>
      <c r="C32" s="301" t="s">
        <v>530</v>
      </c>
      <c r="D32" s="301" t="s">
        <v>531</v>
      </c>
      <c r="E32" s="301" t="s">
        <v>532</v>
      </c>
      <c r="F32" s="301" t="s">
        <v>533</v>
      </c>
      <c r="G32" s="301" t="s">
        <v>534</v>
      </c>
      <c r="H32" s="301" t="s">
        <v>535</v>
      </c>
      <c r="I32" s="301" t="s">
        <v>536</v>
      </c>
      <c r="J32" s="367"/>
      <c r="N32" s="299"/>
      <c r="O32" s="299"/>
      <c r="P32" s="299"/>
      <c r="Q32" s="299"/>
      <c r="R32" s="299"/>
      <c r="S32" s="299"/>
      <c r="T32" s="299"/>
      <c r="U32" s="299"/>
    </row>
    <row r="33" spans="2:21" ht="28.5" x14ac:dyDescent="0.2">
      <c r="B33" s="303"/>
      <c r="C33" s="301" t="s">
        <v>537</v>
      </c>
      <c r="D33" s="301" t="s">
        <v>538</v>
      </c>
      <c r="E33" s="301" t="s">
        <v>539</v>
      </c>
      <c r="F33" s="301" t="s">
        <v>540</v>
      </c>
      <c r="G33" s="301" t="s">
        <v>541</v>
      </c>
      <c r="H33" s="301" t="s">
        <v>542</v>
      </c>
      <c r="I33" s="301" t="s">
        <v>543</v>
      </c>
      <c r="J33" s="367"/>
      <c r="N33" s="299"/>
      <c r="O33" s="299"/>
      <c r="P33" s="299"/>
      <c r="Q33" s="299"/>
      <c r="R33" s="299"/>
      <c r="S33" s="299"/>
      <c r="T33" s="299"/>
      <c r="U33" s="299"/>
    </row>
    <row r="34" spans="2:21" ht="16.5" x14ac:dyDescent="0.2">
      <c r="B34" s="303"/>
      <c r="C34" s="301" t="s">
        <v>544</v>
      </c>
      <c r="D34" s="301" t="s">
        <v>545</v>
      </c>
      <c r="E34" s="301" t="s">
        <v>546</v>
      </c>
      <c r="F34" s="301" t="s">
        <v>547</v>
      </c>
      <c r="G34" s="301" t="s">
        <v>548</v>
      </c>
      <c r="H34" s="301" t="s">
        <v>549</v>
      </c>
      <c r="I34" s="301" t="s">
        <v>550</v>
      </c>
      <c r="J34" s="367"/>
      <c r="N34" s="299"/>
      <c r="O34" s="299"/>
      <c r="P34" s="299"/>
      <c r="Q34" s="299"/>
      <c r="R34" s="299"/>
      <c r="S34" s="299"/>
      <c r="T34" s="299"/>
      <c r="U34" s="299"/>
    </row>
    <row r="35" spans="2:21" ht="28.5" x14ac:dyDescent="0.2">
      <c r="B35" s="303"/>
      <c r="C35" s="301" t="s">
        <v>551</v>
      </c>
      <c r="D35" s="301" t="s">
        <v>552</v>
      </c>
      <c r="E35" s="301" t="s">
        <v>553</v>
      </c>
      <c r="F35" s="301" t="s">
        <v>554</v>
      </c>
      <c r="G35" s="301" t="s">
        <v>506</v>
      </c>
      <c r="H35" s="301" t="s">
        <v>555</v>
      </c>
      <c r="I35" s="301" t="s">
        <v>521</v>
      </c>
      <c r="J35" s="367"/>
      <c r="N35" s="299"/>
      <c r="O35" s="299"/>
      <c r="P35" s="299"/>
      <c r="Q35" s="299"/>
      <c r="R35" s="299"/>
      <c r="S35" s="299"/>
      <c r="T35" s="299"/>
      <c r="U35" s="299"/>
    </row>
    <row r="36" spans="2:21" ht="16.5" x14ac:dyDescent="0.2">
      <c r="B36" s="303"/>
      <c r="C36" s="301" t="s">
        <v>556</v>
      </c>
      <c r="D36" s="301" t="s">
        <v>557</v>
      </c>
      <c r="E36" s="301" t="s">
        <v>558</v>
      </c>
      <c r="F36" s="301" t="s">
        <v>559</v>
      </c>
      <c r="G36" s="301" t="s">
        <v>560</v>
      </c>
      <c r="H36" s="301" t="s">
        <v>561</v>
      </c>
      <c r="I36" s="301" t="s">
        <v>562</v>
      </c>
      <c r="J36" s="367"/>
      <c r="L36" s="305"/>
      <c r="M36" s="305"/>
      <c r="N36" s="305"/>
      <c r="O36" s="305"/>
      <c r="P36" s="305"/>
      <c r="Q36" s="305"/>
      <c r="R36" s="305"/>
      <c r="S36" s="305"/>
      <c r="T36" s="299"/>
      <c r="U36" s="299"/>
    </row>
    <row r="37" spans="2:21" ht="16.5" x14ac:dyDescent="0.2">
      <c r="B37" s="303"/>
      <c r="C37" s="301" t="s">
        <v>563</v>
      </c>
      <c r="D37" s="301" t="s">
        <v>564</v>
      </c>
      <c r="E37" s="301" t="s">
        <v>508</v>
      </c>
      <c r="F37" s="301" t="s">
        <v>565</v>
      </c>
      <c r="G37" s="301" t="s">
        <v>566</v>
      </c>
      <c r="H37" s="301" t="s">
        <v>567</v>
      </c>
      <c r="I37" s="301" t="s">
        <v>568</v>
      </c>
      <c r="J37" s="367"/>
      <c r="L37" s="299"/>
      <c r="M37" s="299"/>
      <c r="N37" s="299"/>
      <c r="O37" s="299"/>
      <c r="P37" s="299"/>
      <c r="Q37" s="299"/>
      <c r="R37" s="299"/>
      <c r="S37" s="299"/>
      <c r="T37" s="299"/>
      <c r="U37" s="299"/>
    </row>
    <row r="38" spans="2:21" ht="28.5" x14ac:dyDescent="0.2">
      <c r="B38" s="303"/>
      <c r="C38" s="301" t="s">
        <v>569</v>
      </c>
      <c r="D38" s="301" t="s">
        <v>570</v>
      </c>
      <c r="E38" s="301" t="s">
        <v>571</v>
      </c>
      <c r="F38" s="301" t="s">
        <v>572</v>
      </c>
      <c r="G38" s="301" t="s">
        <v>573</v>
      </c>
      <c r="H38" s="301" t="s">
        <v>574</v>
      </c>
      <c r="I38" s="301" t="s">
        <v>575</v>
      </c>
      <c r="J38" s="367"/>
      <c r="L38" s="299"/>
      <c r="M38" s="299"/>
      <c r="N38" s="299"/>
      <c r="O38" s="299"/>
      <c r="P38" s="299"/>
      <c r="Q38" s="299"/>
      <c r="R38" s="299"/>
      <c r="S38" s="299"/>
      <c r="T38" s="299"/>
      <c r="U38" s="299"/>
    </row>
    <row r="39" spans="2:21" ht="28.5" x14ac:dyDescent="0.2">
      <c r="B39" s="303"/>
      <c r="C39" s="301" t="s">
        <v>576</v>
      </c>
      <c r="D39" s="301" t="s">
        <v>577</v>
      </c>
      <c r="E39" s="301" t="s">
        <v>578</v>
      </c>
      <c r="F39" s="301" t="s">
        <v>579</v>
      </c>
      <c r="G39" s="301" t="s">
        <v>580</v>
      </c>
      <c r="H39" s="301" t="s">
        <v>581</v>
      </c>
      <c r="I39" s="301" t="s">
        <v>582</v>
      </c>
      <c r="J39" s="367"/>
      <c r="L39" s="299"/>
      <c r="M39" s="299"/>
      <c r="N39" s="299"/>
      <c r="O39" s="299"/>
      <c r="P39" s="299"/>
      <c r="Q39" s="299"/>
      <c r="R39" s="299"/>
      <c r="S39" s="299"/>
      <c r="T39" s="299"/>
      <c r="U39" s="299"/>
    </row>
    <row r="40" spans="2:21" ht="28.5" x14ac:dyDescent="0.2">
      <c r="B40" s="303"/>
      <c r="C40" s="301" t="s">
        <v>583</v>
      </c>
      <c r="D40" s="301" t="s">
        <v>584</v>
      </c>
      <c r="E40" s="301" t="s">
        <v>585</v>
      </c>
      <c r="F40" s="301" t="s">
        <v>586</v>
      </c>
      <c r="G40" s="301" t="s">
        <v>534</v>
      </c>
      <c r="H40" s="301" t="s">
        <v>587</v>
      </c>
      <c r="I40" s="301" t="s">
        <v>588</v>
      </c>
      <c r="J40" s="367"/>
      <c r="L40" s="299"/>
      <c r="M40" s="299"/>
      <c r="N40" s="299"/>
      <c r="O40" s="299"/>
      <c r="P40" s="299"/>
      <c r="Q40" s="299"/>
      <c r="R40" s="299"/>
      <c r="S40" s="299"/>
      <c r="T40" s="299"/>
      <c r="U40" s="299"/>
    </row>
    <row r="41" spans="2:21" ht="28.5" x14ac:dyDescent="0.2">
      <c r="B41" s="303"/>
      <c r="C41" s="301" t="s">
        <v>1039</v>
      </c>
      <c r="D41" s="301" t="s">
        <v>1040</v>
      </c>
      <c r="E41" s="301" t="s">
        <v>1041</v>
      </c>
      <c r="F41" s="301" t="s">
        <v>1042</v>
      </c>
      <c r="G41" s="301" t="s">
        <v>1043</v>
      </c>
      <c r="H41" s="301" t="s">
        <v>1044</v>
      </c>
      <c r="I41" s="301" t="s">
        <v>1045</v>
      </c>
      <c r="J41" s="367"/>
      <c r="L41" s="299"/>
      <c r="M41" s="299"/>
      <c r="N41" s="299"/>
      <c r="O41" s="299"/>
      <c r="P41" s="299"/>
      <c r="Q41" s="299"/>
      <c r="R41" s="299"/>
      <c r="S41" s="299"/>
      <c r="T41" s="299"/>
      <c r="U41" s="299"/>
    </row>
    <row r="42" spans="2:21" ht="28.5" x14ac:dyDescent="0.2">
      <c r="B42" s="303"/>
      <c r="C42" s="301" t="s">
        <v>1046</v>
      </c>
      <c r="D42" s="301" t="s">
        <v>1047</v>
      </c>
      <c r="E42" s="301" t="s">
        <v>558</v>
      </c>
      <c r="F42" s="301" t="s">
        <v>1048</v>
      </c>
      <c r="G42" s="301" t="s">
        <v>1049</v>
      </c>
      <c r="H42" s="301" t="s">
        <v>1050</v>
      </c>
      <c r="I42" s="301" t="s">
        <v>1051</v>
      </c>
      <c r="J42" s="367"/>
      <c r="L42" s="299"/>
      <c r="M42" s="299"/>
      <c r="N42" s="299"/>
      <c r="O42" s="299"/>
      <c r="P42" s="299"/>
      <c r="Q42" s="299"/>
      <c r="R42" s="299"/>
      <c r="S42" s="299"/>
      <c r="T42" s="299"/>
      <c r="U42" s="299"/>
    </row>
    <row r="43" spans="2:21" ht="28.5" x14ac:dyDescent="0.2">
      <c r="B43" s="303"/>
      <c r="C43" s="301" t="s">
        <v>1052</v>
      </c>
      <c r="D43" s="301" t="s">
        <v>1053</v>
      </c>
      <c r="E43" s="301" t="s">
        <v>402</v>
      </c>
      <c r="F43" s="301" t="s">
        <v>1054</v>
      </c>
      <c r="G43" s="301" t="s">
        <v>1055</v>
      </c>
      <c r="H43" s="301" t="s">
        <v>1056</v>
      </c>
      <c r="I43" s="301" t="s">
        <v>1057</v>
      </c>
      <c r="J43" s="367"/>
      <c r="L43" s="299"/>
      <c r="M43" s="299"/>
      <c r="N43" s="299"/>
      <c r="O43" s="299"/>
      <c r="P43" s="299"/>
      <c r="Q43" s="299"/>
      <c r="R43" s="299"/>
      <c r="S43" s="299"/>
      <c r="T43" s="299"/>
      <c r="U43" s="299"/>
    </row>
    <row r="44" spans="2:21" ht="28.5" x14ac:dyDescent="0.2">
      <c r="B44" s="303"/>
      <c r="C44" s="301" t="s">
        <v>1058</v>
      </c>
      <c r="D44" s="301" t="s">
        <v>1059</v>
      </c>
      <c r="E44" s="301" t="s">
        <v>1060</v>
      </c>
      <c r="F44" s="301" t="s">
        <v>1061</v>
      </c>
      <c r="G44" s="301" t="s">
        <v>750</v>
      </c>
      <c r="H44" s="301" t="s">
        <v>624</v>
      </c>
      <c r="I44" s="301" t="s">
        <v>750</v>
      </c>
      <c r="J44" s="367"/>
      <c r="L44" s="299"/>
      <c r="M44" s="299"/>
      <c r="N44" s="299"/>
      <c r="O44" s="299"/>
      <c r="P44" s="299"/>
      <c r="Q44" s="299"/>
      <c r="R44" s="299"/>
      <c r="S44" s="299"/>
      <c r="T44" s="299"/>
      <c r="U44" s="299"/>
    </row>
    <row r="45" spans="2:21" ht="28.5" x14ac:dyDescent="0.2">
      <c r="B45" s="303"/>
      <c r="C45" s="301" t="s">
        <v>1062</v>
      </c>
      <c r="D45" s="301" t="s">
        <v>1063</v>
      </c>
      <c r="E45" s="301" t="s">
        <v>1064</v>
      </c>
      <c r="F45" s="301" t="s">
        <v>1065</v>
      </c>
      <c r="G45" s="301" t="s">
        <v>985</v>
      </c>
      <c r="H45" s="301" t="s">
        <v>1066</v>
      </c>
      <c r="I45" s="301" t="s">
        <v>1067</v>
      </c>
      <c r="J45" s="367"/>
      <c r="L45" s="299"/>
      <c r="M45" s="299"/>
      <c r="N45" s="299"/>
      <c r="O45" s="299"/>
      <c r="P45" s="299"/>
      <c r="Q45" s="299"/>
      <c r="R45" s="299"/>
      <c r="S45" s="299"/>
      <c r="T45" s="299"/>
      <c r="U45" s="299"/>
    </row>
    <row r="46" spans="2:21" ht="28.5" x14ac:dyDescent="0.2">
      <c r="B46" s="303"/>
      <c r="C46" s="301" t="s">
        <v>394</v>
      </c>
      <c r="D46" s="301" t="s">
        <v>590</v>
      </c>
      <c r="E46" s="301" t="s">
        <v>591</v>
      </c>
      <c r="F46" s="301" t="s">
        <v>592</v>
      </c>
      <c r="G46" s="301" t="s">
        <v>395</v>
      </c>
      <c r="H46" s="301" t="s">
        <v>593</v>
      </c>
      <c r="I46" s="301" t="s">
        <v>396</v>
      </c>
      <c r="J46" s="367" t="s">
        <v>682</v>
      </c>
      <c r="L46" s="299"/>
      <c r="M46" s="299"/>
      <c r="N46" s="299"/>
      <c r="O46" s="299"/>
      <c r="P46" s="299"/>
      <c r="Q46" s="299"/>
      <c r="R46" s="299"/>
      <c r="S46" s="299"/>
      <c r="T46" s="299"/>
      <c r="U46" s="299"/>
    </row>
    <row r="47" spans="2:21" ht="28.5" x14ac:dyDescent="0.2">
      <c r="B47" s="303"/>
      <c r="C47" s="301" t="s">
        <v>594</v>
      </c>
      <c r="D47" s="301" t="s">
        <v>595</v>
      </c>
      <c r="E47" s="301" t="s">
        <v>596</v>
      </c>
      <c r="F47" s="301" t="s">
        <v>597</v>
      </c>
      <c r="G47" s="301" t="s">
        <v>598</v>
      </c>
      <c r="H47" s="301" t="s">
        <v>599</v>
      </c>
      <c r="I47" s="301" t="s">
        <v>600</v>
      </c>
      <c r="J47" s="367"/>
      <c r="L47" s="299"/>
      <c r="M47" s="299"/>
      <c r="N47" s="299"/>
      <c r="O47" s="299"/>
      <c r="P47" s="299"/>
      <c r="Q47" s="299"/>
      <c r="R47" s="299"/>
      <c r="S47" s="299"/>
      <c r="T47" s="299"/>
      <c r="U47" s="299"/>
    </row>
    <row r="48" spans="2:21" ht="28.5" x14ac:dyDescent="0.2">
      <c r="B48" s="303"/>
      <c r="C48" s="301" t="s">
        <v>601</v>
      </c>
      <c r="D48" s="301" t="s">
        <v>602</v>
      </c>
      <c r="E48" s="301" t="s">
        <v>397</v>
      </c>
      <c r="F48" s="301" t="s">
        <v>603</v>
      </c>
      <c r="G48" s="301" t="s">
        <v>398</v>
      </c>
      <c r="H48" s="301" t="s">
        <v>604</v>
      </c>
      <c r="I48" s="301" t="s">
        <v>398</v>
      </c>
      <c r="J48" s="367"/>
      <c r="L48" s="299"/>
      <c r="M48" s="299"/>
      <c r="N48" s="299"/>
      <c r="O48" s="299"/>
      <c r="P48" s="299"/>
      <c r="Q48" s="299"/>
      <c r="R48" s="299"/>
      <c r="S48" s="299"/>
      <c r="T48" s="299"/>
      <c r="U48" s="299"/>
    </row>
    <row r="49" spans="2:21" ht="28.5" x14ac:dyDescent="0.2">
      <c r="B49" s="303"/>
      <c r="C49" s="301" t="s">
        <v>605</v>
      </c>
      <c r="D49" s="301" t="s">
        <v>606</v>
      </c>
      <c r="E49" s="301" t="s">
        <v>607</v>
      </c>
      <c r="F49" s="301" t="s">
        <v>608</v>
      </c>
      <c r="G49" s="301" t="s">
        <v>609</v>
      </c>
      <c r="H49" s="301" t="s">
        <v>610</v>
      </c>
      <c r="I49" s="301" t="s">
        <v>611</v>
      </c>
      <c r="J49" s="367"/>
      <c r="L49" s="299"/>
      <c r="M49" s="299"/>
      <c r="N49" s="299"/>
      <c r="O49" s="299"/>
      <c r="P49" s="299"/>
      <c r="Q49" s="299"/>
      <c r="R49" s="299"/>
      <c r="S49" s="299"/>
      <c r="T49" s="299"/>
      <c r="U49" s="299"/>
    </row>
    <row r="50" spans="2:21" ht="28.5" x14ac:dyDescent="0.2">
      <c r="B50" s="303"/>
      <c r="C50" s="301" t="s">
        <v>612</v>
      </c>
      <c r="D50" s="301" t="s">
        <v>613</v>
      </c>
      <c r="E50" s="301" t="s">
        <v>614</v>
      </c>
      <c r="F50" s="301" t="s">
        <v>615</v>
      </c>
      <c r="G50" s="301" t="s">
        <v>616</v>
      </c>
      <c r="H50" s="301" t="s">
        <v>617</v>
      </c>
      <c r="I50" s="301" t="s">
        <v>618</v>
      </c>
      <c r="J50" s="367"/>
      <c r="L50" s="299"/>
      <c r="M50" s="299"/>
      <c r="N50" s="299"/>
      <c r="O50" s="299"/>
      <c r="P50" s="299"/>
      <c r="Q50" s="299"/>
      <c r="R50" s="299"/>
      <c r="S50" s="299"/>
      <c r="T50" s="299"/>
      <c r="U50" s="299"/>
    </row>
    <row r="51" spans="2:21" ht="28.5" x14ac:dyDescent="0.2">
      <c r="B51" s="303"/>
      <c r="C51" s="301" t="s">
        <v>619</v>
      </c>
      <c r="D51" s="301" t="s">
        <v>620</v>
      </c>
      <c r="E51" s="301" t="s">
        <v>621</v>
      </c>
      <c r="F51" s="301" t="s">
        <v>622</v>
      </c>
      <c r="G51" s="301" t="s">
        <v>623</v>
      </c>
      <c r="H51" s="301" t="s">
        <v>624</v>
      </c>
      <c r="I51" s="301" t="s">
        <v>625</v>
      </c>
      <c r="J51" s="367"/>
      <c r="L51" s="299"/>
      <c r="M51" s="299"/>
      <c r="N51" s="299"/>
      <c r="O51" s="299"/>
      <c r="P51" s="299"/>
      <c r="Q51" s="299"/>
      <c r="R51" s="299"/>
      <c r="S51" s="299"/>
      <c r="T51" s="299"/>
      <c r="U51" s="299"/>
    </row>
    <row r="52" spans="2:21" ht="28.5" x14ac:dyDescent="0.2">
      <c r="B52" s="303"/>
      <c r="C52" s="301" t="s">
        <v>626</v>
      </c>
      <c r="D52" s="301" t="s">
        <v>627</v>
      </c>
      <c r="E52" s="301" t="s">
        <v>628</v>
      </c>
      <c r="F52" s="301" t="s">
        <v>629</v>
      </c>
      <c r="G52" s="301" t="s">
        <v>553</v>
      </c>
      <c r="H52" s="301" t="s">
        <v>630</v>
      </c>
      <c r="I52" s="301" t="s">
        <v>631</v>
      </c>
      <c r="J52" s="367"/>
      <c r="L52" s="299"/>
      <c r="M52" s="299"/>
      <c r="N52" s="299"/>
      <c r="O52" s="299"/>
      <c r="P52" s="299"/>
      <c r="Q52" s="299"/>
      <c r="R52" s="299"/>
      <c r="S52" s="299"/>
      <c r="T52" s="299"/>
      <c r="U52" s="299"/>
    </row>
    <row r="53" spans="2:21" ht="28.5" x14ac:dyDescent="0.2">
      <c r="B53" s="303"/>
      <c r="C53" s="301" t="s">
        <v>632</v>
      </c>
      <c r="D53" s="301" t="s">
        <v>633</v>
      </c>
      <c r="E53" s="301" t="s">
        <v>634</v>
      </c>
      <c r="F53" s="301" t="s">
        <v>635</v>
      </c>
      <c r="G53" s="301" t="s">
        <v>636</v>
      </c>
      <c r="H53" s="301" t="s">
        <v>637</v>
      </c>
      <c r="I53" s="301" t="s">
        <v>638</v>
      </c>
      <c r="J53" s="367"/>
      <c r="L53" s="299"/>
      <c r="M53" s="299"/>
      <c r="N53" s="299"/>
      <c r="O53" s="299"/>
      <c r="P53" s="299"/>
      <c r="Q53" s="299"/>
      <c r="R53" s="299"/>
      <c r="S53" s="299"/>
      <c r="T53" s="299"/>
      <c r="U53" s="299"/>
    </row>
    <row r="54" spans="2:21" ht="28.5" x14ac:dyDescent="0.2">
      <c r="B54" s="303"/>
      <c r="C54" s="301" t="s">
        <v>639</v>
      </c>
      <c r="D54" s="301" t="s">
        <v>640</v>
      </c>
      <c r="E54" s="301" t="s">
        <v>641</v>
      </c>
      <c r="F54" s="301" t="s">
        <v>642</v>
      </c>
      <c r="G54" s="301" t="s">
        <v>643</v>
      </c>
      <c r="H54" s="301" t="s">
        <v>644</v>
      </c>
      <c r="I54" s="301" t="s">
        <v>607</v>
      </c>
      <c r="J54" s="367"/>
      <c r="L54" s="299"/>
      <c r="M54" s="299"/>
      <c r="N54" s="299"/>
      <c r="O54" s="299"/>
      <c r="P54" s="299"/>
      <c r="Q54" s="299"/>
      <c r="R54" s="299"/>
      <c r="S54" s="299"/>
      <c r="T54" s="299"/>
      <c r="U54" s="299"/>
    </row>
    <row r="55" spans="2:21" ht="28.5" x14ac:dyDescent="0.2">
      <c r="B55" s="303"/>
      <c r="C55" s="301" t="s">
        <v>645</v>
      </c>
      <c r="D55" s="301" t="s">
        <v>646</v>
      </c>
      <c r="E55" s="301" t="s">
        <v>647</v>
      </c>
      <c r="F55" s="301" t="s">
        <v>648</v>
      </c>
      <c r="G55" s="301" t="s">
        <v>614</v>
      </c>
      <c r="H55" s="301" t="s">
        <v>649</v>
      </c>
      <c r="I55" s="301" t="s">
        <v>650</v>
      </c>
      <c r="J55" s="367"/>
      <c r="L55" s="299"/>
      <c r="M55" s="299"/>
      <c r="N55" s="299"/>
      <c r="O55" s="299"/>
      <c r="P55" s="299"/>
      <c r="Q55" s="299"/>
      <c r="R55" s="299"/>
      <c r="S55" s="299"/>
      <c r="T55" s="299"/>
      <c r="U55" s="299"/>
    </row>
    <row r="56" spans="2:21" ht="28.5" x14ac:dyDescent="0.2">
      <c r="B56" s="303"/>
      <c r="C56" s="301" t="s">
        <v>651</v>
      </c>
      <c r="D56" s="301" t="s">
        <v>652</v>
      </c>
      <c r="E56" s="301" t="s">
        <v>653</v>
      </c>
      <c r="F56" s="301" t="s">
        <v>654</v>
      </c>
      <c r="G56" s="301" t="s">
        <v>623</v>
      </c>
      <c r="H56" s="301" t="s">
        <v>655</v>
      </c>
      <c r="I56" s="301" t="s">
        <v>623</v>
      </c>
      <c r="J56" s="367"/>
      <c r="L56" s="299"/>
      <c r="M56" s="299"/>
      <c r="N56" s="299"/>
      <c r="O56" s="299"/>
      <c r="P56" s="299"/>
      <c r="Q56" s="299"/>
      <c r="R56" s="299"/>
      <c r="S56" s="299"/>
      <c r="T56" s="299"/>
      <c r="U56" s="299"/>
    </row>
    <row r="57" spans="2:21" ht="28.5" x14ac:dyDescent="0.2">
      <c r="B57" s="303"/>
      <c r="C57" s="301" t="s">
        <v>656</v>
      </c>
      <c r="D57" s="301" t="s">
        <v>657</v>
      </c>
      <c r="E57" s="301" t="s">
        <v>658</v>
      </c>
      <c r="F57" s="301" t="s">
        <v>659</v>
      </c>
      <c r="G57" s="301" t="s">
        <v>660</v>
      </c>
      <c r="H57" s="301" t="s">
        <v>661</v>
      </c>
      <c r="I57" s="301" t="s">
        <v>662</v>
      </c>
      <c r="J57" s="367"/>
      <c r="L57" s="299"/>
      <c r="M57" s="299"/>
      <c r="N57" s="299"/>
      <c r="O57" s="299"/>
      <c r="P57" s="299"/>
      <c r="Q57" s="299"/>
      <c r="R57" s="299"/>
      <c r="S57" s="299"/>
      <c r="T57" s="299"/>
      <c r="U57" s="299"/>
    </row>
    <row r="58" spans="2:21" ht="28.5" x14ac:dyDescent="0.2">
      <c r="B58" s="303"/>
      <c r="C58" s="301" t="s">
        <v>663</v>
      </c>
      <c r="D58" s="301" t="s">
        <v>664</v>
      </c>
      <c r="E58" s="301" t="s">
        <v>665</v>
      </c>
      <c r="F58" s="301" t="s">
        <v>666</v>
      </c>
      <c r="G58" s="301" t="s">
        <v>667</v>
      </c>
      <c r="H58" s="301" t="s">
        <v>668</v>
      </c>
      <c r="I58" s="301" t="s">
        <v>669</v>
      </c>
      <c r="J58" s="367"/>
      <c r="L58" s="299"/>
      <c r="M58" s="299"/>
      <c r="N58" s="299"/>
      <c r="O58" s="299"/>
      <c r="P58" s="299"/>
      <c r="Q58" s="299"/>
      <c r="R58" s="299"/>
      <c r="S58" s="299"/>
      <c r="T58" s="299"/>
      <c r="U58" s="299"/>
    </row>
    <row r="59" spans="2:21" ht="28.5" x14ac:dyDescent="0.2">
      <c r="B59" s="303"/>
      <c r="C59" s="301" t="s">
        <v>670</v>
      </c>
      <c r="D59" s="301" t="s">
        <v>671</v>
      </c>
      <c r="E59" s="301" t="s">
        <v>672</v>
      </c>
      <c r="F59" s="301" t="s">
        <v>673</v>
      </c>
      <c r="G59" s="301" t="s">
        <v>667</v>
      </c>
      <c r="H59" s="301" t="s">
        <v>674</v>
      </c>
      <c r="I59" s="301" t="s">
        <v>675</v>
      </c>
      <c r="J59" s="367"/>
      <c r="L59" s="299"/>
      <c r="M59" s="299"/>
      <c r="N59" s="299"/>
      <c r="O59" s="299"/>
      <c r="P59" s="299"/>
      <c r="Q59" s="299"/>
      <c r="R59" s="299"/>
      <c r="S59" s="299"/>
      <c r="T59" s="299"/>
      <c r="U59" s="299"/>
    </row>
    <row r="60" spans="2:21" ht="28.5" x14ac:dyDescent="0.2">
      <c r="B60" s="303"/>
      <c r="C60" s="301" t="s">
        <v>1068</v>
      </c>
      <c r="D60" s="301" t="s">
        <v>1069</v>
      </c>
      <c r="E60" s="301" t="s">
        <v>1070</v>
      </c>
      <c r="F60" s="301" t="s">
        <v>1071</v>
      </c>
      <c r="G60" s="301" t="s">
        <v>761</v>
      </c>
      <c r="H60" s="301" t="s">
        <v>617</v>
      </c>
      <c r="I60" s="301" t="s">
        <v>609</v>
      </c>
      <c r="J60" s="367"/>
      <c r="L60" s="299"/>
      <c r="M60" s="299"/>
      <c r="N60" s="299"/>
      <c r="O60" s="299"/>
      <c r="P60" s="299"/>
      <c r="Q60" s="299"/>
      <c r="R60" s="299"/>
      <c r="S60" s="299"/>
      <c r="T60" s="299"/>
      <c r="U60" s="299"/>
    </row>
    <row r="61" spans="2:21" ht="28.5" x14ac:dyDescent="0.2">
      <c r="B61" s="303"/>
      <c r="C61" s="301" t="s">
        <v>1072</v>
      </c>
      <c r="D61" s="301" t="s">
        <v>1073</v>
      </c>
      <c r="E61" s="301" t="s">
        <v>1074</v>
      </c>
      <c r="F61" s="301" t="s">
        <v>1075</v>
      </c>
      <c r="G61" s="301" t="s">
        <v>398</v>
      </c>
      <c r="H61" s="301" t="s">
        <v>1076</v>
      </c>
      <c r="I61" s="301" t="s">
        <v>398</v>
      </c>
      <c r="J61" s="367"/>
      <c r="L61" s="299"/>
      <c r="M61" s="299"/>
      <c r="N61" s="299"/>
      <c r="O61" s="299"/>
      <c r="P61" s="299"/>
      <c r="Q61" s="299"/>
      <c r="R61" s="299"/>
      <c r="S61" s="299"/>
      <c r="T61" s="299"/>
      <c r="U61" s="299"/>
    </row>
    <row r="62" spans="2:21" ht="28.5" x14ac:dyDescent="0.2">
      <c r="B62" s="303"/>
      <c r="C62" s="301" t="s">
        <v>1077</v>
      </c>
      <c r="D62" s="301" t="s">
        <v>1078</v>
      </c>
      <c r="E62" s="301" t="s">
        <v>1079</v>
      </c>
      <c r="F62" s="301" t="s">
        <v>1080</v>
      </c>
      <c r="G62" s="301" t="s">
        <v>1081</v>
      </c>
      <c r="H62" s="301" t="s">
        <v>1082</v>
      </c>
      <c r="I62" s="301" t="s">
        <v>1083</v>
      </c>
      <c r="J62" s="367"/>
      <c r="L62" s="299"/>
      <c r="M62" s="299"/>
      <c r="N62" s="299"/>
      <c r="O62" s="299"/>
      <c r="P62" s="299"/>
      <c r="Q62" s="299"/>
      <c r="R62" s="299"/>
      <c r="S62" s="299"/>
      <c r="T62" s="299"/>
      <c r="U62" s="299"/>
    </row>
    <row r="63" spans="2:21" ht="28.5" x14ac:dyDescent="0.2">
      <c r="B63" s="303"/>
      <c r="C63" s="301" t="s">
        <v>1084</v>
      </c>
      <c r="D63" s="301" t="s">
        <v>1085</v>
      </c>
      <c r="E63" s="301" t="s">
        <v>1086</v>
      </c>
      <c r="F63" s="301" t="s">
        <v>1087</v>
      </c>
      <c r="G63" s="301" t="s">
        <v>810</v>
      </c>
      <c r="H63" s="301" t="s">
        <v>1088</v>
      </c>
      <c r="I63" s="301" t="s">
        <v>1089</v>
      </c>
      <c r="J63" s="367"/>
      <c r="L63" s="299"/>
      <c r="M63" s="299"/>
      <c r="N63" s="299"/>
      <c r="O63" s="299"/>
      <c r="P63" s="299"/>
      <c r="Q63" s="299"/>
      <c r="R63" s="299"/>
      <c r="S63" s="299"/>
      <c r="T63" s="299"/>
      <c r="U63" s="299"/>
    </row>
    <row r="64" spans="2:21" ht="28.5" x14ac:dyDescent="0.2">
      <c r="B64" s="303"/>
      <c r="C64" s="301" t="s">
        <v>1090</v>
      </c>
      <c r="D64" s="301" t="s">
        <v>1091</v>
      </c>
      <c r="E64" s="301" t="s">
        <v>742</v>
      </c>
      <c r="F64" s="301" t="s">
        <v>1092</v>
      </c>
      <c r="G64" s="301" t="s">
        <v>744</v>
      </c>
      <c r="H64" s="301" t="s">
        <v>1093</v>
      </c>
      <c r="I64" s="301" t="s">
        <v>746</v>
      </c>
      <c r="J64" s="367"/>
      <c r="L64" s="299"/>
      <c r="M64" s="299"/>
      <c r="N64" s="299"/>
      <c r="O64" s="299"/>
      <c r="P64" s="299"/>
      <c r="Q64" s="299"/>
      <c r="R64" s="299"/>
      <c r="S64" s="299"/>
      <c r="T64" s="299"/>
      <c r="U64" s="299"/>
    </row>
    <row r="65" spans="2:21" ht="28.5" x14ac:dyDescent="0.2">
      <c r="B65" s="303"/>
      <c r="C65" s="301" t="s">
        <v>676</v>
      </c>
      <c r="D65" s="301" t="s">
        <v>677</v>
      </c>
      <c r="E65" s="301" t="s">
        <v>678</v>
      </c>
      <c r="F65" s="301" t="s">
        <v>679</v>
      </c>
      <c r="G65" s="304">
        <v>0.02</v>
      </c>
      <c r="H65" s="301" t="s">
        <v>680</v>
      </c>
      <c r="I65" s="301" t="s">
        <v>681</v>
      </c>
      <c r="J65" s="367"/>
      <c r="L65" s="299"/>
      <c r="M65" s="299"/>
      <c r="N65" s="299"/>
      <c r="O65" s="299"/>
      <c r="P65" s="299"/>
      <c r="Q65" s="299"/>
      <c r="R65" s="299"/>
      <c r="S65" s="299"/>
      <c r="T65" s="299"/>
      <c r="U65" s="299"/>
    </row>
    <row r="66" spans="2:21" ht="28.5" x14ac:dyDescent="0.2">
      <c r="B66" s="303"/>
      <c r="C66" s="301" t="s">
        <v>683</v>
      </c>
      <c r="D66" s="301" t="s">
        <v>684</v>
      </c>
      <c r="E66" s="301" t="s">
        <v>685</v>
      </c>
      <c r="F66" s="301" t="s">
        <v>686</v>
      </c>
      <c r="G66" s="301" t="s">
        <v>687</v>
      </c>
      <c r="H66" s="301" t="s">
        <v>688</v>
      </c>
      <c r="I66" s="301" t="s">
        <v>689</v>
      </c>
      <c r="J66" s="367" t="s">
        <v>853</v>
      </c>
      <c r="L66" s="299"/>
      <c r="M66" s="299"/>
      <c r="N66" s="299"/>
      <c r="O66" s="299"/>
      <c r="P66" s="299"/>
      <c r="Q66" s="299"/>
      <c r="R66" s="299"/>
      <c r="S66" s="299"/>
      <c r="T66" s="299"/>
      <c r="U66" s="299"/>
    </row>
    <row r="67" spans="2:21" ht="28.5" x14ac:dyDescent="0.2">
      <c r="B67" s="303"/>
      <c r="C67" s="301" t="s">
        <v>690</v>
      </c>
      <c r="D67" s="301" t="s">
        <v>691</v>
      </c>
      <c r="E67" s="301" t="s">
        <v>692</v>
      </c>
      <c r="F67" s="301" t="s">
        <v>693</v>
      </c>
      <c r="G67" s="301" t="s">
        <v>403</v>
      </c>
      <c r="H67" s="301" t="s">
        <v>694</v>
      </c>
      <c r="I67" s="301" t="s">
        <v>403</v>
      </c>
      <c r="J67" s="367"/>
      <c r="L67" s="299"/>
      <c r="M67" s="299"/>
      <c r="N67" s="299"/>
      <c r="O67" s="299"/>
      <c r="P67" s="299"/>
      <c r="Q67" s="299"/>
      <c r="R67" s="299"/>
      <c r="S67" s="299"/>
      <c r="T67" s="299"/>
      <c r="U67" s="299"/>
    </row>
    <row r="68" spans="2:21" ht="28.5" x14ac:dyDescent="0.2">
      <c r="B68" s="303"/>
      <c r="C68" s="301" t="s">
        <v>695</v>
      </c>
      <c r="D68" s="301" t="s">
        <v>696</v>
      </c>
      <c r="E68" s="301" t="s">
        <v>697</v>
      </c>
      <c r="F68" s="301" t="s">
        <v>698</v>
      </c>
      <c r="G68" s="301" t="s">
        <v>575</v>
      </c>
      <c r="H68" s="301" t="s">
        <v>699</v>
      </c>
      <c r="I68" s="301" t="s">
        <v>700</v>
      </c>
      <c r="J68" s="367"/>
      <c r="L68" s="299"/>
      <c r="M68" s="299"/>
      <c r="N68" s="299"/>
      <c r="O68" s="299"/>
      <c r="P68" s="299"/>
      <c r="Q68" s="299"/>
      <c r="R68" s="299"/>
      <c r="S68" s="299"/>
      <c r="T68" s="299"/>
      <c r="U68" s="299"/>
    </row>
    <row r="69" spans="2:21" ht="28.5" x14ac:dyDescent="0.2">
      <c r="B69" s="303"/>
      <c r="C69" s="301" t="s">
        <v>701</v>
      </c>
      <c r="D69" s="301" t="s">
        <v>702</v>
      </c>
      <c r="E69" s="301" t="s">
        <v>703</v>
      </c>
      <c r="F69" s="301" t="s">
        <v>704</v>
      </c>
      <c r="G69" s="301" t="s">
        <v>398</v>
      </c>
      <c r="H69" s="301" t="s">
        <v>705</v>
      </c>
      <c r="I69" s="301" t="s">
        <v>625</v>
      </c>
      <c r="J69" s="367"/>
      <c r="L69" s="299"/>
      <c r="M69" s="299"/>
      <c r="N69" s="299"/>
      <c r="O69" s="299"/>
      <c r="P69" s="299"/>
      <c r="Q69" s="299"/>
      <c r="R69" s="299"/>
      <c r="S69" s="299"/>
      <c r="T69" s="299"/>
      <c r="U69" s="299"/>
    </row>
    <row r="70" spans="2:21" ht="28.5" x14ac:dyDescent="0.2">
      <c r="B70" s="303"/>
      <c r="C70" s="301" t="s">
        <v>706</v>
      </c>
      <c r="D70" s="301" t="s">
        <v>707</v>
      </c>
      <c r="E70" s="301" t="s">
        <v>616</v>
      </c>
      <c r="F70" s="301" t="s">
        <v>708</v>
      </c>
      <c r="G70" s="301" t="s">
        <v>553</v>
      </c>
      <c r="H70" s="301" t="s">
        <v>630</v>
      </c>
      <c r="I70" s="301" t="s">
        <v>631</v>
      </c>
      <c r="J70" s="367"/>
      <c r="L70" s="299"/>
      <c r="M70" s="299"/>
      <c r="N70" s="299"/>
      <c r="O70" s="299"/>
      <c r="P70" s="299"/>
      <c r="Q70" s="299"/>
      <c r="R70" s="299"/>
      <c r="S70" s="299"/>
      <c r="T70" s="299"/>
      <c r="U70" s="299"/>
    </row>
    <row r="71" spans="2:21" ht="28.5" x14ac:dyDescent="0.2">
      <c r="B71" s="303"/>
      <c r="C71" s="301" t="s">
        <v>709</v>
      </c>
      <c r="D71" s="301" t="s">
        <v>710</v>
      </c>
      <c r="E71" s="301" t="s">
        <v>711</v>
      </c>
      <c r="F71" s="301" t="s">
        <v>712</v>
      </c>
      <c r="G71" s="301" t="s">
        <v>713</v>
      </c>
      <c r="H71" s="301" t="s">
        <v>714</v>
      </c>
      <c r="I71" s="301" t="s">
        <v>713</v>
      </c>
      <c r="J71" s="367"/>
      <c r="L71" s="299"/>
      <c r="M71" s="299"/>
      <c r="N71" s="299"/>
      <c r="O71" s="299"/>
      <c r="P71" s="299"/>
      <c r="Q71" s="299"/>
      <c r="R71" s="299"/>
      <c r="S71" s="299"/>
      <c r="T71" s="299"/>
      <c r="U71" s="299"/>
    </row>
    <row r="72" spans="2:21" ht="28.5" x14ac:dyDescent="0.2">
      <c r="B72" s="303"/>
      <c r="C72" s="301" t="s">
        <v>715</v>
      </c>
      <c r="D72" s="301" t="s">
        <v>716</v>
      </c>
      <c r="E72" s="301" t="s">
        <v>717</v>
      </c>
      <c r="F72" s="301" t="s">
        <v>718</v>
      </c>
      <c r="G72" s="301" t="s">
        <v>719</v>
      </c>
      <c r="H72" s="301" t="s">
        <v>720</v>
      </c>
      <c r="I72" s="301" t="s">
        <v>598</v>
      </c>
      <c r="J72" s="367"/>
      <c r="L72" s="299"/>
      <c r="M72" s="299"/>
      <c r="N72" s="299"/>
      <c r="O72" s="299"/>
      <c r="P72" s="299"/>
      <c r="Q72" s="299"/>
      <c r="R72" s="299"/>
      <c r="S72" s="299"/>
      <c r="T72" s="299"/>
      <c r="U72" s="299"/>
    </row>
    <row r="73" spans="2:21" ht="28.5" x14ac:dyDescent="0.2">
      <c r="B73" s="303"/>
      <c r="C73" s="301" t="s">
        <v>721</v>
      </c>
      <c r="D73" s="301" t="s">
        <v>722</v>
      </c>
      <c r="E73" s="301" t="s">
        <v>723</v>
      </c>
      <c r="F73" s="301" t="s">
        <v>724</v>
      </c>
      <c r="G73" s="301" t="s">
        <v>725</v>
      </c>
      <c r="H73" s="301" t="s">
        <v>726</v>
      </c>
      <c r="I73" s="301" t="s">
        <v>727</v>
      </c>
      <c r="J73" s="367"/>
      <c r="L73" s="299"/>
      <c r="M73" s="299"/>
      <c r="N73" s="299"/>
      <c r="O73" s="299"/>
      <c r="P73" s="299"/>
      <c r="Q73" s="299"/>
      <c r="R73" s="299"/>
      <c r="S73" s="299"/>
      <c r="T73" s="299"/>
      <c r="U73" s="299"/>
    </row>
    <row r="74" spans="2:21" ht="28.5" x14ac:dyDescent="0.2">
      <c r="B74" s="303"/>
      <c r="C74" s="301" t="s">
        <v>728</v>
      </c>
      <c r="D74" s="301" t="s">
        <v>729</v>
      </c>
      <c r="E74" s="301" t="s">
        <v>631</v>
      </c>
      <c r="F74" s="301" t="s">
        <v>730</v>
      </c>
      <c r="G74" s="301" t="s">
        <v>521</v>
      </c>
      <c r="H74" s="301" t="s">
        <v>731</v>
      </c>
      <c r="I74" s="301" t="s">
        <v>732</v>
      </c>
      <c r="J74" s="367"/>
      <c r="L74" s="299"/>
      <c r="M74" s="299"/>
      <c r="N74" s="299"/>
      <c r="O74" s="299"/>
      <c r="P74" s="299"/>
      <c r="Q74" s="299"/>
      <c r="R74" s="299"/>
      <c r="S74" s="299"/>
      <c r="T74" s="299"/>
      <c r="U74" s="299"/>
    </row>
    <row r="75" spans="2:21" ht="28.5" x14ac:dyDescent="0.2">
      <c r="B75" s="303"/>
      <c r="C75" s="301" t="s">
        <v>733</v>
      </c>
      <c r="D75" s="301" t="s">
        <v>734</v>
      </c>
      <c r="E75" s="301" t="s">
        <v>735</v>
      </c>
      <c r="F75" s="301" t="s">
        <v>736</v>
      </c>
      <c r="G75" s="301" t="s">
        <v>737</v>
      </c>
      <c r="H75" s="301" t="s">
        <v>738</v>
      </c>
      <c r="I75" s="301" t="s">
        <v>739</v>
      </c>
      <c r="J75" s="367"/>
      <c r="L75" s="299"/>
      <c r="M75" s="299"/>
      <c r="N75" s="299"/>
      <c r="O75" s="299"/>
      <c r="P75" s="299"/>
      <c r="Q75" s="299"/>
      <c r="R75" s="299"/>
      <c r="S75" s="299"/>
      <c r="T75" s="299"/>
      <c r="U75" s="299"/>
    </row>
    <row r="76" spans="2:21" ht="28.5" x14ac:dyDescent="0.2">
      <c r="B76" s="303"/>
      <c r="C76" s="301" t="s">
        <v>740</v>
      </c>
      <c r="D76" s="301" t="s">
        <v>741</v>
      </c>
      <c r="E76" s="301" t="s">
        <v>742</v>
      </c>
      <c r="F76" s="301" t="s">
        <v>743</v>
      </c>
      <c r="G76" s="301" t="s">
        <v>744</v>
      </c>
      <c r="H76" s="301" t="s">
        <v>745</v>
      </c>
      <c r="I76" s="301" t="s">
        <v>746</v>
      </c>
      <c r="J76" s="367"/>
      <c r="L76" s="299"/>
      <c r="M76" s="299"/>
      <c r="N76" s="299"/>
      <c r="O76" s="299"/>
      <c r="P76" s="299"/>
      <c r="Q76" s="299"/>
      <c r="R76" s="299"/>
      <c r="S76" s="299"/>
      <c r="T76" s="299"/>
      <c r="U76" s="299"/>
    </row>
    <row r="77" spans="2:21" ht="28.5" x14ac:dyDescent="0.2">
      <c r="B77" s="303"/>
      <c r="C77" s="301" t="s">
        <v>747</v>
      </c>
      <c r="D77" s="301" t="s">
        <v>748</v>
      </c>
      <c r="E77" s="301" t="s">
        <v>744</v>
      </c>
      <c r="F77" s="301" t="s">
        <v>749</v>
      </c>
      <c r="G77" s="301" t="s">
        <v>750</v>
      </c>
      <c r="H77" s="301" t="s">
        <v>751</v>
      </c>
      <c r="I77" s="301" t="s">
        <v>687</v>
      </c>
      <c r="J77" s="367"/>
      <c r="L77" s="299"/>
      <c r="M77" s="299"/>
      <c r="N77" s="299"/>
      <c r="O77" s="299"/>
      <c r="P77" s="299"/>
      <c r="Q77" s="299"/>
      <c r="R77" s="299"/>
      <c r="S77" s="299"/>
      <c r="T77" s="299"/>
      <c r="U77" s="299"/>
    </row>
    <row r="78" spans="2:21" ht="28.5" x14ac:dyDescent="0.2">
      <c r="B78" s="303"/>
      <c r="C78" s="301" t="s">
        <v>752</v>
      </c>
      <c r="D78" s="301" t="s">
        <v>753</v>
      </c>
      <c r="E78" s="301" t="s">
        <v>754</v>
      </c>
      <c r="F78" s="301" t="s">
        <v>755</v>
      </c>
      <c r="G78" s="301" t="s">
        <v>756</v>
      </c>
      <c r="H78" s="301" t="s">
        <v>757</v>
      </c>
      <c r="I78" s="301" t="s">
        <v>398</v>
      </c>
      <c r="J78" s="367"/>
      <c r="L78" s="299"/>
      <c r="M78" s="299"/>
      <c r="N78" s="299"/>
      <c r="O78" s="299"/>
      <c r="P78" s="299"/>
      <c r="Q78" s="299"/>
      <c r="R78" s="299"/>
      <c r="S78" s="299"/>
      <c r="T78" s="299"/>
      <c r="U78" s="299"/>
    </row>
    <row r="79" spans="2:21" ht="28.5" x14ac:dyDescent="0.2">
      <c r="B79" s="303"/>
      <c r="C79" s="301" t="s">
        <v>758</v>
      </c>
      <c r="D79" s="301" t="s">
        <v>759</v>
      </c>
      <c r="E79" s="301" t="s">
        <v>395</v>
      </c>
      <c r="F79" s="301" t="s">
        <v>760</v>
      </c>
      <c r="G79" s="301" t="s">
        <v>761</v>
      </c>
      <c r="H79" s="301" t="s">
        <v>762</v>
      </c>
      <c r="I79" s="301" t="s">
        <v>609</v>
      </c>
      <c r="J79" s="367"/>
      <c r="L79" s="299"/>
      <c r="M79" s="299"/>
      <c r="N79" s="299"/>
      <c r="O79" s="299"/>
      <c r="P79" s="299"/>
      <c r="Q79" s="299"/>
      <c r="R79" s="299"/>
      <c r="S79" s="299"/>
      <c r="T79" s="299"/>
      <c r="U79" s="299"/>
    </row>
    <row r="80" spans="2:21" ht="28.5" x14ac:dyDescent="0.2">
      <c r="B80" s="303"/>
      <c r="C80" s="301" t="s">
        <v>1094</v>
      </c>
      <c r="D80" s="301" t="s">
        <v>1095</v>
      </c>
      <c r="E80" s="301" t="s">
        <v>1096</v>
      </c>
      <c r="F80" s="301" t="s">
        <v>1097</v>
      </c>
      <c r="G80" s="301" t="s">
        <v>1098</v>
      </c>
      <c r="H80" s="301" t="s">
        <v>1099</v>
      </c>
      <c r="I80" s="301" t="s">
        <v>742</v>
      </c>
      <c r="J80" s="367"/>
      <c r="L80" s="299"/>
      <c r="M80" s="299"/>
      <c r="N80" s="299"/>
      <c r="O80" s="299"/>
      <c r="P80" s="299"/>
      <c r="Q80" s="299"/>
      <c r="R80" s="299"/>
      <c r="S80" s="299"/>
      <c r="T80" s="299"/>
      <c r="U80" s="299"/>
    </row>
    <row r="81" spans="2:21" ht="28.5" x14ac:dyDescent="0.2">
      <c r="B81" s="303"/>
      <c r="C81" s="301" t="s">
        <v>1100</v>
      </c>
      <c r="D81" s="301" t="s">
        <v>1101</v>
      </c>
      <c r="E81" s="301" t="s">
        <v>1102</v>
      </c>
      <c r="F81" s="301" t="s">
        <v>1103</v>
      </c>
      <c r="G81" s="301" t="s">
        <v>631</v>
      </c>
      <c r="H81" s="301" t="s">
        <v>1104</v>
      </c>
      <c r="I81" s="301" t="s">
        <v>1105</v>
      </c>
      <c r="J81" s="367"/>
      <c r="L81" s="299"/>
      <c r="M81" s="299"/>
      <c r="N81" s="299"/>
      <c r="O81" s="299"/>
      <c r="P81" s="299"/>
      <c r="Q81" s="299"/>
      <c r="R81" s="299"/>
      <c r="S81" s="299"/>
      <c r="T81" s="299"/>
      <c r="U81" s="299"/>
    </row>
    <row r="82" spans="2:21" ht="28.5" x14ac:dyDescent="0.2">
      <c r="B82" s="303"/>
      <c r="C82" s="301" t="s">
        <v>1106</v>
      </c>
      <c r="D82" s="301" t="s">
        <v>1107</v>
      </c>
      <c r="E82" s="301" t="s">
        <v>1108</v>
      </c>
      <c r="F82" s="301" t="s">
        <v>1109</v>
      </c>
      <c r="G82" s="301" t="s">
        <v>398</v>
      </c>
      <c r="H82" s="301" t="s">
        <v>1110</v>
      </c>
      <c r="I82" s="301" t="s">
        <v>658</v>
      </c>
      <c r="J82" s="367"/>
      <c r="L82" s="299"/>
      <c r="M82" s="299"/>
      <c r="N82" s="299"/>
      <c r="O82" s="299"/>
      <c r="P82" s="299"/>
      <c r="Q82" s="299"/>
      <c r="R82" s="299"/>
      <c r="S82" s="299"/>
      <c r="T82" s="299"/>
      <c r="U82" s="299"/>
    </row>
    <row r="83" spans="2:21" ht="28.5" x14ac:dyDescent="0.2">
      <c r="B83" s="303"/>
      <c r="C83" s="301" t="s">
        <v>1111</v>
      </c>
      <c r="D83" s="301" t="s">
        <v>1112</v>
      </c>
      <c r="E83" s="301" t="s">
        <v>742</v>
      </c>
      <c r="F83" s="301" t="s">
        <v>1113</v>
      </c>
      <c r="G83" s="301" t="s">
        <v>744</v>
      </c>
      <c r="H83" s="301" t="s">
        <v>1114</v>
      </c>
      <c r="I83" s="301" t="s">
        <v>746</v>
      </c>
      <c r="J83" s="367"/>
      <c r="L83" s="299"/>
      <c r="M83" s="299"/>
      <c r="N83" s="299"/>
      <c r="O83" s="299"/>
      <c r="P83" s="299"/>
      <c r="Q83" s="299"/>
      <c r="R83" s="299"/>
      <c r="S83" s="299"/>
      <c r="T83" s="299"/>
      <c r="U83" s="299"/>
    </row>
    <row r="84" spans="2:21" ht="28.5" x14ac:dyDescent="0.2">
      <c r="B84" s="303"/>
      <c r="C84" s="301" t="s">
        <v>1115</v>
      </c>
      <c r="D84" s="301" t="s">
        <v>1116</v>
      </c>
      <c r="E84" s="301" t="s">
        <v>692</v>
      </c>
      <c r="F84" s="301" t="s">
        <v>1117</v>
      </c>
      <c r="G84" s="301" t="s">
        <v>403</v>
      </c>
      <c r="H84" s="301" t="s">
        <v>1118</v>
      </c>
      <c r="I84" s="301" t="s">
        <v>403</v>
      </c>
      <c r="J84" s="367"/>
      <c r="L84" s="299"/>
      <c r="M84" s="299"/>
      <c r="N84" s="299"/>
      <c r="O84" s="299"/>
      <c r="P84" s="299"/>
      <c r="Q84" s="299"/>
      <c r="R84" s="299"/>
      <c r="S84" s="299"/>
      <c r="T84" s="299"/>
      <c r="U84" s="299"/>
    </row>
    <row r="85" spans="2:21" ht="28.5" x14ac:dyDescent="0.2">
      <c r="B85" s="303"/>
      <c r="C85" s="301" t="s">
        <v>763</v>
      </c>
      <c r="D85" s="301" t="s">
        <v>764</v>
      </c>
      <c r="E85" s="301" t="s">
        <v>765</v>
      </c>
      <c r="F85" s="301" t="s">
        <v>766</v>
      </c>
      <c r="G85" s="301" t="s">
        <v>767</v>
      </c>
      <c r="H85" s="301" t="s">
        <v>768</v>
      </c>
      <c r="I85" s="301" t="s">
        <v>769</v>
      </c>
      <c r="J85" s="367"/>
      <c r="L85" s="299"/>
      <c r="M85" s="299"/>
      <c r="N85" s="299"/>
      <c r="O85" s="299"/>
      <c r="P85" s="299"/>
      <c r="Q85" s="299"/>
      <c r="R85" s="299"/>
      <c r="S85" s="299"/>
      <c r="T85" s="299"/>
      <c r="U85" s="299"/>
    </row>
    <row r="86" spans="2:21" ht="28.5" x14ac:dyDescent="0.2">
      <c r="B86" s="303"/>
      <c r="C86" s="301" t="s">
        <v>770</v>
      </c>
      <c r="D86" s="301" t="s">
        <v>771</v>
      </c>
      <c r="E86" s="301" t="s">
        <v>772</v>
      </c>
      <c r="F86" s="301" t="s">
        <v>773</v>
      </c>
      <c r="G86" s="301" t="s">
        <v>774</v>
      </c>
      <c r="H86" s="301" t="s">
        <v>775</v>
      </c>
      <c r="I86" s="301" t="s">
        <v>774</v>
      </c>
      <c r="J86" s="367" t="s">
        <v>852</v>
      </c>
      <c r="L86" s="299"/>
      <c r="M86" s="299"/>
      <c r="N86" s="299"/>
      <c r="O86" s="299"/>
      <c r="P86" s="299"/>
      <c r="Q86" s="299"/>
      <c r="R86" s="299"/>
      <c r="S86" s="299"/>
      <c r="T86" s="299"/>
      <c r="U86" s="299"/>
    </row>
    <row r="87" spans="2:21" ht="28.5" x14ac:dyDescent="0.2">
      <c r="B87" s="303"/>
      <c r="C87" s="301" t="s">
        <v>776</v>
      </c>
      <c r="D87" s="301" t="s">
        <v>777</v>
      </c>
      <c r="E87" s="301" t="s">
        <v>778</v>
      </c>
      <c r="F87" s="301" t="s">
        <v>779</v>
      </c>
      <c r="G87" s="301" t="s">
        <v>780</v>
      </c>
      <c r="H87" s="301" t="s">
        <v>781</v>
      </c>
      <c r="I87" s="301" t="s">
        <v>400</v>
      </c>
      <c r="J87" s="367"/>
      <c r="N87" s="299"/>
      <c r="O87" s="299"/>
      <c r="P87" s="299"/>
      <c r="Q87" s="299"/>
      <c r="R87" s="299"/>
      <c r="S87" s="299"/>
      <c r="T87" s="299"/>
      <c r="U87" s="299"/>
    </row>
    <row r="88" spans="2:21" ht="28.5" x14ac:dyDescent="0.2">
      <c r="B88" s="303"/>
      <c r="C88" s="301" t="s">
        <v>782</v>
      </c>
      <c r="D88" s="301" t="s">
        <v>783</v>
      </c>
      <c r="E88" s="301" t="s">
        <v>784</v>
      </c>
      <c r="F88" s="301" t="s">
        <v>785</v>
      </c>
      <c r="G88" s="301" t="s">
        <v>786</v>
      </c>
      <c r="H88" s="301" t="s">
        <v>787</v>
      </c>
      <c r="I88" s="301" t="s">
        <v>788</v>
      </c>
      <c r="J88" s="367"/>
      <c r="N88" s="299"/>
      <c r="O88" s="299"/>
      <c r="P88" s="299"/>
      <c r="Q88" s="299"/>
      <c r="R88" s="299"/>
      <c r="S88" s="299"/>
      <c r="T88" s="299"/>
      <c r="U88" s="299"/>
    </row>
    <row r="89" spans="2:21" ht="28.5" x14ac:dyDescent="0.2">
      <c r="B89" s="303"/>
      <c r="C89" s="301" t="s">
        <v>789</v>
      </c>
      <c r="D89" s="301" t="s">
        <v>790</v>
      </c>
      <c r="E89" s="301" t="s">
        <v>791</v>
      </c>
      <c r="F89" s="301" t="s">
        <v>792</v>
      </c>
      <c r="G89" s="301" t="s">
        <v>793</v>
      </c>
      <c r="H89" s="301" t="s">
        <v>794</v>
      </c>
      <c r="I89" s="301" t="s">
        <v>793</v>
      </c>
      <c r="J89" s="367"/>
      <c r="L89" s="299"/>
      <c r="M89" s="299"/>
      <c r="N89" s="299"/>
      <c r="O89" s="299"/>
      <c r="P89" s="299"/>
      <c r="Q89" s="299"/>
      <c r="R89" s="299"/>
      <c r="S89" s="299"/>
      <c r="T89" s="299"/>
      <c r="U89" s="299"/>
    </row>
    <row r="90" spans="2:21" ht="28.5" x14ac:dyDescent="0.2">
      <c r="B90" s="303"/>
      <c r="C90" s="301" t="s">
        <v>795</v>
      </c>
      <c r="D90" s="301" t="s">
        <v>796</v>
      </c>
      <c r="E90" s="301" t="s">
        <v>797</v>
      </c>
      <c r="F90" s="301" t="s">
        <v>798</v>
      </c>
      <c r="G90" s="301" t="s">
        <v>618</v>
      </c>
      <c r="H90" s="301" t="s">
        <v>751</v>
      </c>
      <c r="I90" s="301" t="s">
        <v>799</v>
      </c>
      <c r="J90" s="367"/>
      <c r="L90" s="299"/>
      <c r="M90" s="299"/>
      <c r="N90" s="299"/>
      <c r="O90" s="299"/>
      <c r="P90" s="299"/>
      <c r="Q90" s="299"/>
      <c r="R90" s="299"/>
      <c r="S90" s="299"/>
      <c r="T90" s="299"/>
      <c r="U90" s="299"/>
    </row>
    <row r="91" spans="2:21" ht="28.5" x14ac:dyDescent="0.2">
      <c r="B91" s="303"/>
      <c r="C91" s="301" t="s">
        <v>800</v>
      </c>
      <c r="D91" s="301" t="s">
        <v>801</v>
      </c>
      <c r="E91" s="301" t="s">
        <v>802</v>
      </c>
      <c r="F91" s="301" t="s">
        <v>803</v>
      </c>
      <c r="G91" s="301" t="s">
        <v>804</v>
      </c>
      <c r="H91" s="301" t="s">
        <v>805</v>
      </c>
      <c r="I91" s="301" t="s">
        <v>804</v>
      </c>
      <c r="J91" s="367"/>
      <c r="L91" s="299"/>
      <c r="M91" s="299"/>
      <c r="N91" s="299"/>
      <c r="O91" s="299"/>
      <c r="P91" s="299"/>
      <c r="Q91" s="299"/>
      <c r="R91" s="299"/>
      <c r="S91" s="299"/>
      <c r="T91" s="299"/>
      <c r="U91" s="299"/>
    </row>
    <row r="92" spans="2:21" ht="28.5" x14ac:dyDescent="0.2">
      <c r="B92" s="303"/>
      <c r="C92" s="301" t="s">
        <v>806</v>
      </c>
      <c r="D92" s="301" t="s">
        <v>807</v>
      </c>
      <c r="E92" s="301" t="s">
        <v>399</v>
      </c>
      <c r="F92" s="301" t="s">
        <v>808</v>
      </c>
      <c r="G92" s="301" t="s">
        <v>692</v>
      </c>
      <c r="H92" s="301" t="s">
        <v>809</v>
      </c>
      <c r="I92" s="301" t="s">
        <v>810</v>
      </c>
      <c r="J92" s="367"/>
      <c r="L92" s="299"/>
      <c r="M92" s="299"/>
      <c r="N92" s="299"/>
      <c r="O92" s="299"/>
      <c r="P92" s="299"/>
      <c r="Q92" s="299"/>
      <c r="R92" s="299"/>
      <c r="S92" s="299"/>
      <c r="T92" s="299"/>
      <c r="U92" s="299"/>
    </row>
    <row r="93" spans="2:21" ht="28.5" x14ac:dyDescent="0.2">
      <c r="B93" s="303"/>
      <c r="C93" s="301" t="s">
        <v>811</v>
      </c>
      <c r="D93" s="301" t="s">
        <v>812</v>
      </c>
      <c r="E93" s="301" t="s">
        <v>813</v>
      </c>
      <c r="F93" s="301" t="s">
        <v>814</v>
      </c>
      <c r="G93" s="301" t="s">
        <v>711</v>
      </c>
      <c r="H93" s="301" t="s">
        <v>502</v>
      </c>
      <c r="I93" s="301" t="s">
        <v>815</v>
      </c>
      <c r="J93" s="367"/>
      <c r="L93" s="299"/>
      <c r="M93" s="299"/>
      <c r="N93" s="299"/>
      <c r="O93" s="299"/>
      <c r="P93" s="299"/>
      <c r="Q93" s="299"/>
      <c r="R93" s="299"/>
      <c r="S93" s="299"/>
      <c r="T93" s="299"/>
      <c r="U93" s="299"/>
    </row>
    <row r="94" spans="2:21" ht="28.5" x14ac:dyDescent="0.2">
      <c r="B94" s="303"/>
      <c r="C94" s="301" t="s">
        <v>816</v>
      </c>
      <c r="D94" s="301" t="s">
        <v>817</v>
      </c>
      <c r="E94" s="301" t="s">
        <v>818</v>
      </c>
      <c r="F94" s="301" t="s">
        <v>819</v>
      </c>
      <c r="G94" s="301" t="s">
        <v>643</v>
      </c>
      <c r="H94" s="301" t="s">
        <v>820</v>
      </c>
      <c r="I94" s="301" t="s">
        <v>813</v>
      </c>
      <c r="J94" s="367"/>
      <c r="N94" s="299"/>
      <c r="O94" s="299"/>
      <c r="P94" s="299"/>
      <c r="Q94" s="299"/>
      <c r="R94" s="299"/>
      <c r="S94" s="299"/>
      <c r="T94" s="299"/>
      <c r="U94" s="299"/>
    </row>
    <row r="95" spans="2:21" ht="28.5" x14ac:dyDescent="0.2">
      <c r="B95" s="303"/>
      <c r="C95" s="301" t="s">
        <v>821</v>
      </c>
      <c r="D95" s="301" t="s">
        <v>822</v>
      </c>
      <c r="E95" s="301" t="s">
        <v>395</v>
      </c>
      <c r="F95" s="301" t="s">
        <v>823</v>
      </c>
      <c r="G95" s="301" t="s">
        <v>742</v>
      </c>
      <c r="H95" s="301" t="s">
        <v>824</v>
      </c>
      <c r="I95" s="301" t="s">
        <v>825</v>
      </c>
      <c r="J95" s="367"/>
      <c r="N95" s="299"/>
      <c r="O95" s="299"/>
      <c r="P95" s="299"/>
      <c r="Q95" s="299"/>
      <c r="R95" s="299"/>
      <c r="S95" s="299"/>
      <c r="T95" s="299"/>
      <c r="U95" s="299"/>
    </row>
    <row r="96" spans="2:21" ht="28.5" x14ac:dyDescent="0.2">
      <c r="B96" s="303"/>
      <c r="C96" s="301" t="s">
        <v>826</v>
      </c>
      <c r="D96" s="301" t="s">
        <v>827</v>
      </c>
      <c r="E96" s="301" t="s">
        <v>804</v>
      </c>
      <c r="F96" s="301" t="s">
        <v>828</v>
      </c>
      <c r="G96" s="301" t="s">
        <v>399</v>
      </c>
      <c r="H96" s="301" t="s">
        <v>829</v>
      </c>
      <c r="I96" s="301" t="s">
        <v>399</v>
      </c>
      <c r="J96" s="367"/>
      <c r="N96" s="299"/>
      <c r="O96" s="299"/>
      <c r="P96" s="299"/>
      <c r="Q96" s="299"/>
      <c r="R96" s="299"/>
      <c r="S96" s="299"/>
      <c r="T96" s="299"/>
      <c r="U96" s="299"/>
    </row>
    <row r="97" spans="2:21" ht="28.5" x14ac:dyDescent="0.2">
      <c r="B97" s="303"/>
      <c r="C97" s="301" t="s">
        <v>830</v>
      </c>
      <c r="D97" s="301" t="s">
        <v>831</v>
      </c>
      <c r="E97" s="301" t="s">
        <v>793</v>
      </c>
      <c r="F97" s="301" t="s">
        <v>832</v>
      </c>
      <c r="G97" s="301" t="s">
        <v>643</v>
      </c>
      <c r="H97" s="301" t="s">
        <v>833</v>
      </c>
      <c r="I97" s="301" t="s">
        <v>813</v>
      </c>
      <c r="J97" s="367"/>
      <c r="N97" s="299"/>
      <c r="O97" s="299"/>
      <c r="P97" s="299"/>
      <c r="Q97" s="299"/>
      <c r="R97" s="299"/>
      <c r="S97" s="299"/>
      <c r="T97" s="299"/>
      <c r="U97" s="299"/>
    </row>
    <row r="98" spans="2:21" ht="28.5" x14ac:dyDescent="0.2">
      <c r="B98" s="303"/>
      <c r="C98" s="301" t="s">
        <v>834</v>
      </c>
      <c r="D98" s="301" t="s">
        <v>835</v>
      </c>
      <c r="E98" s="301" t="s">
        <v>836</v>
      </c>
      <c r="F98" s="301" t="s">
        <v>837</v>
      </c>
      <c r="G98" s="301" t="s">
        <v>838</v>
      </c>
      <c r="H98" s="301" t="s">
        <v>839</v>
      </c>
      <c r="I98" s="301" t="s">
        <v>838</v>
      </c>
      <c r="J98" s="367"/>
      <c r="N98" s="299"/>
      <c r="O98" s="299"/>
      <c r="P98" s="299"/>
      <c r="Q98" s="299"/>
      <c r="R98" s="299"/>
      <c r="S98" s="299"/>
      <c r="T98" s="299"/>
      <c r="U98" s="299"/>
    </row>
    <row r="99" spans="2:21" ht="28.5" x14ac:dyDescent="0.2">
      <c r="B99" s="303"/>
      <c r="C99" s="301" t="s">
        <v>840</v>
      </c>
      <c r="D99" s="301" t="s">
        <v>841</v>
      </c>
      <c r="E99" s="301" t="s">
        <v>786</v>
      </c>
      <c r="F99" s="301" t="s">
        <v>842</v>
      </c>
      <c r="G99" s="301" t="s">
        <v>692</v>
      </c>
      <c r="H99" s="301" t="s">
        <v>843</v>
      </c>
      <c r="I99" s="301" t="s">
        <v>844</v>
      </c>
      <c r="J99" s="367"/>
      <c r="N99" s="299"/>
      <c r="O99" s="299"/>
      <c r="P99" s="299"/>
      <c r="Q99" s="299"/>
      <c r="R99" s="299"/>
      <c r="S99" s="299"/>
      <c r="T99" s="299"/>
      <c r="U99" s="299"/>
    </row>
    <row r="100" spans="2:21" ht="28.5" x14ac:dyDescent="0.2">
      <c r="B100" s="303"/>
      <c r="C100" s="301" t="s">
        <v>1119</v>
      </c>
      <c r="D100" s="301" t="s">
        <v>1120</v>
      </c>
      <c r="E100" s="301" t="s">
        <v>717</v>
      </c>
      <c r="F100" s="301" t="s">
        <v>1121</v>
      </c>
      <c r="G100" s="301" t="s">
        <v>786</v>
      </c>
      <c r="H100" s="301" t="s">
        <v>794</v>
      </c>
      <c r="I100" s="301" t="s">
        <v>786</v>
      </c>
      <c r="J100" s="367"/>
      <c r="N100" s="299"/>
      <c r="O100" s="299"/>
      <c r="P100" s="299"/>
      <c r="Q100" s="299"/>
      <c r="R100" s="299"/>
      <c r="S100" s="299"/>
      <c r="T100" s="299"/>
      <c r="U100" s="299"/>
    </row>
    <row r="101" spans="2:21" ht="28.5" x14ac:dyDescent="0.2">
      <c r="B101" s="303"/>
      <c r="C101" s="301" t="s">
        <v>1122</v>
      </c>
      <c r="D101" s="301" t="s">
        <v>1123</v>
      </c>
      <c r="E101" s="301" t="s">
        <v>395</v>
      </c>
      <c r="F101" s="301" t="s">
        <v>1124</v>
      </c>
      <c r="G101" s="301" t="s">
        <v>761</v>
      </c>
      <c r="H101" s="301" t="s">
        <v>1125</v>
      </c>
      <c r="I101" s="301" t="s">
        <v>609</v>
      </c>
      <c r="J101" s="367"/>
      <c r="N101" s="299"/>
      <c r="O101" s="299"/>
      <c r="P101" s="299"/>
      <c r="Q101" s="299"/>
      <c r="R101" s="299"/>
      <c r="S101" s="299"/>
      <c r="T101" s="299"/>
      <c r="U101" s="299"/>
    </row>
    <row r="102" spans="2:21" ht="28.5" x14ac:dyDescent="0.2">
      <c r="B102" s="303"/>
      <c r="C102" s="301" t="s">
        <v>1126</v>
      </c>
      <c r="D102" s="301" t="s">
        <v>1127</v>
      </c>
      <c r="E102" s="301" t="s">
        <v>1128</v>
      </c>
      <c r="F102" s="301" t="s">
        <v>1129</v>
      </c>
      <c r="G102" s="301" t="s">
        <v>692</v>
      </c>
      <c r="H102" s="301" t="s">
        <v>824</v>
      </c>
      <c r="I102" s="301" t="s">
        <v>844</v>
      </c>
      <c r="J102" s="367"/>
      <c r="N102" s="299"/>
      <c r="O102" s="299"/>
      <c r="P102" s="299"/>
      <c r="Q102" s="299"/>
      <c r="R102" s="299"/>
      <c r="S102" s="299"/>
      <c r="T102" s="299"/>
      <c r="U102" s="299"/>
    </row>
    <row r="103" spans="2:21" ht="28.5" x14ac:dyDescent="0.2">
      <c r="B103" s="303"/>
      <c r="C103" s="301" t="s">
        <v>1130</v>
      </c>
      <c r="D103" s="301" t="s">
        <v>1131</v>
      </c>
      <c r="E103" s="301" t="s">
        <v>791</v>
      </c>
      <c r="F103" s="301" t="s">
        <v>1132</v>
      </c>
      <c r="G103" s="301" t="s">
        <v>793</v>
      </c>
      <c r="H103" s="301" t="s">
        <v>1133</v>
      </c>
      <c r="I103" s="301" t="s">
        <v>793</v>
      </c>
      <c r="J103" s="367"/>
      <c r="N103" s="299"/>
      <c r="O103" s="299"/>
      <c r="P103" s="299"/>
      <c r="Q103" s="299"/>
      <c r="R103" s="299"/>
      <c r="S103" s="299"/>
      <c r="T103" s="299"/>
      <c r="U103" s="299"/>
    </row>
    <row r="104" spans="2:21" ht="28.5" x14ac:dyDescent="0.2">
      <c r="B104" s="303"/>
      <c r="C104" s="301" t="s">
        <v>1134</v>
      </c>
      <c r="D104" s="301" t="s">
        <v>1135</v>
      </c>
      <c r="E104" s="301" t="s">
        <v>793</v>
      </c>
      <c r="F104" s="301" t="s">
        <v>1136</v>
      </c>
      <c r="G104" s="301" t="s">
        <v>1137</v>
      </c>
      <c r="H104" s="301" t="s">
        <v>491</v>
      </c>
      <c r="I104" s="301" t="s">
        <v>1138</v>
      </c>
      <c r="J104" s="367"/>
      <c r="N104" s="299"/>
      <c r="O104" s="299"/>
      <c r="P104" s="299"/>
      <c r="Q104" s="299"/>
      <c r="R104" s="299"/>
      <c r="S104" s="299"/>
      <c r="T104" s="299"/>
      <c r="U104" s="299"/>
    </row>
    <row r="105" spans="2:21" ht="28.5" x14ac:dyDescent="0.2">
      <c r="B105" s="303"/>
      <c r="C105" s="301" t="s">
        <v>845</v>
      </c>
      <c r="D105" s="301" t="s">
        <v>846</v>
      </c>
      <c r="E105" s="301" t="s">
        <v>847</v>
      </c>
      <c r="F105" s="301" t="s">
        <v>848</v>
      </c>
      <c r="G105" s="301" t="s">
        <v>849</v>
      </c>
      <c r="H105" s="301" t="s">
        <v>850</v>
      </c>
      <c r="I105" s="301" t="s">
        <v>851</v>
      </c>
      <c r="J105" s="367"/>
      <c r="N105" s="299"/>
      <c r="O105" s="299"/>
      <c r="P105" s="299"/>
      <c r="Q105" s="299"/>
      <c r="R105" s="299"/>
      <c r="S105" s="299"/>
      <c r="T105" s="299"/>
      <c r="U105" s="299"/>
    </row>
    <row r="106" spans="2:21" ht="28.5" x14ac:dyDescent="0.2">
      <c r="B106" s="303"/>
      <c r="C106" s="301" t="s">
        <v>854</v>
      </c>
      <c r="D106" s="301" t="s">
        <v>855</v>
      </c>
      <c r="E106" s="301" t="s">
        <v>793</v>
      </c>
      <c r="F106" s="301" t="s">
        <v>856</v>
      </c>
      <c r="G106" s="301" t="s">
        <v>813</v>
      </c>
      <c r="H106" s="301" t="s">
        <v>644</v>
      </c>
      <c r="I106" s="301" t="s">
        <v>643</v>
      </c>
      <c r="J106" s="367" t="s">
        <v>915</v>
      </c>
      <c r="N106" s="299"/>
      <c r="O106" s="299"/>
      <c r="P106" s="299"/>
      <c r="Q106" s="299"/>
      <c r="R106" s="299"/>
      <c r="S106" s="299"/>
      <c r="T106" s="299"/>
      <c r="U106" s="299"/>
    </row>
    <row r="107" spans="2:21" ht="28.5" x14ac:dyDescent="0.2">
      <c r="B107" s="303"/>
      <c r="C107" s="301" t="s">
        <v>857</v>
      </c>
      <c r="D107" s="301" t="s">
        <v>858</v>
      </c>
      <c r="E107" s="301" t="s">
        <v>717</v>
      </c>
      <c r="F107" s="301" t="s">
        <v>859</v>
      </c>
      <c r="G107" s="301" t="s">
        <v>786</v>
      </c>
      <c r="H107" s="301" t="s">
        <v>794</v>
      </c>
      <c r="I107" s="301" t="s">
        <v>786</v>
      </c>
      <c r="J107" s="367"/>
      <c r="N107" s="299"/>
      <c r="O107" s="299"/>
      <c r="P107" s="299"/>
      <c r="Q107" s="299"/>
      <c r="R107" s="299"/>
      <c r="S107" s="299"/>
      <c r="T107" s="299"/>
      <c r="U107" s="299"/>
    </row>
    <row r="108" spans="2:21" ht="28.5" x14ac:dyDescent="0.2">
      <c r="B108" s="303"/>
      <c r="C108" s="301" t="s">
        <v>860</v>
      </c>
      <c r="D108" s="301" t="s">
        <v>861</v>
      </c>
      <c r="E108" s="301" t="s">
        <v>862</v>
      </c>
      <c r="F108" s="301" t="s">
        <v>863</v>
      </c>
      <c r="G108" s="301" t="s">
        <v>744</v>
      </c>
      <c r="H108" s="301" t="s">
        <v>864</v>
      </c>
      <c r="I108" s="301" t="s">
        <v>746</v>
      </c>
      <c r="J108" s="367"/>
      <c r="N108" s="299"/>
      <c r="O108" s="299"/>
      <c r="P108" s="299"/>
      <c r="Q108" s="299"/>
      <c r="R108" s="299"/>
      <c r="S108" s="299"/>
      <c r="T108" s="299"/>
      <c r="U108" s="299"/>
    </row>
    <row r="109" spans="2:21" ht="28.5" x14ac:dyDescent="0.2">
      <c r="B109" s="303"/>
      <c r="C109" s="301" t="s">
        <v>865</v>
      </c>
      <c r="D109" s="301" t="s">
        <v>866</v>
      </c>
      <c r="E109" s="301" t="s">
        <v>813</v>
      </c>
      <c r="F109" s="301" t="s">
        <v>867</v>
      </c>
      <c r="G109" s="301" t="s">
        <v>780</v>
      </c>
      <c r="H109" s="301" t="s">
        <v>436</v>
      </c>
      <c r="I109" s="301" t="s">
        <v>780</v>
      </c>
      <c r="J109" s="367"/>
      <c r="N109" s="299"/>
      <c r="O109" s="299"/>
      <c r="P109" s="299"/>
      <c r="Q109" s="299"/>
      <c r="R109" s="299"/>
      <c r="S109" s="299"/>
      <c r="T109" s="299"/>
      <c r="U109" s="299"/>
    </row>
    <row r="110" spans="2:21" ht="28.5" x14ac:dyDescent="0.2">
      <c r="B110" s="303"/>
      <c r="C110" s="301" t="s">
        <v>868</v>
      </c>
      <c r="D110" s="301" t="s">
        <v>869</v>
      </c>
      <c r="E110" s="301" t="s">
        <v>870</v>
      </c>
      <c r="F110" s="301" t="s">
        <v>871</v>
      </c>
      <c r="G110" s="301" t="s">
        <v>750</v>
      </c>
      <c r="H110" s="301" t="s">
        <v>872</v>
      </c>
      <c r="I110" s="301" t="s">
        <v>687</v>
      </c>
      <c r="J110" s="367"/>
      <c r="N110" s="299"/>
      <c r="O110" s="299"/>
      <c r="P110" s="299"/>
      <c r="Q110" s="299"/>
      <c r="R110" s="299"/>
      <c r="S110" s="299"/>
      <c r="T110" s="299"/>
      <c r="U110" s="299"/>
    </row>
    <row r="111" spans="2:21" ht="28.5" x14ac:dyDescent="0.2">
      <c r="B111" s="303"/>
      <c r="C111" s="301" t="s">
        <v>873</v>
      </c>
      <c r="D111" s="301" t="s">
        <v>874</v>
      </c>
      <c r="E111" s="301" t="s">
        <v>875</v>
      </c>
      <c r="F111" s="301" t="s">
        <v>876</v>
      </c>
      <c r="G111" s="301" t="s">
        <v>616</v>
      </c>
      <c r="H111" s="301" t="s">
        <v>877</v>
      </c>
      <c r="I111" s="301" t="s">
        <v>616</v>
      </c>
      <c r="J111" s="367"/>
      <c r="N111" s="299"/>
      <c r="O111" s="299"/>
      <c r="P111" s="299"/>
      <c r="Q111" s="299"/>
      <c r="R111" s="299"/>
      <c r="S111" s="299"/>
      <c r="T111" s="299"/>
      <c r="U111" s="299"/>
    </row>
    <row r="112" spans="2:21" ht="28.5" x14ac:dyDescent="0.2">
      <c r="B112" s="303"/>
      <c r="C112" s="301" t="s">
        <v>878</v>
      </c>
      <c r="D112" s="301" t="s">
        <v>879</v>
      </c>
      <c r="E112" s="301" t="s">
        <v>880</v>
      </c>
      <c r="F112" s="301" t="s">
        <v>881</v>
      </c>
      <c r="G112" s="301" t="s">
        <v>400</v>
      </c>
      <c r="H112" s="301" t="s">
        <v>829</v>
      </c>
      <c r="I112" s="301" t="s">
        <v>400</v>
      </c>
      <c r="J112" s="367"/>
      <c r="N112" s="299"/>
      <c r="O112" s="299"/>
      <c r="P112" s="299"/>
      <c r="Q112" s="299"/>
      <c r="R112" s="299"/>
      <c r="S112" s="299"/>
      <c r="T112" s="299"/>
      <c r="U112" s="299"/>
    </row>
    <row r="113" spans="2:21" ht="28.5" x14ac:dyDescent="0.2">
      <c r="B113" s="303"/>
      <c r="C113" s="301" t="s">
        <v>882</v>
      </c>
      <c r="D113" s="301" t="s">
        <v>883</v>
      </c>
      <c r="E113" s="301" t="s">
        <v>786</v>
      </c>
      <c r="F113" s="301" t="s">
        <v>884</v>
      </c>
      <c r="G113" s="301" t="s">
        <v>692</v>
      </c>
      <c r="H113" s="301" t="s">
        <v>885</v>
      </c>
      <c r="I113" s="301" t="s">
        <v>844</v>
      </c>
      <c r="J113" s="367"/>
      <c r="N113" s="299"/>
      <c r="O113" s="299"/>
      <c r="P113" s="299"/>
      <c r="Q113" s="299"/>
      <c r="R113" s="299"/>
      <c r="S113" s="299"/>
      <c r="T113" s="299"/>
      <c r="U113" s="299"/>
    </row>
    <row r="114" spans="2:21" ht="28.5" x14ac:dyDescent="0.2">
      <c r="B114" s="303"/>
      <c r="C114" s="301" t="s">
        <v>886</v>
      </c>
      <c r="D114" s="301" t="s">
        <v>887</v>
      </c>
      <c r="E114" s="301" t="s">
        <v>799</v>
      </c>
      <c r="F114" s="301" t="s">
        <v>888</v>
      </c>
      <c r="G114" s="301" t="s">
        <v>735</v>
      </c>
      <c r="H114" s="301" t="s">
        <v>889</v>
      </c>
      <c r="I114" s="301" t="s">
        <v>890</v>
      </c>
      <c r="J114" s="367"/>
      <c r="N114" s="299"/>
      <c r="O114" s="299"/>
      <c r="P114" s="299"/>
      <c r="Q114" s="299"/>
      <c r="R114" s="299"/>
      <c r="S114" s="299"/>
      <c r="T114" s="299"/>
      <c r="U114" s="299"/>
    </row>
    <row r="115" spans="2:21" ht="28.5" x14ac:dyDescent="0.2">
      <c r="B115" s="303"/>
      <c r="C115" s="301" t="s">
        <v>891</v>
      </c>
      <c r="D115" s="301" t="s">
        <v>892</v>
      </c>
      <c r="E115" s="301" t="s">
        <v>692</v>
      </c>
      <c r="F115" s="301" t="s">
        <v>893</v>
      </c>
      <c r="G115" s="301" t="s">
        <v>403</v>
      </c>
      <c r="H115" s="301" t="s">
        <v>486</v>
      </c>
      <c r="I115" s="301" t="s">
        <v>403</v>
      </c>
      <c r="J115" s="367"/>
      <c r="N115" s="299"/>
      <c r="O115" s="299"/>
      <c r="P115" s="299"/>
      <c r="Q115" s="299"/>
      <c r="R115" s="299"/>
      <c r="S115" s="299"/>
      <c r="T115" s="299"/>
      <c r="U115" s="299"/>
    </row>
    <row r="116" spans="2:21" ht="28.5" x14ac:dyDescent="0.2">
      <c r="B116" s="303"/>
      <c r="C116" s="301" t="s">
        <v>894</v>
      </c>
      <c r="D116" s="301" t="s">
        <v>895</v>
      </c>
      <c r="E116" s="301" t="s">
        <v>896</v>
      </c>
      <c r="F116" s="301" t="s">
        <v>897</v>
      </c>
      <c r="G116" s="301" t="s">
        <v>744</v>
      </c>
      <c r="H116" s="301" t="s">
        <v>688</v>
      </c>
      <c r="I116" s="301" t="s">
        <v>735</v>
      </c>
      <c r="J116" s="367"/>
      <c r="N116" s="299"/>
      <c r="O116" s="299"/>
      <c r="P116" s="299"/>
      <c r="Q116" s="299"/>
      <c r="R116" s="299"/>
      <c r="S116" s="299"/>
      <c r="T116" s="299"/>
      <c r="U116" s="299"/>
    </row>
    <row r="117" spans="2:21" ht="28.5" x14ac:dyDescent="0.2">
      <c r="B117" s="303"/>
      <c r="C117" s="301" t="s">
        <v>898</v>
      </c>
      <c r="D117" s="301" t="s">
        <v>899</v>
      </c>
      <c r="E117" s="301" t="s">
        <v>400</v>
      </c>
      <c r="F117" s="301" t="s">
        <v>900</v>
      </c>
      <c r="G117" s="301" t="s">
        <v>754</v>
      </c>
      <c r="H117" s="301" t="s">
        <v>436</v>
      </c>
      <c r="I117" s="301" t="s">
        <v>799</v>
      </c>
      <c r="J117" s="367"/>
      <c r="N117" s="299"/>
      <c r="O117" s="299"/>
      <c r="P117" s="299"/>
      <c r="Q117" s="299"/>
      <c r="R117" s="299"/>
      <c r="S117" s="299"/>
      <c r="T117" s="299"/>
      <c r="U117" s="299"/>
    </row>
    <row r="118" spans="2:21" ht="28.5" x14ac:dyDescent="0.2">
      <c r="B118" s="303"/>
      <c r="C118" s="301" t="s">
        <v>901</v>
      </c>
      <c r="D118" s="301" t="s">
        <v>902</v>
      </c>
      <c r="E118" s="301" t="s">
        <v>398</v>
      </c>
      <c r="F118" s="301" t="s">
        <v>903</v>
      </c>
      <c r="G118" s="301" t="s">
        <v>687</v>
      </c>
      <c r="H118" s="301" t="s">
        <v>904</v>
      </c>
      <c r="I118" s="301" t="s">
        <v>689</v>
      </c>
      <c r="J118" s="367"/>
      <c r="N118" s="299"/>
      <c r="O118" s="299"/>
      <c r="P118" s="299"/>
      <c r="Q118" s="299"/>
      <c r="R118" s="299"/>
      <c r="S118" s="299"/>
      <c r="T118" s="299"/>
      <c r="U118" s="299"/>
    </row>
    <row r="119" spans="2:21" ht="28.5" x14ac:dyDescent="0.2">
      <c r="B119" s="303"/>
      <c r="C119" s="301" t="s">
        <v>905</v>
      </c>
      <c r="D119" s="301" t="s">
        <v>906</v>
      </c>
      <c r="E119" s="301" t="s">
        <v>643</v>
      </c>
      <c r="F119" s="301" t="s">
        <v>907</v>
      </c>
      <c r="G119" s="301" t="s">
        <v>908</v>
      </c>
      <c r="H119" s="301" t="s">
        <v>909</v>
      </c>
      <c r="I119" s="301" t="s">
        <v>910</v>
      </c>
      <c r="J119" s="367"/>
      <c r="N119" s="299"/>
      <c r="O119" s="299"/>
      <c r="P119" s="299"/>
      <c r="Q119" s="299"/>
      <c r="R119" s="299"/>
      <c r="S119" s="299"/>
      <c r="T119" s="299"/>
      <c r="U119" s="299"/>
    </row>
    <row r="120" spans="2:21" ht="28.5" x14ac:dyDescent="0.2">
      <c r="B120" s="303"/>
      <c r="C120" s="301" t="s">
        <v>1139</v>
      </c>
      <c r="D120" s="301" t="s">
        <v>1140</v>
      </c>
      <c r="E120" s="301" t="s">
        <v>1141</v>
      </c>
      <c r="F120" s="301" t="s">
        <v>1142</v>
      </c>
      <c r="G120" s="301" t="s">
        <v>575</v>
      </c>
      <c r="H120" s="301" t="s">
        <v>1143</v>
      </c>
      <c r="I120" s="301" t="s">
        <v>700</v>
      </c>
      <c r="J120" s="367"/>
      <c r="N120" s="299"/>
      <c r="O120" s="299"/>
      <c r="P120" s="299"/>
      <c r="Q120" s="299"/>
      <c r="R120" s="299"/>
      <c r="S120" s="299"/>
      <c r="T120" s="299"/>
      <c r="U120" s="299"/>
    </row>
    <row r="121" spans="2:21" ht="28.5" x14ac:dyDescent="0.2">
      <c r="B121" s="303"/>
      <c r="C121" s="301" t="s">
        <v>1144</v>
      </c>
      <c r="D121" s="301" t="s">
        <v>1145</v>
      </c>
      <c r="E121" s="301" t="s">
        <v>1146</v>
      </c>
      <c r="F121" s="301" t="s">
        <v>1147</v>
      </c>
      <c r="G121" s="301" t="s">
        <v>756</v>
      </c>
      <c r="H121" s="301" t="s">
        <v>794</v>
      </c>
      <c r="I121" s="301" t="s">
        <v>398</v>
      </c>
      <c r="J121" s="367"/>
      <c r="N121" s="299"/>
      <c r="O121" s="299"/>
      <c r="P121" s="299"/>
      <c r="Q121" s="299"/>
      <c r="R121" s="299"/>
      <c r="S121" s="299"/>
      <c r="T121" s="299"/>
      <c r="U121" s="299"/>
    </row>
    <row r="122" spans="2:21" ht="28.5" x14ac:dyDescent="0.2">
      <c r="B122" s="303"/>
      <c r="C122" s="301" t="s">
        <v>1148</v>
      </c>
      <c r="D122" s="301" t="s">
        <v>1149</v>
      </c>
      <c r="E122" s="301" t="s">
        <v>399</v>
      </c>
      <c r="F122" s="301" t="s">
        <v>1150</v>
      </c>
      <c r="G122" s="301" t="s">
        <v>692</v>
      </c>
      <c r="H122" s="301" t="s">
        <v>829</v>
      </c>
      <c r="I122" s="301" t="s">
        <v>810</v>
      </c>
      <c r="J122" s="367"/>
      <c r="N122" s="299"/>
      <c r="O122" s="299"/>
      <c r="P122" s="299"/>
      <c r="Q122" s="299"/>
      <c r="R122" s="299"/>
      <c r="S122" s="299"/>
      <c r="T122" s="299"/>
      <c r="U122" s="299"/>
    </row>
    <row r="123" spans="2:21" ht="28.5" x14ac:dyDescent="0.2">
      <c r="B123" s="303"/>
      <c r="C123" s="301" t="s">
        <v>1151</v>
      </c>
      <c r="D123" s="301" t="s">
        <v>1152</v>
      </c>
      <c r="E123" s="301" t="s">
        <v>1153</v>
      </c>
      <c r="F123" s="301" t="s">
        <v>1154</v>
      </c>
      <c r="G123" s="301" t="s">
        <v>880</v>
      </c>
      <c r="H123" s="301" t="s">
        <v>1155</v>
      </c>
      <c r="I123" s="301" t="s">
        <v>1156</v>
      </c>
      <c r="J123" s="367"/>
      <c r="N123" s="299"/>
      <c r="O123" s="299"/>
      <c r="P123" s="299"/>
      <c r="Q123" s="299"/>
      <c r="R123" s="299"/>
      <c r="S123" s="299"/>
      <c r="T123" s="299"/>
      <c r="U123" s="299"/>
    </row>
    <row r="124" spans="2:21" ht="28.5" x14ac:dyDescent="0.2">
      <c r="B124" s="303"/>
      <c r="C124" s="301" t="s">
        <v>1157</v>
      </c>
      <c r="D124" s="301" t="s">
        <v>1158</v>
      </c>
      <c r="E124" s="301" t="s">
        <v>813</v>
      </c>
      <c r="F124" s="301" t="s">
        <v>1159</v>
      </c>
      <c r="G124" s="301" t="s">
        <v>711</v>
      </c>
      <c r="H124" s="301" t="s">
        <v>1160</v>
      </c>
      <c r="I124" s="301" t="s">
        <v>815</v>
      </c>
      <c r="J124" s="367"/>
      <c r="N124" s="299"/>
      <c r="O124" s="299"/>
      <c r="P124" s="299"/>
      <c r="Q124" s="299"/>
      <c r="R124" s="299"/>
      <c r="S124" s="299"/>
      <c r="T124" s="299"/>
      <c r="U124" s="299"/>
    </row>
    <row r="125" spans="2:21" ht="16.5" x14ac:dyDescent="0.2">
      <c r="B125" s="303"/>
      <c r="C125" s="301"/>
      <c r="D125" s="301"/>
      <c r="E125" s="301"/>
      <c r="F125" s="301"/>
      <c r="G125" s="301"/>
      <c r="H125" s="301"/>
      <c r="I125" s="301"/>
      <c r="J125" s="367"/>
      <c r="N125" s="299"/>
      <c r="O125" s="299"/>
      <c r="P125" s="299"/>
      <c r="Q125" s="299"/>
      <c r="R125" s="299"/>
      <c r="S125" s="299"/>
      <c r="T125" s="299"/>
      <c r="U125" s="299"/>
    </row>
    <row r="126" spans="2:21" ht="28.5" x14ac:dyDescent="0.2">
      <c r="B126" s="303"/>
      <c r="C126" s="301" t="s">
        <v>911</v>
      </c>
      <c r="D126" s="301" t="s">
        <v>912</v>
      </c>
      <c r="E126" s="301" t="s">
        <v>399</v>
      </c>
      <c r="F126" s="301" t="s">
        <v>913</v>
      </c>
      <c r="G126" s="301" t="s">
        <v>692</v>
      </c>
      <c r="H126" s="301" t="s">
        <v>914</v>
      </c>
      <c r="I126" s="301" t="s">
        <v>810</v>
      </c>
      <c r="J126" s="367"/>
      <c r="N126" s="299"/>
      <c r="O126" s="299"/>
      <c r="P126" s="299"/>
      <c r="Q126" s="299"/>
      <c r="R126" s="299"/>
      <c r="S126" s="299"/>
      <c r="T126" s="299"/>
      <c r="U126" s="299"/>
    </row>
    <row r="127" spans="2:21" ht="28.5" x14ac:dyDescent="0.2">
      <c r="B127" s="303"/>
      <c r="C127" s="301" t="s">
        <v>916</v>
      </c>
      <c r="D127" s="301" t="s">
        <v>917</v>
      </c>
      <c r="E127" s="301" t="s">
        <v>918</v>
      </c>
      <c r="F127" s="301" t="s">
        <v>919</v>
      </c>
      <c r="G127" s="301" t="s">
        <v>920</v>
      </c>
      <c r="H127" s="301" t="s">
        <v>921</v>
      </c>
      <c r="I127" s="301" t="s">
        <v>922</v>
      </c>
      <c r="J127" s="367" t="s">
        <v>1007</v>
      </c>
      <c r="N127" s="299"/>
      <c r="O127" s="299"/>
      <c r="P127" s="299"/>
      <c r="Q127" s="299"/>
      <c r="R127" s="299"/>
      <c r="S127" s="299"/>
      <c r="T127" s="299"/>
      <c r="U127" s="299"/>
    </row>
    <row r="128" spans="2:21" ht="28.5" x14ac:dyDescent="0.2">
      <c r="B128" s="303"/>
      <c r="C128" s="301" t="s">
        <v>923</v>
      </c>
      <c r="D128" s="301" t="s">
        <v>924</v>
      </c>
      <c r="E128" s="301" t="s">
        <v>925</v>
      </c>
      <c r="F128" s="301" t="s">
        <v>926</v>
      </c>
      <c r="G128" s="301" t="s">
        <v>927</v>
      </c>
      <c r="H128" s="301" t="s">
        <v>928</v>
      </c>
      <c r="I128" s="301" t="s">
        <v>929</v>
      </c>
      <c r="J128" s="367"/>
      <c r="N128" s="299"/>
      <c r="O128" s="299"/>
      <c r="P128" s="299"/>
      <c r="Q128" s="299"/>
      <c r="R128" s="299"/>
      <c r="S128" s="299"/>
      <c r="T128" s="299"/>
      <c r="U128" s="299"/>
    </row>
    <row r="129" spans="2:21" ht="28.5" x14ac:dyDescent="0.2">
      <c r="B129" s="303"/>
      <c r="C129" s="301" t="s">
        <v>930</v>
      </c>
      <c r="D129" s="301" t="s">
        <v>931</v>
      </c>
      <c r="E129" s="301" t="s">
        <v>932</v>
      </c>
      <c r="F129" s="301" t="s">
        <v>933</v>
      </c>
      <c r="G129" s="301" t="s">
        <v>934</v>
      </c>
      <c r="H129" s="301" t="s">
        <v>935</v>
      </c>
      <c r="I129" s="301" t="s">
        <v>936</v>
      </c>
      <c r="J129" s="367"/>
      <c r="N129" s="299"/>
      <c r="O129" s="299"/>
      <c r="P129" s="299"/>
      <c r="Q129" s="299"/>
      <c r="R129" s="299"/>
      <c r="S129" s="299"/>
      <c r="T129" s="299"/>
      <c r="U129" s="299"/>
    </row>
    <row r="130" spans="2:21" ht="16.5" x14ac:dyDescent="0.2">
      <c r="B130" s="303"/>
      <c r="C130" s="301" t="s">
        <v>937</v>
      </c>
      <c r="D130" s="301" t="s">
        <v>938</v>
      </c>
      <c r="E130" s="301" t="s">
        <v>939</v>
      </c>
      <c r="F130" s="301" t="s">
        <v>940</v>
      </c>
      <c r="G130" s="301" t="s">
        <v>941</v>
      </c>
      <c r="H130" s="301" t="s">
        <v>942</v>
      </c>
      <c r="I130" s="301" t="s">
        <v>943</v>
      </c>
      <c r="J130" s="367"/>
      <c r="N130" s="299"/>
      <c r="O130" s="299"/>
      <c r="P130" s="299"/>
      <c r="Q130" s="299"/>
      <c r="R130" s="299"/>
      <c r="S130" s="299"/>
      <c r="T130" s="299"/>
      <c r="U130" s="299"/>
    </row>
    <row r="131" spans="2:21" ht="16.5" x14ac:dyDescent="0.2">
      <c r="B131" s="303"/>
      <c r="C131" s="301" t="s">
        <v>944</v>
      </c>
      <c r="D131" s="301" t="s">
        <v>945</v>
      </c>
      <c r="E131" s="301" t="s">
        <v>946</v>
      </c>
      <c r="F131" s="301" t="s">
        <v>947</v>
      </c>
      <c r="G131" s="301" t="s">
        <v>948</v>
      </c>
      <c r="H131" s="301" t="s">
        <v>949</v>
      </c>
      <c r="I131" s="301" t="s">
        <v>950</v>
      </c>
      <c r="J131" s="367"/>
      <c r="N131" s="299"/>
      <c r="O131" s="299"/>
      <c r="P131" s="299"/>
      <c r="Q131" s="299"/>
      <c r="R131" s="299"/>
      <c r="S131" s="299"/>
      <c r="T131" s="299"/>
      <c r="U131" s="299"/>
    </row>
    <row r="132" spans="2:21" ht="16.5" x14ac:dyDescent="0.2">
      <c r="B132" s="303"/>
      <c r="C132" s="301" t="s">
        <v>951</v>
      </c>
      <c r="D132" s="301" t="s">
        <v>952</v>
      </c>
      <c r="E132" s="301" t="s">
        <v>953</v>
      </c>
      <c r="F132" s="301" t="s">
        <v>954</v>
      </c>
      <c r="G132" s="301" t="s">
        <v>941</v>
      </c>
      <c r="H132" s="301" t="s">
        <v>955</v>
      </c>
      <c r="I132" s="301" t="s">
        <v>956</v>
      </c>
      <c r="J132" s="367"/>
      <c r="N132" s="299"/>
      <c r="O132" s="299"/>
      <c r="P132" s="299"/>
      <c r="Q132" s="299"/>
      <c r="R132" s="299"/>
      <c r="S132" s="299"/>
      <c r="T132" s="299"/>
      <c r="U132" s="299"/>
    </row>
    <row r="133" spans="2:21" ht="16.5" x14ac:dyDescent="0.2">
      <c r="B133" s="303"/>
      <c r="C133" s="301" t="s">
        <v>957</v>
      </c>
      <c r="D133" s="301" t="s">
        <v>958</v>
      </c>
      <c r="E133" s="301" t="s">
        <v>959</v>
      </c>
      <c r="F133" s="301" t="s">
        <v>960</v>
      </c>
      <c r="G133" s="301" t="s">
        <v>932</v>
      </c>
      <c r="H133" s="301" t="s">
        <v>961</v>
      </c>
      <c r="I133" s="301" t="s">
        <v>932</v>
      </c>
      <c r="J133" s="367"/>
      <c r="N133" s="299"/>
      <c r="O133" s="299"/>
      <c r="P133" s="299"/>
      <c r="Q133" s="299"/>
      <c r="R133" s="299"/>
      <c r="S133" s="299"/>
      <c r="T133" s="299"/>
      <c r="U133" s="299"/>
    </row>
    <row r="134" spans="2:21" ht="16.5" x14ac:dyDescent="0.2">
      <c r="B134" s="303"/>
      <c r="C134" s="301" t="s">
        <v>962</v>
      </c>
      <c r="D134" s="301" t="s">
        <v>963</v>
      </c>
      <c r="E134" s="301" t="s">
        <v>478</v>
      </c>
      <c r="F134" s="301" t="s">
        <v>964</v>
      </c>
      <c r="G134" s="301" t="s">
        <v>965</v>
      </c>
      <c r="H134" s="301" t="s">
        <v>966</v>
      </c>
      <c r="I134" s="301" t="s">
        <v>967</v>
      </c>
      <c r="J134" s="367"/>
      <c r="N134" s="299"/>
      <c r="O134" s="299"/>
      <c r="P134" s="299"/>
      <c r="Q134" s="299"/>
      <c r="R134" s="299"/>
      <c r="S134" s="299"/>
      <c r="T134" s="299"/>
      <c r="U134" s="299"/>
    </row>
    <row r="135" spans="2:21" ht="16.5" x14ac:dyDescent="0.2">
      <c r="B135" s="303"/>
      <c r="C135" s="301" t="s">
        <v>968</v>
      </c>
      <c r="D135" s="301" t="s">
        <v>969</v>
      </c>
      <c r="E135" s="301" t="s">
        <v>939</v>
      </c>
      <c r="F135" s="301" t="s">
        <v>970</v>
      </c>
      <c r="G135" s="301" t="s">
        <v>971</v>
      </c>
      <c r="H135" s="301" t="s">
        <v>972</v>
      </c>
      <c r="I135" s="301" t="s">
        <v>971</v>
      </c>
      <c r="J135" s="367"/>
      <c r="N135" s="299"/>
      <c r="O135" s="299"/>
      <c r="P135" s="299"/>
      <c r="Q135" s="299"/>
      <c r="R135" s="299"/>
      <c r="S135" s="299"/>
      <c r="T135" s="299"/>
      <c r="U135" s="299"/>
    </row>
    <row r="136" spans="2:21" ht="16.5" x14ac:dyDescent="0.2">
      <c r="B136" s="303"/>
      <c r="C136" s="301" t="s">
        <v>973</v>
      </c>
      <c r="D136" s="301" t="s">
        <v>974</v>
      </c>
      <c r="E136" s="301" t="s">
        <v>550</v>
      </c>
      <c r="F136" s="301" t="s">
        <v>975</v>
      </c>
      <c r="G136" s="301" t="s">
        <v>976</v>
      </c>
      <c r="H136" s="301" t="s">
        <v>977</v>
      </c>
      <c r="I136" s="301" t="s">
        <v>978</v>
      </c>
      <c r="J136" s="367"/>
      <c r="N136" s="299"/>
      <c r="O136" s="299"/>
      <c r="P136" s="299"/>
      <c r="Q136" s="299"/>
      <c r="R136" s="299"/>
      <c r="S136" s="299"/>
      <c r="T136" s="299"/>
      <c r="U136" s="299"/>
    </row>
    <row r="137" spans="2:21" ht="16.5" x14ac:dyDescent="0.2">
      <c r="B137" s="303"/>
      <c r="C137" s="301" t="s">
        <v>979</v>
      </c>
      <c r="D137" s="301" t="s">
        <v>980</v>
      </c>
      <c r="E137" s="301" t="s">
        <v>981</v>
      </c>
      <c r="F137" s="301" t="s">
        <v>982</v>
      </c>
      <c r="G137" s="301" t="s">
        <v>983</v>
      </c>
      <c r="H137" s="301" t="s">
        <v>984</v>
      </c>
      <c r="I137" s="301" t="s">
        <v>985</v>
      </c>
      <c r="J137" s="367"/>
      <c r="N137" s="299"/>
      <c r="O137" s="299"/>
      <c r="P137" s="299"/>
      <c r="Q137" s="299"/>
      <c r="R137" s="299"/>
      <c r="S137" s="299"/>
      <c r="T137" s="299"/>
      <c r="U137" s="299"/>
    </row>
    <row r="138" spans="2:21" ht="16.5" x14ac:dyDescent="0.2">
      <c r="B138" s="303"/>
      <c r="C138" s="301" t="s">
        <v>986</v>
      </c>
      <c r="D138" s="301" t="s">
        <v>987</v>
      </c>
      <c r="E138" s="301" t="s">
        <v>988</v>
      </c>
      <c r="F138" s="301" t="s">
        <v>989</v>
      </c>
      <c r="G138" s="301" t="s">
        <v>990</v>
      </c>
      <c r="H138" s="301" t="s">
        <v>991</v>
      </c>
      <c r="I138" s="301" t="s">
        <v>990</v>
      </c>
      <c r="J138" s="367"/>
      <c r="N138" s="299"/>
      <c r="O138" s="299"/>
      <c r="P138" s="299"/>
      <c r="Q138" s="299"/>
      <c r="R138" s="299"/>
      <c r="S138" s="299"/>
      <c r="T138" s="299"/>
      <c r="U138" s="299"/>
    </row>
    <row r="139" spans="2:21" ht="16.5" x14ac:dyDescent="0.2">
      <c r="B139" s="303"/>
      <c r="C139" s="301" t="s">
        <v>992</v>
      </c>
      <c r="D139" s="301" t="s">
        <v>993</v>
      </c>
      <c r="E139" s="301" t="s">
        <v>994</v>
      </c>
      <c r="F139" s="301" t="s">
        <v>995</v>
      </c>
      <c r="G139" s="301" t="s">
        <v>996</v>
      </c>
      <c r="H139" s="301" t="s">
        <v>997</v>
      </c>
      <c r="I139" s="301" t="s">
        <v>996</v>
      </c>
      <c r="J139" s="367"/>
      <c r="N139" s="299"/>
      <c r="O139" s="299"/>
      <c r="P139" s="299"/>
      <c r="Q139" s="299"/>
      <c r="R139" s="299"/>
      <c r="S139" s="299"/>
      <c r="T139" s="299"/>
      <c r="U139" s="299"/>
    </row>
    <row r="140" spans="2:21" ht="16.5" x14ac:dyDescent="0.2">
      <c r="B140" s="303"/>
      <c r="C140" s="301" t="s">
        <v>998</v>
      </c>
      <c r="D140" s="301" t="s">
        <v>999</v>
      </c>
      <c r="E140" s="301" t="s">
        <v>1000</v>
      </c>
      <c r="F140" s="301" t="s">
        <v>1001</v>
      </c>
      <c r="G140" s="301" t="s">
        <v>950</v>
      </c>
      <c r="H140" s="301" t="s">
        <v>843</v>
      </c>
      <c r="I140" s="301" t="s">
        <v>950</v>
      </c>
      <c r="J140" s="367"/>
      <c r="N140" s="299"/>
      <c r="O140" s="299"/>
      <c r="P140" s="299"/>
      <c r="Q140" s="299"/>
      <c r="R140" s="299"/>
      <c r="S140" s="299"/>
      <c r="T140" s="299"/>
      <c r="U140" s="299"/>
    </row>
    <row r="141" spans="2:21" ht="16.5" x14ac:dyDescent="0.2">
      <c r="B141" s="303"/>
      <c r="C141" s="301" t="s">
        <v>1002</v>
      </c>
      <c r="D141" s="301" t="s">
        <v>1003</v>
      </c>
      <c r="E141" s="301" t="s">
        <v>1004</v>
      </c>
      <c r="F141" s="301" t="s">
        <v>1005</v>
      </c>
      <c r="G141" s="301" t="s">
        <v>941</v>
      </c>
      <c r="H141" s="301" t="s">
        <v>1006</v>
      </c>
      <c r="I141" s="301" t="s">
        <v>941</v>
      </c>
      <c r="J141" s="367"/>
      <c r="N141" s="299"/>
      <c r="O141" s="299"/>
      <c r="P141" s="299"/>
      <c r="Q141" s="299"/>
      <c r="R141" s="299"/>
      <c r="S141" s="299"/>
      <c r="T141" s="299"/>
      <c r="U141" s="299"/>
    </row>
    <row r="142" spans="2:21" ht="28.5" x14ac:dyDescent="0.2">
      <c r="B142" s="303"/>
      <c r="C142" s="301" t="s">
        <v>1161</v>
      </c>
      <c r="D142" s="301" t="s">
        <v>1162</v>
      </c>
      <c r="E142" s="301" t="s">
        <v>1163</v>
      </c>
      <c r="F142" s="301" t="s">
        <v>1164</v>
      </c>
      <c r="G142" s="301" t="s">
        <v>1165</v>
      </c>
      <c r="H142" s="301" t="s">
        <v>1166</v>
      </c>
      <c r="I142" s="301" t="s">
        <v>414</v>
      </c>
      <c r="J142" s="367"/>
      <c r="N142" s="299"/>
      <c r="O142" s="299"/>
      <c r="P142" s="299"/>
      <c r="Q142" s="299"/>
      <c r="R142" s="299"/>
      <c r="S142" s="299"/>
      <c r="T142" s="299"/>
      <c r="U142" s="299"/>
    </row>
    <row r="143" spans="2:21" x14ac:dyDescent="0.2">
      <c r="B143" s="302"/>
      <c r="C143" s="301" t="s">
        <v>1167</v>
      </c>
      <c r="D143" s="301" t="s">
        <v>1168</v>
      </c>
      <c r="E143" s="301" t="s">
        <v>1169</v>
      </c>
      <c r="F143" s="301" t="s">
        <v>1170</v>
      </c>
      <c r="G143" s="301" t="s">
        <v>1171</v>
      </c>
      <c r="H143" s="301" t="s">
        <v>984</v>
      </c>
      <c r="I143" s="301" t="s">
        <v>1172</v>
      </c>
      <c r="J143" s="367"/>
      <c r="N143" s="299"/>
      <c r="O143" s="299"/>
      <c r="P143" s="299"/>
      <c r="Q143" s="299"/>
      <c r="R143" s="299"/>
      <c r="S143" s="299"/>
      <c r="T143" s="299"/>
      <c r="U143" s="299"/>
    </row>
    <row r="144" spans="2:21" x14ac:dyDescent="0.2">
      <c r="B144" s="302"/>
      <c r="C144" s="301" t="s">
        <v>1173</v>
      </c>
      <c r="D144" s="301" t="s">
        <v>1174</v>
      </c>
      <c r="E144" s="301" t="s">
        <v>1175</v>
      </c>
      <c r="F144" s="301" t="s">
        <v>1176</v>
      </c>
      <c r="G144" s="301" t="s">
        <v>1177</v>
      </c>
      <c r="H144" s="301" t="s">
        <v>1178</v>
      </c>
      <c r="I144" s="301" t="s">
        <v>1179</v>
      </c>
      <c r="J144" s="367"/>
      <c r="N144" s="299"/>
      <c r="O144" s="299"/>
      <c r="P144" s="299"/>
      <c r="Q144" s="299"/>
      <c r="R144" s="299"/>
      <c r="S144" s="299"/>
      <c r="T144" s="299"/>
      <c r="U144" s="299"/>
    </row>
    <row r="145" spans="2:21" x14ac:dyDescent="0.2">
      <c r="B145" s="302"/>
      <c r="C145" s="301" t="s">
        <v>1180</v>
      </c>
      <c r="D145" s="301" t="s">
        <v>1181</v>
      </c>
      <c r="E145" s="301" t="s">
        <v>1182</v>
      </c>
      <c r="F145" s="301" t="s">
        <v>1183</v>
      </c>
      <c r="G145" s="301" t="s">
        <v>920</v>
      </c>
      <c r="H145" s="301" t="s">
        <v>1184</v>
      </c>
      <c r="I145" s="301" t="s">
        <v>1185</v>
      </c>
      <c r="J145" s="367"/>
      <c r="N145" s="299"/>
      <c r="O145" s="299"/>
      <c r="P145" s="299"/>
      <c r="Q145" s="299"/>
      <c r="R145" s="299"/>
      <c r="S145" s="299"/>
      <c r="T145" s="299"/>
      <c r="U145" s="299"/>
    </row>
    <row r="146" spans="2:21" x14ac:dyDescent="0.2">
      <c r="B146" s="302"/>
      <c r="C146" s="301" t="s">
        <v>1186</v>
      </c>
      <c r="D146" s="301" t="s">
        <v>1187</v>
      </c>
      <c r="E146" s="301" t="s">
        <v>953</v>
      </c>
      <c r="F146" s="301" t="s">
        <v>1188</v>
      </c>
      <c r="G146" s="301" t="s">
        <v>941</v>
      </c>
      <c r="H146" s="301" t="s">
        <v>1189</v>
      </c>
      <c r="I146" s="301" t="s">
        <v>956</v>
      </c>
      <c r="J146" s="367"/>
      <c r="N146" s="299"/>
      <c r="O146" s="299"/>
      <c r="P146" s="299"/>
      <c r="Q146" s="299"/>
      <c r="R146" s="299"/>
      <c r="S146" s="299"/>
      <c r="T146" s="299"/>
      <c r="U146" s="299"/>
    </row>
    <row r="147" spans="2:21" x14ac:dyDescent="0.2">
      <c r="B147" s="300"/>
      <c r="C147" s="299"/>
      <c r="D147" s="299"/>
      <c r="E147" s="299"/>
      <c r="F147" s="299"/>
      <c r="G147" s="299"/>
      <c r="H147" s="299"/>
      <c r="I147" s="299"/>
      <c r="N147" s="299"/>
      <c r="O147" s="299"/>
      <c r="P147" s="299"/>
      <c r="Q147" s="299"/>
      <c r="R147" s="299"/>
      <c r="S147" s="299"/>
      <c r="T147" s="299"/>
      <c r="U147" s="299"/>
    </row>
    <row r="148" spans="2:21" x14ac:dyDescent="0.2">
      <c r="C148" s="299"/>
      <c r="D148" s="299"/>
      <c r="E148" s="299"/>
      <c r="F148" s="299"/>
      <c r="G148" s="299"/>
      <c r="H148" s="299"/>
      <c r="I148" s="299"/>
      <c r="N148" s="299"/>
      <c r="O148" s="299"/>
      <c r="P148" s="299"/>
      <c r="Q148" s="299"/>
      <c r="R148" s="299"/>
      <c r="S148" s="299"/>
      <c r="T148" s="299"/>
      <c r="U148" s="299"/>
    </row>
    <row r="149" spans="2:21" x14ac:dyDescent="0.2">
      <c r="C149" s="299"/>
      <c r="D149" s="299"/>
      <c r="E149" s="299"/>
      <c r="F149" s="299"/>
      <c r="G149" s="299"/>
      <c r="H149" s="299"/>
      <c r="I149" s="299"/>
      <c r="N149" s="299"/>
      <c r="O149" s="299"/>
      <c r="P149" s="299"/>
      <c r="Q149" s="299"/>
      <c r="R149" s="299"/>
      <c r="S149" s="299"/>
      <c r="T149" s="299"/>
      <c r="U149" s="299"/>
    </row>
    <row r="150" spans="2:21" x14ac:dyDescent="0.2">
      <c r="N150" s="299"/>
      <c r="O150" s="299"/>
      <c r="P150" s="299"/>
      <c r="Q150" s="299"/>
      <c r="R150" s="299"/>
      <c r="S150" s="299"/>
      <c r="T150" s="299"/>
      <c r="U150" s="299"/>
    </row>
    <row r="152" spans="2:21" ht="18" x14ac:dyDescent="0.45">
      <c r="B152" s="298" t="s">
        <v>159</v>
      </c>
      <c r="C152" s="332"/>
      <c r="D152" s="332"/>
      <c r="E152" s="332"/>
      <c r="F152" s="332"/>
      <c r="G152" s="332"/>
      <c r="H152" s="332"/>
      <c r="I152" s="332"/>
    </row>
    <row r="153" spans="2:21" ht="18" x14ac:dyDescent="0.45">
      <c r="B153" s="297" t="s">
        <v>0</v>
      </c>
      <c r="C153" s="296"/>
      <c r="D153" s="296"/>
      <c r="E153" s="296"/>
      <c r="F153" s="296"/>
      <c r="G153" s="296"/>
      <c r="H153" s="296"/>
      <c r="I153" s="296" t="s">
        <v>181</v>
      </c>
    </row>
    <row r="154" spans="2:21" ht="18" x14ac:dyDescent="0.45">
      <c r="B154" s="333"/>
      <c r="C154" s="295"/>
      <c r="D154" s="295"/>
      <c r="E154" s="295"/>
      <c r="F154" s="295"/>
      <c r="G154" s="295"/>
      <c r="H154" s="295"/>
      <c r="I154" s="295">
        <f>450</f>
        <v>450</v>
      </c>
    </row>
    <row r="155" spans="2:21" ht="18" x14ac:dyDescent="0.45">
      <c r="B155" s="334"/>
      <c r="C155" s="295"/>
      <c r="D155" s="295"/>
      <c r="E155" s="295"/>
      <c r="F155" s="295"/>
      <c r="G155" s="295"/>
      <c r="H155" s="295"/>
      <c r="I155" s="295">
        <f>280</f>
        <v>280</v>
      </c>
    </row>
    <row r="156" spans="2:21" ht="18" x14ac:dyDescent="0.45">
      <c r="B156" s="334"/>
      <c r="C156" s="295"/>
      <c r="D156" s="295"/>
      <c r="E156" s="295"/>
      <c r="F156" s="295"/>
      <c r="G156" s="295"/>
      <c r="H156" s="295"/>
      <c r="I156" s="295">
        <v>120</v>
      </c>
    </row>
    <row r="157" spans="2:21" ht="18" x14ac:dyDescent="0.45">
      <c r="B157" s="334"/>
      <c r="C157" s="295"/>
      <c r="D157" s="295"/>
      <c r="E157" s="295"/>
      <c r="F157" s="295"/>
      <c r="G157" s="295"/>
      <c r="H157" s="295"/>
      <c r="I157" s="295">
        <v>120</v>
      </c>
    </row>
    <row r="158" spans="2:21" ht="18" x14ac:dyDescent="0.45">
      <c r="B158" s="334"/>
      <c r="C158" s="295"/>
      <c r="D158" s="295"/>
      <c r="E158" s="295"/>
      <c r="F158" s="295"/>
      <c r="G158" s="295"/>
      <c r="H158" s="295"/>
      <c r="I158" s="295">
        <v>120</v>
      </c>
    </row>
    <row r="159" spans="2:21" ht="18" x14ac:dyDescent="0.45">
      <c r="B159" s="334"/>
      <c r="C159" s="295"/>
      <c r="D159" s="295"/>
      <c r="E159" s="295"/>
      <c r="F159" s="295"/>
      <c r="G159" s="295"/>
      <c r="H159" s="295"/>
      <c r="I159" s="295">
        <v>100</v>
      </c>
    </row>
    <row r="160" spans="2:21" ht="18" x14ac:dyDescent="0.45">
      <c r="B160" s="334"/>
      <c r="C160" s="293"/>
      <c r="D160" s="293"/>
      <c r="E160" s="293"/>
      <c r="F160" s="293"/>
      <c r="G160" s="293"/>
      <c r="H160" s="293"/>
      <c r="I160" s="293">
        <f>AVERAGE(I154:I159)</f>
        <v>198.33333333333334</v>
      </c>
    </row>
    <row r="164" spans="2:9" ht="18" x14ac:dyDescent="0.45">
      <c r="B164" s="298"/>
      <c r="C164" s="332"/>
      <c r="D164" s="332"/>
      <c r="E164" s="332"/>
      <c r="F164" s="332"/>
      <c r="G164" s="332"/>
      <c r="H164" s="332"/>
      <c r="I164" s="332"/>
    </row>
    <row r="165" spans="2:9" ht="18" x14ac:dyDescent="0.45">
      <c r="B165" s="297" t="s">
        <v>0</v>
      </c>
      <c r="C165" s="296"/>
      <c r="D165" s="296"/>
      <c r="E165" s="296"/>
      <c r="F165" s="296"/>
      <c r="G165" s="296"/>
      <c r="H165" s="296"/>
      <c r="I165" s="296" t="s">
        <v>181</v>
      </c>
    </row>
    <row r="166" spans="2:9" ht="18" x14ac:dyDescent="0.45">
      <c r="B166" s="333"/>
      <c r="C166" s="295"/>
      <c r="D166" s="295"/>
      <c r="E166" s="295"/>
      <c r="F166" s="295"/>
      <c r="G166" s="295"/>
      <c r="H166" s="295"/>
      <c r="I166" s="295">
        <v>30</v>
      </c>
    </row>
    <row r="167" spans="2:9" ht="18" x14ac:dyDescent="0.45">
      <c r="B167" s="334"/>
      <c r="C167" s="295"/>
      <c r="D167" s="295"/>
      <c r="E167" s="295"/>
      <c r="F167" s="295"/>
      <c r="G167" s="295"/>
      <c r="H167" s="295"/>
      <c r="I167" s="295">
        <v>200</v>
      </c>
    </row>
    <row r="168" spans="2:9" ht="18" x14ac:dyDescent="0.45">
      <c r="B168" s="334"/>
      <c r="C168" s="295"/>
      <c r="D168" s="295"/>
      <c r="E168" s="295"/>
      <c r="F168" s="295"/>
      <c r="G168" s="295"/>
      <c r="H168" s="295"/>
      <c r="I168" s="295">
        <v>180</v>
      </c>
    </row>
    <row r="169" spans="2:9" ht="18" x14ac:dyDescent="0.45">
      <c r="B169" s="334"/>
      <c r="C169" s="295"/>
      <c r="D169" s="295"/>
      <c r="E169" s="295"/>
      <c r="F169" s="295"/>
      <c r="G169" s="295"/>
      <c r="H169" s="295"/>
      <c r="I169" s="295">
        <v>300</v>
      </c>
    </row>
    <row r="170" spans="2:9" ht="18" x14ac:dyDescent="0.45">
      <c r="B170" s="334"/>
      <c r="C170" s="295"/>
      <c r="D170" s="295"/>
      <c r="E170" s="295"/>
      <c r="F170" s="295"/>
      <c r="G170" s="295"/>
      <c r="H170" s="295"/>
      <c r="I170" s="295"/>
    </row>
    <row r="171" spans="2:9" ht="18" x14ac:dyDescent="0.45">
      <c r="B171" s="334"/>
      <c r="C171" s="295"/>
      <c r="D171" s="295"/>
      <c r="E171" s="295"/>
      <c r="F171" s="295"/>
      <c r="G171" s="295"/>
      <c r="H171" s="295"/>
      <c r="I171" s="295"/>
    </row>
    <row r="172" spans="2:9" ht="18" x14ac:dyDescent="0.45">
      <c r="B172" s="334"/>
      <c r="C172" s="293"/>
      <c r="D172" s="293"/>
      <c r="E172" s="293"/>
      <c r="F172" s="293"/>
      <c r="G172" s="293"/>
      <c r="H172" s="293"/>
      <c r="I172" s="293">
        <f>AVERAGE(I166:I171)</f>
        <v>177.5</v>
      </c>
    </row>
    <row r="175" spans="2:9" ht="18" x14ac:dyDescent="0.45">
      <c r="B175" s="298"/>
      <c r="C175" s="332"/>
      <c r="D175" s="332"/>
      <c r="E175" s="332"/>
      <c r="F175" s="332"/>
      <c r="G175" s="332"/>
      <c r="H175" s="332"/>
      <c r="I175" s="332"/>
    </row>
    <row r="176" spans="2:9" ht="18" x14ac:dyDescent="0.45">
      <c r="B176" s="297" t="s">
        <v>0</v>
      </c>
      <c r="C176" s="296"/>
      <c r="D176" s="296"/>
      <c r="E176" s="296"/>
      <c r="F176" s="296"/>
      <c r="G176" s="296"/>
      <c r="H176" s="296"/>
      <c r="I176" s="296" t="s">
        <v>181</v>
      </c>
    </row>
    <row r="177" spans="2:9" ht="18" x14ac:dyDescent="0.45">
      <c r="B177" s="333"/>
      <c r="C177" s="295"/>
      <c r="D177" s="295"/>
      <c r="E177" s="295"/>
      <c r="F177" s="295"/>
      <c r="G177" s="295"/>
      <c r="H177" s="295"/>
      <c r="I177" s="295">
        <v>180</v>
      </c>
    </row>
    <row r="178" spans="2:9" ht="18" x14ac:dyDescent="0.45">
      <c r="B178" s="334"/>
      <c r="C178" s="295"/>
      <c r="D178" s="295"/>
      <c r="E178" s="295"/>
      <c r="F178" s="295"/>
      <c r="G178" s="295"/>
      <c r="H178" s="295"/>
      <c r="I178" s="295">
        <v>43</v>
      </c>
    </row>
    <row r="179" spans="2:9" ht="18" x14ac:dyDescent="0.45">
      <c r="B179" s="334"/>
      <c r="C179" s="295"/>
      <c r="D179" s="295"/>
      <c r="E179" s="295"/>
      <c r="F179" s="295"/>
      <c r="G179" s="295"/>
      <c r="H179" s="295"/>
      <c r="I179" s="295">
        <v>60</v>
      </c>
    </row>
    <row r="180" spans="2:9" ht="18" x14ac:dyDescent="0.45">
      <c r="B180" s="334"/>
      <c r="C180" s="295"/>
      <c r="D180" s="295"/>
      <c r="E180" s="295"/>
      <c r="F180" s="295"/>
      <c r="G180" s="295"/>
      <c r="H180" s="295"/>
      <c r="I180" s="295">
        <v>20</v>
      </c>
    </row>
    <row r="181" spans="2:9" ht="18" x14ac:dyDescent="0.45">
      <c r="B181" s="334"/>
      <c r="C181" s="295"/>
      <c r="D181" s="295"/>
      <c r="E181" s="295"/>
      <c r="F181" s="295"/>
      <c r="G181" s="295"/>
      <c r="H181" s="295"/>
      <c r="I181" s="295"/>
    </row>
    <row r="182" spans="2:9" ht="18" x14ac:dyDescent="0.45">
      <c r="B182" s="334"/>
      <c r="C182" s="295"/>
      <c r="D182" s="295"/>
      <c r="E182" s="295"/>
      <c r="F182" s="295"/>
      <c r="G182" s="295"/>
      <c r="H182" s="295"/>
      <c r="I182" s="295"/>
    </row>
    <row r="183" spans="2:9" ht="18" x14ac:dyDescent="0.45">
      <c r="B183" s="334"/>
      <c r="C183" s="293"/>
      <c r="D183" s="293"/>
      <c r="E183" s="293"/>
      <c r="F183" s="293"/>
      <c r="G183" s="293"/>
      <c r="H183" s="293"/>
      <c r="I183" s="293">
        <f>AVERAGE(I177:I182)</f>
        <v>75.75</v>
      </c>
    </row>
  </sheetData>
  <mergeCells count="14">
    <mergeCell ref="C152:I152"/>
    <mergeCell ref="B177:B183"/>
    <mergeCell ref="B154:B160"/>
    <mergeCell ref="C164:I164"/>
    <mergeCell ref="B166:B172"/>
    <mergeCell ref="C175:I175"/>
    <mergeCell ref="J106:J126"/>
    <mergeCell ref="C3:J3"/>
    <mergeCell ref="J5:J25"/>
    <mergeCell ref="J26:J45"/>
    <mergeCell ref="J127:J146"/>
    <mergeCell ref="J46:J65"/>
    <mergeCell ref="J86:J105"/>
    <mergeCell ref="J66:J8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17E9E-1C26-4804-B118-C12AD955CE63}">
  <dimension ref="B3:L73"/>
  <sheetViews>
    <sheetView showGridLines="0" rightToLeft="1" tabSelected="1" zoomScale="85" zoomScaleNormal="85" workbookViewId="0">
      <selection activeCell="G15" sqref="G15"/>
    </sheetView>
  </sheetViews>
  <sheetFormatPr defaultColWidth="9" defaultRowHeight="16.5" x14ac:dyDescent="0.45"/>
  <cols>
    <col min="1" max="1" width="9" style="144"/>
    <col min="2" max="2" width="10.875" style="144" bestFit="1" customWidth="1"/>
    <col min="3" max="3" width="23.875" style="144" bestFit="1" customWidth="1"/>
    <col min="4" max="4" width="13.875" style="144" bestFit="1" customWidth="1"/>
    <col min="5" max="5" width="15.625" style="144" bestFit="1" customWidth="1"/>
    <col min="6" max="6" width="12.5" style="144" bestFit="1" customWidth="1"/>
    <col min="7" max="7" width="19.75" style="272" customWidth="1"/>
    <col min="8" max="8" width="15.125" style="272" customWidth="1"/>
    <col min="9" max="9" width="13.75" style="272" customWidth="1"/>
    <col min="10" max="10" width="40.75" style="272" customWidth="1"/>
    <col min="11" max="16384" width="9" style="144"/>
  </cols>
  <sheetData>
    <row r="3" spans="2:12" x14ac:dyDescent="0.45">
      <c r="B3" s="182"/>
      <c r="C3" s="369" t="s">
        <v>179</v>
      </c>
      <c r="D3" s="369"/>
      <c r="E3" s="369"/>
      <c r="F3" s="369"/>
      <c r="G3" s="369"/>
      <c r="H3" s="369"/>
      <c r="I3" s="369"/>
      <c r="J3" s="369"/>
    </row>
    <row r="4" spans="2:12" x14ac:dyDescent="0.45">
      <c r="B4" s="184" t="s">
        <v>0</v>
      </c>
      <c r="C4" s="185" t="s">
        <v>192</v>
      </c>
      <c r="D4" s="185" t="s">
        <v>238</v>
      </c>
      <c r="E4" s="185" t="s">
        <v>239</v>
      </c>
      <c r="F4" s="185" t="s">
        <v>182</v>
      </c>
      <c r="G4" s="377" t="s">
        <v>333</v>
      </c>
      <c r="H4" s="377"/>
      <c r="I4" s="377"/>
      <c r="J4" s="377"/>
    </row>
    <row r="5" spans="2:12" x14ac:dyDescent="0.45">
      <c r="B5" s="372" t="s">
        <v>240</v>
      </c>
      <c r="C5" s="273" t="s">
        <v>367</v>
      </c>
      <c r="D5" s="263">
        <v>12</v>
      </c>
      <c r="E5" s="263">
        <v>6000</v>
      </c>
      <c r="F5" s="263">
        <f>E5*D5</f>
        <v>72000</v>
      </c>
      <c r="G5" s="378" t="s">
        <v>368</v>
      </c>
      <c r="H5" s="378"/>
      <c r="I5" s="378"/>
      <c r="J5" s="378"/>
    </row>
    <row r="6" spans="2:12" ht="33" x14ac:dyDescent="0.45">
      <c r="B6" s="373"/>
      <c r="C6" s="289" t="s">
        <v>369</v>
      </c>
      <c r="D6" s="263">
        <v>3</v>
      </c>
      <c r="E6" s="263">
        <v>3000</v>
      </c>
      <c r="F6" s="263">
        <f t="shared" ref="F6:F13" si="0">E6*D6</f>
        <v>9000</v>
      </c>
      <c r="G6" s="378" t="s">
        <v>370</v>
      </c>
      <c r="H6" s="378"/>
      <c r="I6" s="378"/>
      <c r="J6" s="378"/>
      <c r="K6" s="251"/>
      <c r="L6" s="252"/>
    </row>
    <row r="7" spans="2:12" x14ac:dyDescent="0.45">
      <c r="B7" s="373"/>
      <c r="C7" s="273" t="s">
        <v>2</v>
      </c>
      <c r="D7" s="263">
        <v>1</v>
      </c>
      <c r="E7" s="263">
        <v>2000</v>
      </c>
      <c r="F7" s="263">
        <f t="shared" si="0"/>
        <v>2000</v>
      </c>
      <c r="G7" s="379" t="s">
        <v>371</v>
      </c>
      <c r="H7" s="379"/>
      <c r="I7" s="379"/>
      <c r="J7" s="379"/>
      <c r="K7" s="251"/>
      <c r="L7" s="252"/>
    </row>
    <row r="8" spans="2:12" x14ac:dyDescent="0.45">
      <c r="B8" s="373"/>
      <c r="C8" s="273" t="s">
        <v>210</v>
      </c>
      <c r="D8" s="263">
        <v>1</v>
      </c>
      <c r="E8" s="263">
        <v>10000</v>
      </c>
      <c r="F8" s="263">
        <f t="shared" si="0"/>
        <v>10000</v>
      </c>
      <c r="G8" s="379" t="s">
        <v>372</v>
      </c>
      <c r="H8" s="379"/>
      <c r="I8" s="379"/>
      <c r="J8" s="379"/>
      <c r="K8" s="250"/>
      <c r="L8" s="249"/>
    </row>
    <row r="9" spans="2:12" ht="33" x14ac:dyDescent="0.45">
      <c r="B9" s="373"/>
      <c r="C9" s="288" t="s">
        <v>211</v>
      </c>
      <c r="D9" s="263">
        <v>1</v>
      </c>
      <c r="E9" s="263">
        <v>20000</v>
      </c>
      <c r="F9" s="263">
        <f t="shared" si="0"/>
        <v>20000</v>
      </c>
      <c r="G9" s="370" t="s">
        <v>373</v>
      </c>
      <c r="H9" s="370"/>
      <c r="I9" s="370"/>
      <c r="J9" s="370"/>
      <c r="K9" s="254"/>
      <c r="L9" s="249"/>
    </row>
    <row r="10" spans="2:12" x14ac:dyDescent="0.45">
      <c r="B10" s="373"/>
      <c r="C10" s="273" t="s">
        <v>3</v>
      </c>
      <c r="D10" s="263">
        <v>1</v>
      </c>
      <c r="E10" s="263">
        <v>5000</v>
      </c>
      <c r="F10" s="263">
        <f t="shared" si="0"/>
        <v>5000</v>
      </c>
      <c r="G10" s="378" t="s">
        <v>374</v>
      </c>
      <c r="H10" s="378"/>
      <c r="I10" s="378"/>
      <c r="J10" s="378"/>
      <c r="K10" s="251"/>
      <c r="L10" s="253"/>
    </row>
    <row r="11" spans="2:12" ht="33" x14ac:dyDescent="0.45">
      <c r="B11" s="373"/>
      <c r="C11" s="273" t="s">
        <v>366</v>
      </c>
      <c r="D11" s="263">
        <v>1</v>
      </c>
      <c r="E11" s="263">
        <v>15000</v>
      </c>
      <c r="F11" s="263">
        <f t="shared" si="0"/>
        <v>15000</v>
      </c>
      <c r="G11" s="371" t="s">
        <v>375</v>
      </c>
      <c r="H11" s="371"/>
      <c r="I11" s="371"/>
      <c r="J11" s="371"/>
      <c r="K11" s="251"/>
      <c r="L11" s="253"/>
    </row>
    <row r="12" spans="2:12" ht="33" x14ac:dyDescent="0.45">
      <c r="B12" s="373"/>
      <c r="C12" s="273" t="s">
        <v>377</v>
      </c>
      <c r="D12" s="263">
        <v>1</v>
      </c>
      <c r="E12" s="263">
        <v>10000</v>
      </c>
      <c r="F12" s="263">
        <f t="shared" si="0"/>
        <v>10000</v>
      </c>
      <c r="G12" s="371" t="s">
        <v>376</v>
      </c>
      <c r="H12" s="371"/>
      <c r="I12" s="371"/>
      <c r="J12" s="371"/>
      <c r="K12" s="251"/>
      <c r="L12" s="253"/>
    </row>
    <row r="13" spans="2:12" ht="18" x14ac:dyDescent="0.45">
      <c r="B13" s="373"/>
      <c r="C13" s="290" t="s">
        <v>378</v>
      </c>
      <c r="D13" s="291">
        <v>4</v>
      </c>
      <c r="E13" s="291">
        <v>500</v>
      </c>
      <c r="F13" s="291">
        <f t="shared" si="0"/>
        <v>2000</v>
      </c>
      <c r="G13" s="371" t="s">
        <v>379</v>
      </c>
      <c r="H13" s="371"/>
      <c r="I13" s="371"/>
      <c r="J13" s="371"/>
      <c r="K13" s="251"/>
      <c r="L13" s="253"/>
    </row>
    <row r="14" spans="2:12" x14ac:dyDescent="0.45">
      <c r="B14" s="373"/>
      <c r="C14" s="376" t="s">
        <v>183</v>
      </c>
      <c r="D14" s="376"/>
      <c r="E14" s="376"/>
      <c r="F14" s="287">
        <f>SUM(F5:F13)</f>
        <v>145000</v>
      </c>
    </row>
    <row r="15" spans="2:12" x14ac:dyDescent="0.45">
      <c r="B15" s="373"/>
      <c r="C15" s="375" t="s">
        <v>184</v>
      </c>
      <c r="D15" s="375"/>
      <c r="E15" s="375"/>
      <c r="F15" s="188">
        <f>F14/300</f>
        <v>483.33333333333331</v>
      </c>
    </row>
    <row r="16" spans="2:12" x14ac:dyDescent="0.45">
      <c r="B16" s="373"/>
      <c r="C16" s="375" t="s">
        <v>185</v>
      </c>
      <c r="D16" s="375"/>
      <c r="E16" s="375"/>
      <c r="F16" s="188">
        <f>F15*1.15</f>
        <v>555.83333333333326</v>
      </c>
    </row>
    <row r="18" spans="2:6" x14ac:dyDescent="0.45">
      <c r="B18" s="182"/>
      <c r="C18" s="369" t="s">
        <v>179</v>
      </c>
      <c r="D18" s="369"/>
      <c r="E18" s="369"/>
      <c r="F18" s="183">
        <f>SUM(F14:F17)</f>
        <v>146039.16666666669</v>
      </c>
    </row>
    <row r="19" spans="2:6" x14ac:dyDescent="0.45">
      <c r="B19" s="184" t="s">
        <v>0</v>
      </c>
      <c r="C19" s="185" t="s">
        <v>180</v>
      </c>
      <c r="D19" s="185" t="s">
        <v>21</v>
      </c>
      <c r="E19" s="185" t="s">
        <v>181</v>
      </c>
      <c r="F19" s="185" t="s">
        <v>182</v>
      </c>
    </row>
    <row r="20" spans="2:6" x14ac:dyDescent="0.45">
      <c r="B20" s="372"/>
      <c r="C20" s="186"/>
      <c r="D20" s="186"/>
      <c r="E20" s="186"/>
      <c r="F20" s="186"/>
    </row>
    <row r="21" spans="2:6" x14ac:dyDescent="0.45">
      <c r="B21" s="373"/>
      <c r="C21" s="186"/>
      <c r="D21" s="186"/>
      <c r="E21" s="186"/>
      <c r="F21" s="186"/>
    </row>
    <row r="22" spans="2:6" x14ac:dyDescent="0.45">
      <c r="B22" s="373"/>
      <c r="C22" s="186"/>
      <c r="D22" s="186"/>
      <c r="E22" s="186"/>
      <c r="F22" s="186"/>
    </row>
    <row r="23" spans="2:6" x14ac:dyDescent="0.45">
      <c r="B23" s="373"/>
      <c r="C23" s="186"/>
      <c r="D23" s="186"/>
      <c r="E23" s="186"/>
      <c r="F23" s="186"/>
    </row>
    <row r="24" spans="2:6" x14ac:dyDescent="0.45">
      <c r="B24" s="373"/>
      <c r="C24" s="186"/>
      <c r="D24" s="186"/>
      <c r="E24" s="186"/>
      <c r="F24" s="186"/>
    </row>
    <row r="25" spans="2:6" x14ac:dyDescent="0.45">
      <c r="B25" s="373"/>
      <c r="D25" s="186"/>
      <c r="E25" s="186"/>
      <c r="F25" s="186"/>
    </row>
    <row r="26" spans="2:6" x14ac:dyDescent="0.45">
      <c r="B26" s="373"/>
      <c r="C26" s="186"/>
      <c r="D26" s="186"/>
      <c r="E26" s="186"/>
      <c r="F26" s="186"/>
    </row>
    <row r="27" spans="2:6" x14ac:dyDescent="0.45">
      <c r="B27" s="373"/>
      <c r="C27" s="186"/>
      <c r="D27" s="186"/>
      <c r="E27" s="186"/>
      <c r="F27" s="186"/>
    </row>
    <row r="28" spans="2:6" x14ac:dyDescent="0.45">
      <c r="B28" s="373"/>
      <c r="C28" s="186"/>
      <c r="D28" s="186"/>
      <c r="E28" s="186"/>
      <c r="F28" s="186"/>
    </row>
    <row r="29" spans="2:6" x14ac:dyDescent="0.45">
      <c r="B29" s="373"/>
      <c r="C29" s="186"/>
      <c r="D29" s="186"/>
      <c r="E29" s="186"/>
      <c r="F29" s="186"/>
    </row>
    <row r="30" spans="2:6" x14ac:dyDescent="0.45">
      <c r="B30" s="373"/>
      <c r="C30" s="186"/>
      <c r="D30" s="186"/>
      <c r="E30" s="186"/>
      <c r="F30" s="186"/>
    </row>
    <row r="31" spans="2:6" x14ac:dyDescent="0.45">
      <c r="B31" s="373"/>
      <c r="C31" s="186"/>
      <c r="D31" s="186"/>
      <c r="E31" s="186"/>
      <c r="F31" s="186"/>
    </row>
    <row r="32" spans="2:6" x14ac:dyDescent="0.45">
      <c r="B32" s="373"/>
      <c r="C32" s="374" t="s">
        <v>183</v>
      </c>
      <c r="D32" s="374"/>
      <c r="E32" s="374"/>
      <c r="F32" s="187">
        <f>SUM(F20:F31)</f>
        <v>0</v>
      </c>
    </row>
    <row r="33" spans="2:6" x14ac:dyDescent="0.45">
      <c r="B33" s="373"/>
      <c r="C33" s="375" t="s">
        <v>184</v>
      </c>
      <c r="D33" s="375"/>
      <c r="E33" s="375"/>
      <c r="F33" s="188">
        <f>F32/300</f>
        <v>0</v>
      </c>
    </row>
    <row r="34" spans="2:6" x14ac:dyDescent="0.45">
      <c r="B34" s="373"/>
      <c r="C34" s="375" t="s">
        <v>185</v>
      </c>
      <c r="D34" s="375"/>
      <c r="E34" s="375"/>
      <c r="F34" s="188">
        <f>F33*1.15</f>
        <v>0</v>
      </c>
    </row>
    <row r="37" spans="2:6" x14ac:dyDescent="0.45">
      <c r="B37" s="182"/>
      <c r="C37" s="369" t="s">
        <v>179</v>
      </c>
      <c r="D37" s="369"/>
      <c r="E37" s="369"/>
      <c r="F37" s="183"/>
    </row>
    <row r="38" spans="2:6" x14ac:dyDescent="0.45">
      <c r="B38" s="184" t="s">
        <v>0</v>
      </c>
      <c r="C38" s="185" t="s">
        <v>180</v>
      </c>
      <c r="D38" s="185" t="s">
        <v>21</v>
      </c>
      <c r="E38" s="185" t="s">
        <v>181</v>
      </c>
      <c r="F38" s="185" t="s">
        <v>182</v>
      </c>
    </row>
    <row r="39" spans="2:6" x14ac:dyDescent="0.45">
      <c r="B39" s="372"/>
      <c r="C39" s="186"/>
      <c r="D39" s="186"/>
      <c r="E39" s="186"/>
      <c r="F39" s="186"/>
    </row>
    <row r="40" spans="2:6" x14ac:dyDescent="0.45">
      <c r="B40" s="373"/>
      <c r="C40" s="186"/>
      <c r="D40" s="186"/>
      <c r="E40" s="186"/>
      <c r="F40" s="186"/>
    </row>
    <row r="41" spans="2:6" x14ac:dyDescent="0.45">
      <c r="B41" s="373"/>
      <c r="C41" s="186"/>
      <c r="D41" s="186"/>
      <c r="E41" s="186"/>
      <c r="F41" s="186"/>
    </row>
    <row r="42" spans="2:6" x14ac:dyDescent="0.45">
      <c r="B42" s="373"/>
      <c r="C42" s="186"/>
      <c r="D42" s="186"/>
      <c r="E42" s="186"/>
      <c r="F42" s="186"/>
    </row>
    <row r="43" spans="2:6" x14ac:dyDescent="0.45">
      <c r="B43" s="373"/>
      <c r="C43" s="186"/>
      <c r="D43" s="186"/>
      <c r="E43" s="186"/>
      <c r="F43" s="186"/>
    </row>
    <row r="44" spans="2:6" x14ac:dyDescent="0.45">
      <c r="B44" s="373"/>
      <c r="D44" s="186"/>
      <c r="E44" s="186"/>
      <c r="F44" s="186"/>
    </row>
    <row r="45" spans="2:6" x14ac:dyDescent="0.45">
      <c r="B45" s="373"/>
      <c r="C45" s="186"/>
      <c r="D45" s="186"/>
      <c r="E45" s="186"/>
      <c r="F45" s="186"/>
    </row>
    <row r="46" spans="2:6" x14ac:dyDescent="0.45">
      <c r="B46" s="373"/>
      <c r="C46" s="186"/>
      <c r="D46" s="186"/>
      <c r="E46" s="186"/>
      <c r="F46" s="186"/>
    </row>
    <row r="47" spans="2:6" x14ac:dyDescent="0.45">
      <c r="B47" s="373"/>
      <c r="C47" s="186"/>
      <c r="D47" s="186"/>
      <c r="E47" s="186"/>
      <c r="F47" s="186"/>
    </row>
    <row r="48" spans="2:6" x14ac:dyDescent="0.45">
      <c r="B48" s="373"/>
      <c r="C48" s="186"/>
      <c r="D48" s="186"/>
      <c r="E48" s="186"/>
      <c r="F48" s="186"/>
    </row>
    <row r="49" spans="2:6" x14ac:dyDescent="0.45">
      <c r="B49" s="373"/>
      <c r="C49" s="186"/>
      <c r="D49" s="186"/>
      <c r="E49" s="186"/>
      <c r="F49" s="186"/>
    </row>
    <row r="50" spans="2:6" x14ac:dyDescent="0.45">
      <c r="B50" s="373"/>
      <c r="C50" s="186"/>
      <c r="D50" s="186"/>
      <c r="E50" s="186"/>
      <c r="F50" s="186"/>
    </row>
    <row r="51" spans="2:6" x14ac:dyDescent="0.45">
      <c r="B51" s="373"/>
      <c r="C51" s="374" t="s">
        <v>183</v>
      </c>
      <c r="D51" s="374"/>
      <c r="E51" s="374"/>
      <c r="F51" s="187">
        <f>SUM(F39:F50)</f>
        <v>0</v>
      </c>
    </row>
    <row r="52" spans="2:6" x14ac:dyDescent="0.45">
      <c r="B52" s="373"/>
      <c r="C52" s="375" t="s">
        <v>184</v>
      </c>
      <c r="D52" s="375"/>
      <c r="E52" s="375"/>
      <c r="F52" s="188">
        <f>F51/300</f>
        <v>0</v>
      </c>
    </row>
    <row r="53" spans="2:6" x14ac:dyDescent="0.45">
      <c r="B53" s="373"/>
      <c r="C53" s="375" t="s">
        <v>185</v>
      </c>
      <c r="D53" s="375"/>
      <c r="E53" s="375"/>
      <c r="F53" s="188">
        <f>F52*1.15</f>
        <v>0</v>
      </c>
    </row>
    <row r="57" spans="2:6" x14ac:dyDescent="0.45">
      <c r="B57" s="182"/>
      <c r="C57" s="369" t="s">
        <v>179</v>
      </c>
      <c r="D57" s="369"/>
      <c r="E57" s="369"/>
      <c r="F57" s="183"/>
    </row>
    <row r="58" spans="2:6" x14ac:dyDescent="0.45">
      <c r="B58" s="184" t="s">
        <v>0</v>
      </c>
      <c r="C58" s="185" t="s">
        <v>180</v>
      </c>
      <c r="D58" s="185" t="s">
        <v>21</v>
      </c>
      <c r="E58" s="185" t="s">
        <v>181</v>
      </c>
      <c r="F58" s="185" t="s">
        <v>182</v>
      </c>
    </row>
    <row r="59" spans="2:6" x14ac:dyDescent="0.45">
      <c r="B59" s="372"/>
      <c r="C59" s="186"/>
      <c r="D59" s="186">
        <v>1</v>
      </c>
      <c r="E59" s="186">
        <v>300</v>
      </c>
      <c r="F59" s="186">
        <f>E59*D59</f>
        <v>300</v>
      </c>
    </row>
    <row r="60" spans="2:6" x14ac:dyDescent="0.45">
      <c r="B60" s="373"/>
      <c r="C60" s="186"/>
      <c r="D60" s="186">
        <v>1</v>
      </c>
      <c r="E60" s="186">
        <v>1000</v>
      </c>
      <c r="F60" s="186">
        <f t="shared" ref="F60:F68" si="1">E60*D60</f>
        <v>1000</v>
      </c>
    </row>
    <row r="61" spans="2:6" x14ac:dyDescent="0.45">
      <c r="B61" s="373"/>
      <c r="C61" s="186"/>
      <c r="D61" s="186">
        <v>6</v>
      </c>
      <c r="E61" s="186">
        <v>1000</v>
      </c>
      <c r="F61" s="186">
        <f t="shared" si="1"/>
        <v>6000</v>
      </c>
    </row>
    <row r="62" spans="2:6" x14ac:dyDescent="0.45">
      <c r="B62" s="373"/>
      <c r="C62" s="186"/>
      <c r="D62" s="186">
        <v>1</v>
      </c>
      <c r="E62" s="186">
        <v>3000</v>
      </c>
      <c r="F62" s="186">
        <f t="shared" si="1"/>
        <v>3000</v>
      </c>
    </row>
    <row r="63" spans="2:6" x14ac:dyDescent="0.45">
      <c r="B63" s="373"/>
      <c r="C63" s="186"/>
      <c r="D63" s="186">
        <v>50</v>
      </c>
      <c r="E63" s="186">
        <v>40</v>
      </c>
      <c r="F63" s="186">
        <f t="shared" si="1"/>
        <v>2000</v>
      </c>
    </row>
    <row r="64" spans="2:6" x14ac:dyDescent="0.45">
      <c r="B64" s="373"/>
      <c r="D64" s="186">
        <v>100</v>
      </c>
      <c r="E64" s="186">
        <v>50</v>
      </c>
      <c r="F64" s="186">
        <f t="shared" si="1"/>
        <v>5000</v>
      </c>
    </row>
    <row r="65" spans="2:6" x14ac:dyDescent="0.45">
      <c r="B65" s="373"/>
      <c r="C65" s="186"/>
      <c r="D65" s="186">
        <v>1</v>
      </c>
      <c r="E65" s="186">
        <v>1500</v>
      </c>
      <c r="F65" s="186">
        <f t="shared" si="1"/>
        <v>1500</v>
      </c>
    </row>
    <row r="66" spans="2:6" x14ac:dyDescent="0.45">
      <c r="B66" s="373"/>
      <c r="C66" s="186"/>
      <c r="D66" s="186">
        <v>200</v>
      </c>
      <c r="E66" s="186">
        <v>15</v>
      </c>
      <c r="F66" s="186">
        <f t="shared" si="1"/>
        <v>3000</v>
      </c>
    </row>
    <row r="67" spans="2:6" x14ac:dyDescent="0.45">
      <c r="B67" s="373"/>
      <c r="C67" s="186"/>
      <c r="D67" s="186">
        <v>1</v>
      </c>
      <c r="E67" s="186">
        <v>2000</v>
      </c>
      <c r="F67" s="186">
        <f t="shared" si="1"/>
        <v>2000</v>
      </c>
    </row>
    <row r="68" spans="2:6" x14ac:dyDescent="0.45">
      <c r="B68" s="373"/>
      <c r="C68" s="186"/>
      <c r="D68" s="186">
        <v>150</v>
      </c>
      <c r="E68" s="186">
        <v>40</v>
      </c>
      <c r="F68" s="186">
        <f t="shared" si="1"/>
        <v>6000</v>
      </c>
    </row>
    <row r="69" spans="2:6" x14ac:dyDescent="0.45">
      <c r="B69" s="373"/>
      <c r="C69" s="186"/>
      <c r="D69" s="186"/>
      <c r="E69" s="186"/>
      <c r="F69" s="186"/>
    </row>
    <row r="70" spans="2:6" x14ac:dyDescent="0.45">
      <c r="B70" s="373"/>
      <c r="C70" s="186"/>
      <c r="D70" s="186"/>
      <c r="E70" s="186"/>
      <c r="F70" s="186"/>
    </row>
    <row r="71" spans="2:6" x14ac:dyDescent="0.45">
      <c r="B71" s="373"/>
      <c r="C71" s="374" t="s">
        <v>183</v>
      </c>
      <c r="D71" s="374"/>
      <c r="E71" s="374"/>
      <c r="F71" s="187">
        <f>SUM(F59:F70)</f>
        <v>29800</v>
      </c>
    </row>
    <row r="72" spans="2:6" x14ac:dyDescent="0.45">
      <c r="B72" s="373"/>
      <c r="C72" s="375" t="s">
        <v>184</v>
      </c>
      <c r="D72" s="375"/>
      <c r="E72" s="375"/>
      <c r="F72" s="188">
        <f>F71/300</f>
        <v>99.333333333333329</v>
      </c>
    </row>
    <row r="73" spans="2:6" x14ac:dyDescent="0.45">
      <c r="B73" s="373"/>
      <c r="C73" s="375" t="s">
        <v>185</v>
      </c>
      <c r="D73" s="375"/>
      <c r="E73" s="375"/>
      <c r="F73" s="188">
        <f>F72*1.15</f>
        <v>114.23333333333332</v>
      </c>
    </row>
  </sheetData>
  <mergeCells count="30">
    <mergeCell ref="C57:E57"/>
    <mergeCell ref="B59:B73"/>
    <mergeCell ref="C71:E71"/>
    <mergeCell ref="C72:E72"/>
    <mergeCell ref="C73:E73"/>
    <mergeCell ref="B39:B53"/>
    <mergeCell ref="C51:E51"/>
    <mergeCell ref="C52:E52"/>
    <mergeCell ref="C53:E53"/>
    <mergeCell ref="B5:B16"/>
    <mergeCell ref="C14:E14"/>
    <mergeCell ref="C15:E15"/>
    <mergeCell ref="C16:E16"/>
    <mergeCell ref="C18:E18"/>
    <mergeCell ref="B20:B34"/>
    <mergeCell ref="C32:E32"/>
    <mergeCell ref="C33:E33"/>
    <mergeCell ref="C34:E34"/>
    <mergeCell ref="C37:E37"/>
    <mergeCell ref="C3:J3"/>
    <mergeCell ref="G9:J9"/>
    <mergeCell ref="G11:J11"/>
    <mergeCell ref="G12:J12"/>
    <mergeCell ref="G13:J13"/>
    <mergeCell ref="G4:J4"/>
    <mergeCell ref="G5:J5"/>
    <mergeCell ref="G7:J7"/>
    <mergeCell ref="G10:J10"/>
    <mergeCell ref="G8:J8"/>
    <mergeCell ref="G6:J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5C148-10CA-4EA2-AD51-50E15F9A0FD3}">
  <dimension ref="B3:I85"/>
  <sheetViews>
    <sheetView showGridLines="0" rightToLeft="1" topLeftCell="C1" zoomScale="130" zoomScaleNormal="130" workbookViewId="0">
      <selection activeCell="H9" sqref="H9"/>
    </sheetView>
  </sheetViews>
  <sheetFormatPr defaultColWidth="9" defaultRowHeight="16.5" x14ac:dyDescent="0.45"/>
  <cols>
    <col min="1" max="1" width="9" style="144"/>
    <col min="2" max="2" width="10.875" style="144" bestFit="1" customWidth="1"/>
    <col min="3" max="3" width="23.875" style="144" bestFit="1" customWidth="1"/>
    <col min="4" max="4" width="10.875" style="144" customWidth="1"/>
    <col min="5" max="5" width="13.875" style="144" bestFit="1" customWidth="1"/>
    <col min="6" max="6" width="15.625" style="144" bestFit="1" customWidth="1"/>
    <col min="7" max="7" width="16.375" style="144" bestFit="1" customWidth="1"/>
    <col min="8" max="8" width="16.375" style="144" customWidth="1"/>
    <col min="9" max="9" width="18" style="144" customWidth="1"/>
    <col min="10" max="16384" width="9" style="144"/>
  </cols>
  <sheetData>
    <row r="3" spans="2:9" ht="18" x14ac:dyDescent="0.5">
      <c r="B3" s="182"/>
      <c r="C3" s="380" t="s">
        <v>277</v>
      </c>
      <c r="D3" s="382"/>
      <c r="E3" s="382"/>
      <c r="F3" s="382"/>
      <c r="G3" s="381"/>
      <c r="H3" s="380" t="s">
        <v>276</v>
      </c>
      <c r="I3" s="381"/>
    </row>
    <row r="4" spans="2:9" x14ac:dyDescent="0.45">
      <c r="B4" s="184" t="s">
        <v>0</v>
      </c>
      <c r="C4" s="185" t="s">
        <v>228</v>
      </c>
      <c r="D4" s="185" t="s">
        <v>46</v>
      </c>
      <c r="E4" s="185" t="s">
        <v>229</v>
      </c>
      <c r="F4" s="185" t="s">
        <v>230</v>
      </c>
      <c r="G4" s="185" t="s">
        <v>182</v>
      </c>
      <c r="H4" s="185" t="s">
        <v>230</v>
      </c>
      <c r="I4" s="185" t="s">
        <v>182</v>
      </c>
    </row>
    <row r="5" spans="2:9" x14ac:dyDescent="0.45">
      <c r="B5" s="372" t="s">
        <v>240</v>
      </c>
      <c r="C5" s="265" t="s">
        <v>255</v>
      </c>
      <c r="D5" s="267">
        <v>1</v>
      </c>
      <c r="E5" s="186">
        <v>12</v>
      </c>
      <c r="F5" s="186">
        <v>15000</v>
      </c>
      <c r="G5" s="186">
        <f>F5*E5*D5</f>
        <v>180000</v>
      </c>
      <c r="H5" s="186">
        <f>F5/3</f>
        <v>5000</v>
      </c>
      <c r="I5" s="186">
        <f>H5*E5*D5</f>
        <v>60000</v>
      </c>
    </row>
    <row r="6" spans="2:9" x14ac:dyDescent="0.45">
      <c r="B6" s="373"/>
      <c r="C6" s="265" t="s">
        <v>257</v>
      </c>
      <c r="D6" s="267">
        <v>1</v>
      </c>
      <c r="E6" s="186">
        <v>12</v>
      </c>
      <c r="F6" s="186">
        <v>12000</v>
      </c>
      <c r="G6" s="186">
        <f t="shared" ref="G6:G25" si="0">F6*E6*D6</f>
        <v>144000</v>
      </c>
      <c r="H6" s="186">
        <f t="shared" ref="H6:H9" si="1">F6/3</f>
        <v>4000</v>
      </c>
      <c r="I6" s="186">
        <f t="shared" ref="I6:I25" si="2">H6*E6*D6</f>
        <v>48000</v>
      </c>
    </row>
    <row r="7" spans="2:9" x14ac:dyDescent="0.45">
      <c r="B7" s="373"/>
      <c r="C7" s="265" t="s">
        <v>259</v>
      </c>
      <c r="D7" s="267">
        <v>1</v>
      </c>
      <c r="E7" s="186">
        <v>12</v>
      </c>
      <c r="F7" s="186">
        <v>15000</v>
      </c>
      <c r="G7" s="186">
        <f t="shared" si="0"/>
        <v>180000</v>
      </c>
      <c r="H7" s="186">
        <f t="shared" si="1"/>
        <v>5000</v>
      </c>
      <c r="I7" s="186">
        <f t="shared" si="2"/>
        <v>60000</v>
      </c>
    </row>
    <row r="8" spans="2:9" x14ac:dyDescent="0.45">
      <c r="B8" s="373"/>
      <c r="C8" s="265" t="s">
        <v>258</v>
      </c>
      <c r="D8" s="267">
        <v>1</v>
      </c>
      <c r="E8" s="186">
        <v>12</v>
      </c>
      <c r="F8" s="186">
        <v>14000</v>
      </c>
      <c r="G8" s="186">
        <f t="shared" si="0"/>
        <v>168000</v>
      </c>
      <c r="H8" s="186">
        <v>4500</v>
      </c>
      <c r="I8" s="186">
        <f t="shared" si="2"/>
        <v>54000</v>
      </c>
    </row>
    <row r="9" spans="2:9" x14ac:dyDescent="0.45">
      <c r="B9" s="373"/>
      <c r="C9" s="265" t="s">
        <v>262</v>
      </c>
      <c r="D9" s="267">
        <v>1</v>
      </c>
      <c r="E9" s="186">
        <v>12</v>
      </c>
      <c r="F9" s="186">
        <v>12000</v>
      </c>
      <c r="G9" s="186">
        <f t="shared" si="0"/>
        <v>144000</v>
      </c>
      <c r="H9" s="186">
        <f t="shared" si="1"/>
        <v>4000</v>
      </c>
      <c r="I9" s="186">
        <f t="shared" si="2"/>
        <v>48000</v>
      </c>
    </row>
    <row r="10" spans="2:9" x14ac:dyDescent="0.45">
      <c r="B10" s="373"/>
      <c r="C10" s="266" t="s">
        <v>256</v>
      </c>
      <c r="D10" s="267">
        <v>1</v>
      </c>
      <c r="E10" s="186">
        <v>12</v>
      </c>
      <c r="F10" s="186">
        <v>10000</v>
      </c>
      <c r="G10" s="186">
        <f t="shared" si="0"/>
        <v>120000</v>
      </c>
      <c r="H10" s="186">
        <v>3500</v>
      </c>
      <c r="I10" s="186">
        <f t="shared" si="2"/>
        <v>42000</v>
      </c>
    </row>
    <row r="11" spans="2:9" x14ac:dyDescent="0.45">
      <c r="B11" s="373"/>
      <c r="C11" s="265" t="s">
        <v>260</v>
      </c>
      <c r="D11" s="267">
        <v>1</v>
      </c>
      <c r="E11" s="186">
        <v>12</v>
      </c>
      <c r="F11" s="186">
        <v>8000</v>
      </c>
      <c r="G11" s="186">
        <f t="shared" si="0"/>
        <v>96000</v>
      </c>
      <c r="H11" s="186">
        <f t="shared" ref="H11:H16" si="3">F11/4</f>
        <v>2000</v>
      </c>
      <c r="I11" s="186">
        <f t="shared" si="2"/>
        <v>24000</v>
      </c>
    </row>
    <row r="12" spans="2:9" x14ac:dyDescent="0.45">
      <c r="B12" s="373"/>
      <c r="C12" s="265" t="s">
        <v>261</v>
      </c>
      <c r="D12" s="267">
        <v>1</v>
      </c>
      <c r="E12" s="186">
        <v>12</v>
      </c>
      <c r="F12" s="186">
        <v>12000</v>
      </c>
      <c r="G12" s="186">
        <f t="shared" si="0"/>
        <v>144000</v>
      </c>
      <c r="H12" s="186">
        <f t="shared" si="3"/>
        <v>3000</v>
      </c>
      <c r="I12" s="186">
        <f t="shared" si="2"/>
        <v>36000</v>
      </c>
    </row>
    <row r="13" spans="2:9" x14ac:dyDescent="0.45">
      <c r="B13" s="373"/>
      <c r="C13" s="265" t="s">
        <v>263</v>
      </c>
      <c r="D13" s="267">
        <v>1</v>
      </c>
      <c r="E13" s="186">
        <v>12</v>
      </c>
      <c r="F13" s="186">
        <v>10000</v>
      </c>
      <c r="G13" s="186">
        <f t="shared" si="0"/>
        <v>120000</v>
      </c>
      <c r="H13" s="186">
        <f t="shared" si="3"/>
        <v>2500</v>
      </c>
      <c r="I13" s="186">
        <f t="shared" si="2"/>
        <v>30000</v>
      </c>
    </row>
    <row r="14" spans="2:9" x14ac:dyDescent="0.45">
      <c r="B14" s="373"/>
      <c r="C14" s="265" t="s">
        <v>264</v>
      </c>
      <c r="D14" s="267">
        <v>1</v>
      </c>
      <c r="E14" s="186">
        <v>12</v>
      </c>
      <c r="F14" s="186">
        <v>10000</v>
      </c>
      <c r="G14" s="186">
        <f t="shared" si="0"/>
        <v>120000</v>
      </c>
      <c r="H14" s="186">
        <f t="shared" si="3"/>
        <v>2500</v>
      </c>
      <c r="I14" s="186">
        <f t="shared" si="2"/>
        <v>30000</v>
      </c>
    </row>
    <row r="15" spans="2:9" x14ac:dyDescent="0.45">
      <c r="B15" s="373"/>
      <c r="C15" s="265" t="s">
        <v>265</v>
      </c>
      <c r="D15" s="267">
        <v>1</v>
      </c>
      <c r="E15" s="186">
        <v>12</v>
      </c>
      <c r="F15" s="186">
        <v>10000</v>
      </c>
      <c r="G15" s="186">
        <f t="shared" si="0"/>
        <v>120000</v>
      </c>
      <c r="H15" s="186">
        <f t="shared" si="3"/>
        <v>2500</v>
      </c>
      <c r="I15" s="186">
        <f t="shared" si="2"/>
        <v>30000</v>
      </c>
    </row>
    <row r="16" spans="2:9" x14ac:dyDescent="0.45">
      <c r="B16" s="373"/>
      <c r="C16" s="265" t="s">
        <v>266</v>
      </c>
      <c r="D16" s="267">
        <v>1</v>
      </c>
      <c r="E16" s="186">
        <v>12</v>
      </c>
      <c r="F16" s="186">
        <v>8000</v>
      </c>
      <c r="G16" s="186">
        <f t="shared" si="0"/>
        <v>96000</v>
      </c>
      <c r="H16" s="186">
        <f t="shared" si="3"/>
        <v>2000</v>
      </c>
      <c r="I16" s="186">
        <f t="shared" si="2"/>
        <v>24000</v>
      </c>
    </row>
    <row r="17" spans="2:9" x14ac:dyDescent="0.45">
      <c r="B17" s="373"/>
      <c r="C17" s="265" t="s">
        <v>267</v>
      </c>
      <c r="D17" s="267">
        <v>1</v>
      </c>
      <c r="E17" s="186">
        <v>12</v>
      </c>
      <c r="F17" s="186">
        <v>6000</v>
      </c>
      <c r="G17" s="186">
        <f t="shared" si="0"/>
        <v>72000</v>
      </c>
      <c r="H17" s="186">
        <v>2000</v>
      </c>
      <c r="I17" s="186">
        <f t="shared" si="2"/>
        <v>24000</v>
      </c>
    </row>
    <row r="18" spans="2:9" x14ac:dyDescent="0.45">
      <c r="B18" s="373"/>
      <c r="C18" s="265" t="s">
        <v>268</v>
      </c>
      <c r="D18" s="267">
        <v>1</v>
      </c>
      <c r="E18" s="186">
        <v>12</v>
      </c>
      <c r="F18" s="186">
        <v>7000</v>
      </c>
      <c r="G18" s="186">
        <f t="shared" si="0"/>
        <v>84000</v>
      </c>
      <c r="H18" s="186">
        <v>2000</v>
      </c>
      <c r="I18" s="186">
        <f t="shared" si="2"/>
        <v>24000</v>
      </c>
    </row>
    <row r="19" spans="2:9" x14ac:dyDescent="0.45">
      <c r="B19" s="373"/>
      <c r="C19" s="265" t="s">
        <v>269</v>
      </c>
      <c r="D19" s="267">
        <v>1</v>
      </c>
      <c r="E19" s="186">
        <v>12</v>
      </c>
      <c r="F19" s="186">
        <v>7000</v>
      </c>
      <c r="G19" s="186">
        <f t="shared" si="0"/>
        <v>84000</v>
      </c>
      <c r="H19" s="186">
        <v>2000</v>
      </c>
      <c r="I19" s="186">
        <f t="shared" si="2"/>
        <v>24000</v>
      </c>
    </row>
    <row r="20" spans="2:9" x14ac:dyDescent="0.45">
      <c r="B20" s="373"/>
      <c r="C20" s="265" t="s">
        <v>270</v>
      </c>
      <c r="D20" s="267">
        <v>1</v>
      </c>
      <c r="E20" s="186">
        <v>12</v>
      </c>
      <c r="F20" s="186">
        <v>7000</v>
      </c>
      <c r="G20" s="186">
        <f t="shared" si="0"/>
        <v>84000</v>
      </c>
      <c r="H20" s="186">
        <v>2000</v>
      </c>
      <c r="I20" s="186">
        <f t="shared" si="2"/>
        <v>24000</v>
      </c>
    </row>
    <row r="21" spans="2:9" x14ac:dyDescent="0.45">
      <c r="B21" s="373"/>
      <c r="C21" s="265" t="s">
        <v>271</v>
      </c>
      <c r="D21" s="267">
        <v>1</v>
      </c>
      <c r="E21" s="186">
        <v>12</v>
      </c>
      <c r="F21" s="186">
        <v>7000</v>
      </c>
      <c r="G21" s="186">
        <f t="shared" si="0"/>
        <v>84000</v>
      </c>
      <c r="H21" s="186">
        <v>2000</v>
      </c>
      <c r="I21" s="186">
        <f t="shared" si="2"/>
        <v>24000</v>
      </c>
    </row>
    <row r="22" spans="2:9" x14ac:dyDescent="0.45">
      <c r="B22" s="373"/>
      <c r="C22" s="265" t="s">
        <v>272</v>
      </c>
      <c r="D22" s="267">
        <v>6</v>
      </c>
      <c r="E22" s="186">
        <v>12</v>
      </c>
      <c r="F22" s="186">
        <v>5000</v>
      </c>
      <c r="G22" s="186">
        <f t="shared" si="0"/>
        <v>360000</v>
      </c>
      <c r="H22" s="186">
        <v>500</v>
      </c>
      <c r="I22" s="186">
        <f t="shared" si="2"/>
        <v>36000</v>
      </c>
    </row>
    <row r="23" spans="2:9" x14ac:dyDescent="0.45">
      <c r="B23" s="373"/>
      <c r="C23" s="265" t="s">
        <v>273</v>
      </c>
      <c r="D23" s="267">
        <v>6</v>
      </c>
      <c r="E23" s="186">
        <v>12</v>
      </c>
      <c r="F23" s="186">
        <v>5000</v>
      </c>
      <c r="G23" s="186">
        <f t="shared" si="0"/>
        <v>360000</v>
      </c>
      <c r="H23" s="186">
        <v>500</v>
      </c>
      <c r="I23" s="186">
        <f t="shared" si="2"/>
        <v>36000</v>
      </c>
    </row>
    <row r="24" spans="2:9" x14ac:dyDescent="0.45">
      <c r="B24" s="373"/>
      <c r="C24" s="265" t="s">
        <v>274</v>
      </c>
      <c r="D24" s="267">
        <v>6</v>
      </c>
      <c r="E24" s="186">
        <v>12</v>
      </c>
      <c r="F24" s="186">
        <v>5000</v>
      </c>
      <c r="G24" s="186">
        <f t="shared" si="0"/>
        <v>360000</v>
      </c>
      <c r="H24" s="186">
        <v>500</v>
      </c>
      <c r="I24" s="186">
        <f t="shared" si="2"/>
        <v>36000</v>
      </c>
    </row>
    <row r="25" spans="2:9" x14ac:dyDescent="0.45">
      <c r="B25" s="373"/>
      <c r="C25" s="265" t="s">
        <v>275</v>
      </c>
      <c r="D25" s="267">
        <v>6</v>
      </c>
      <c r="E25" s="186">
        <v>12</v>
      </c>
      <c r="F25" s="186">
        <v>5000</v>
      </c>
      <c r="G25" s="186">
        <f t="shared" si="0"/>
        <v>360000</v>
      </c>
      <c r="H25" s="186">
        <v>500</v>
      </c>
      <c r="I25" s="186">
        <f t="shared" si="2"/>
        <v>36000</v>
      </c>
    </row>
    <row r="26" spans="2:9" x14ac:dyDescent="0.45">
      <c r="B26" s="373"/>
      <c r="C26" s="374" t="s">
        <v>183</v>
      </c>
      <c r="D26" s="374"/>
      <c r="E26" s="374"/>
      <c r="F26" s="374"/>
      <c r="G26" s="187">
        <f>SUM(G5:G25)</f>
        <v>3480000</v>
      </c>
      <c r="H26" s="187"/>
      <c r="I26" s="187">
        <f>SUM(I5:I25)</f>
        <v>750000</v>
      </c>
    </row>
    <row r="27" spans="2:9" x14ac:dyDescent="0.45">
      <c r="B27" s="373"/>
      <c r="C27" s="375" t="s">
        <v>184</v>
      </c>
      <c r="D27" s="375"/>
      <c r="E27" s="375"/>
      <c r="F27" s="375"/>
      <c r="G27" s="188">
        <f>G26/300</f>
        <v>11600</v>
      </c>
      <c r="H27" s="188"/>
      <c r="I27" s="188">
        <f>I26/300</f>
        <v>2500</v>
      </c>
    </row>
    <row r="28" spans="2:9" x14ac:dyDescent="0.45">
      <c r="B28" s="373"/>
      <c r="C28" s="375" t="s">
        <v>185</v>
      </c>
      <c r="D28" s="375"/>
      <c r="E28" s="375"/>
      <c r="F28" s="375"/>
      <c r="G28" s="188">
        <f>G27*1.15</f>
        <v>13339.999999999998</v>
      </c>
      <c r="H28" s="188"/>
      <c r="I28" s="188">
        <f>I27*1.15</f>
        <v>2875</v>
      </c>
    </row>
    <row r="30" spans="2:9" x14ac:dyDescent="0.45">
      <c r="B30" s="182"/>
      <c r="C30" s="369" t="s">
        <v>179</v>
      </c>
      <c r="D30" s="369"/>
      <c r="E30" s="369"/>
      <c r="F30" s="369"/>
      <c r="G30" s="183">
        <f>SUM(G24:G29)</f>
        <v>4224940</v>
      </c>
      <c r="H30" s="268"/>
    </row>
    <row r="31" spans="2:9" x14ac:dyDescent="0.45">
      <c r="B31" s="184" t="s">
        <v>0</v>
      </c>
      <c r="C31" s="185" t="s">
        <v>180</v>
      </c>
      <c r="D31" s="185"/>
      <c r="E31" s="185" t="s">
        <v>21</v>
      </c>
      <c r="F31" s="185" t="s">
        <v>181</v>
      </c>
      <c r="G31" s="185" t="s">
        <v>182</v>
      </c>
      <c r="H31" s="256"/>
    </row>
    <row r="32" spans="2:9" x14ac:dyDescent="0.45">
      <c r="B32" s="372"/>
      <c r="C32" s="186"/>
      <c r="D32" s="186"/>
      <c r="E32" s="186"/>
      <c r="F32" s="186"/>
      <c r="G32" s="186"/>
      <c r="H32" s="269"/>
    </row>
    <row r="33" spans="2:8" x14ac:dyDescent="0.45">
      <c r="B33" s="373"/>
      <c r="C33" s="186"/>
      <c r="D33" s="186"/>
      <c r="E33" s="186"/>
      <c r="F33" s="186"/>
      <c r="G33" s="186"/>
      <c r="H33" s="269"/>
    </row>
    <row r="34" spans="2:8" x14ac:dyDescent="0.45">
      <c r="B34" s="373"/>
      <c r="C34" s="186"/>
      <c r="D34" s="186"/>
      <c r="E34" s="186"/>
      <c r="F34" s="186"/>
      <c r="G34" s="186"/>
      <c r="H34" s="269"/>
    </row>
    <row r="35" spans="2:8" x14ac:dyDescent="0.45">
      <c r="B35" s="373"/>
      <c r="C35" s="186"/>
      <c r="D35" s="186"/>
      <c r="E35" s="186"/>
      <c r="F35" s="186"/>
      <c r="G35" s="186"/>
      <c r="H35" s="269"/>
    </row>
    <row r="36" spans="2:8" x14ac:dyDescent="0.45">
      <c r="B36" s="373"/>
      <c r="C36" s="186"/>
      <c r="D36" s="186"/>
      <c r="E36" s="186"/>
      <c r="F36" s="186"/>
      <c r="G36" s="186"/>
      <c r="H36" s="269"/>
    </row>
    <row r="37" spans="2:8" x14ac:dyDescent="0.45">
      <c r="B37" s="373"/>
      <c r="E37" s="186"/>
      <c r="F37" s="186"/>
      <c r="G37" s="186"/>
      <c r="H37" s="269"/>
    </row>
    <row r="38" spans="2:8" x14ac:dyDescent="0.45">
      <c r="B38" s="373"/>
      <c r="C38" s="186"/>
      <c r="D38" s="186"/>
      <c r="E38" s="186"/>
      <c r="F38" s="186"/>
      <c r="G38" s="186"/>
      <c r="H38" s="269"/>
    </row>
    <row r="39" spans="2:8" x14ac:dyDescent="0.45">
      <c r="B39" s="373"/>
      <c r="C39" s="186"/>
      <c r="D39" s="186"/>
      <c r="E39" s="186"/>
      <c r="F39" s="186"/>
      <c r="G39" s="186"/>
      <c r="H39" s="269"/>
    </row>
    <row r="40" spans="2:8" x14ac:dyDescent="0.45">
      <c r="B40" s="373"/>
      <c r="C40" s="186"/>
      <c r="D40" s="186"/>
      <c r="E40" s="186"/>
      <c r="F40" s="186"/>
      <c r="G40" s="186"/>
      <c r="H40" s="269"/>
    </row>
    <row r="41" spans="2:8" x14ac:dyDescent="0.45">
      <c r="B41" s="373"/>
      <c r="C41" s="186"/>
      <c r="D41" s="186"/>
      <c r="E41" s="186"/>
      <c r="F41" s="186"/>
      <c r="G41" s="186"/>
      <c r="H41" s="269"/>
    </row>
    <row r="42" spans="2:8" x14ac:dyDescent="0.45">
      <c r="B42" s="373"/>
      <c r="C42" s="186"/>
      <c r="D42" s="186"/>
      <c r="E42" s="186"/>
      <c r="F42" s="186"/>
      <c r="G42" s="186"/>
      <c r="H42" s="269"/>
    </row>
    <row r="43" spans="2:8" x14ac:dyDescent="0.45">
      <c r="B43" s="373"/>
      <c r="C43" s="186"/>
      <c r="D43" s="186"/>
      <c r="E43" s="186"/>
      <c r="F43" s="186"/>
      <c r="G43" s="186"/>
      <c r="H43" s="269"/>
    </row>
    <row r="44" spans="2:8" x14ac:dyDescent="0.45">
      <c r="B44" s="373"/>
      <c r="C44" s="374" t="s">
        <v>183</v>
      </c>
      <c r="D44" s="374"/>
      <c r="E44" s="374"/>
      <c r="F44" s="374"/>
      <c r="G44" s="187">
        <f>SUM(G32:G43)</f>
        <v>0</v>
      </c>
      <c r="H44" s="270"/>
    </row>
    <row r="45" spans="2:8" x14ac:dyDescent="0.45">
      <c r="B45" s="373"/>
      <c r="C45" s="375" t="s">
        <v>184</v>
      </c>
      <c r="D45" s="375"/>
      <c r="E45" s="375"/>
      <c r="F45" s="375"/>
      <c r="G45" s="188">
        <f>G44/300</f>
        <v>0</v>
      </c>
      <c r="H45" s="271"/>
    </row>
    <row r="46" spans="2:8" x14ac:dyDescent="0.45">
      <c r="B46" s="373"/>
      <c r="C46" s="375" t="s">
        <v>185</v>
      </c>
      <c r="D46" s="375"/>
      <c r="E46" s="375"/>
      <c r="F46" s="375"/>
      <c r="G46" s="188">
        <f>G45*1.15</f>
        <v>0</v>
      </c>
      <c r="H46" s="271"/>
    </row>
    <row r="49" spans="2:8" x14ac:dyDescent="0.45">
      <c r="B49" s="182"/>
      <c r="C49" s="369" t="s">
        <v>179</v>
      </c>
      <c r="D49" s="369"/>
      <c r="E49" s="369"/>
      <c r="F49" s="369"/>
      <c r="G49" s="183"/>
      <c r="H49" s="268"/>
    </row>
    <row r="50" spans="2:8" x14ac:dyDescent="0.45">
      <c r="B50" s="184" t="s">
        <v>0</v>
      </c>
      <c r="C50" s="185" t="s">
        <v>180</v>
      </c>
      <c r="D50" s="185"/>
      <c r="E50" s="185" t="s">
        <v>21</v>
      </c>
      <c r="F50" s="185" t="s">
        <v>181</v>
      </c>
      <c r="G50" s="185" t="s">
        <v>182</v>
      </c>
      <c r="H50" s="256"/>
    </row>
    <row r="51" spans="2:8" x14ac:dyDescent="0.45">
      <c r="B51" s="372"/>
      <c r="C51" s="186"/>
      <c r="D51" s="186"/>
      <c r="E51" s="186">
        <v>1</v>
      </c>
      <c r="F51" s="186">
        <v>500</v>
      </c>
      <c r="G51" s="186">
        <f>F51*E51</f>
        <v>500</v>
      </c>
      <c r="H51" s="269"/>
    </row>
    <row r="52" spans="2:8" x14ac:dyDescent="0.45">
      <c r="B52" s="373"/>
      <c r="C52" s="186"/>
      <c r="D52" s="186"/>
      <c r="E52" s="186">
        <v>1</v>
      </c>
      <c r="F52" s="186">
        <v>3000</v>
      </c>
      <c r="G52" s="186">
        <f t="shared" ref="G52:G60" si="4">F52*E52</f>
        <v>3000</v>
      </c>
      <c r="H52" s="269"/>
    </row>
    <row r="53" spans="2:8" x14ac:dyDescent="0.45">
      <c r="B53" s="373"/>
      <c r="C53" s="186"/>
      <c r="D53" s="186"/>
      <c r="E53" s="186">
        <v>6</v>
      </c>
      <c r="F53" s="186">
        <v>1500</v>
      </c>
      <c r="G53" s="186">
        <f t="shared" si="4"/>
        <v>9000</v>
      </c>
      <c r="H53" s="269"/>
    </row>
    <row r="54" spans="2:8" x14ac:dyDescent="0.45">
      <c r="B54" s="373"/>
      <c r="C54" s="186"/>
      <c r="D54" s="186"/>
      <c r="E54" s="186">
        <v>1</v>
      </c>
      <c r="F54" s="186">
        <v>3000</v>
      </c>
      <c r="G54" s="186">
        <f t="shared" si="4"/>
        <v>3000</v>
      </c>
      <c r="H54" s="269"/>
    </row>
    <row r="55" spans="2:8" x14ac:dyDescent="0.45">
      <c r="B55" s="373"/>
      <c r="C55" s="186"/>
      <c r="D55" s="186"/>
      <c r="E55" s="186">
        <v>300</v>
      </c>
      <c r="F55" s="186">
        <v>140</v>
      </c>
      <c r="G55" s="186">
        <f t="shared" si="4"/>
        <v>42000</v>
      </c>
      <c r="H55" s="269"/>
    </row>
    <row r="56" spans="2:8" x14ac:dyDescent="0.45">
      <c r="B56" s="373"/>
      <c r="E56" s="186">
        <v>220</v>
      </c>
      <c r="F56" s="186">
        <v>50</v>
      </c>
      <c r="G56" s="186">
        <f t="shared" si="4"/>
        <v>11000</v>
      </c>
      <c r="H56" s="269"/>
    </row>
    <row r="57" spans="2:8" x14ac:dyDescent="0.45">
      <c r="B57" s="373"/>
      <c r="C57" s="186"/>
      <c r="D57" s="186"/>
      <c r="E57" s="186">
        <v>1</v>
      </c>
      <c r="F57" s="186">
        <v>2000</v>
      </c>
      <c r="G57" s="186">
        <f t="shared" si="4"/>
        <v>2000</v>
      </c>
      <c r="H57" s="269"/>
    </row>
    <row r="58" spans="2:8" x14ac:dyDescent="0.45">
      <c r="B58" s="373"/>
      <c r="C58" s="186"/>
      <c r="D58" s="186"/>
      <c r="E58" s="186">
        <v>400</v>
      </c>
      <c r="F58" s="186">
        <v>15</v>
      </c>
      <c r="G58" s="186">
        <f t="shared" si="4"/>
        <v>6000</v>
      </c>
      <c r="H58" s="269"/>
    </row>
    <row r="59" spans="2:8" x14ac:dyDescent="0.45">
      <c r="B59" s="373"/>
      <c r="C59" s="186"/>
      <c r="D59" s="186"/>
      <c r="E59" s="186">
        <v>1</v>
      </c>
      <c r="F59" s="186">
        <v>5000</v>
      </c>
      <c r="G59" s="186">
        <f t="shared" si="4"/>
        <v>5000</v>
      </c>
      <c r="H59" s="269"/>
    </row>
    <row r="60" spans="2:8" x14ac:dyDescent="0.45">
      <c r="B60" s="373"/>
      <c r="C60" s="186"/>
      <c r="D60" s="186"/>
      <c r="E60" s="186">
        <v>600</v>
      </c>
      <c r="F60" s="186">
        <v>40</v>
      </c>
      <c r="G60" s="186">
        <f t="shared" si="4"/>
        <v>24000</v>
      </c>
      <c r="H60" s="269"/>
    </row>
    <row r="61" spans="2:8" x14ac:dyDescent="0.45">
      <c r="B61" s="373"/>
      <c r="C61" s="186"/>
      <c r="D61" s="186"/>
      <c r="E61" s="186"/>
      <c r="F61" s="186"/>
      <c r="G61" s="186"/>
      <c r="H61" s="269"/>
    </row>
    <row r="62" spans="2:8" x14ac:dyDescent="0.45">
      <c r="B62" s="373"/>
      <c r="C62" s="186"/>
      <c r="D62" s="186"/>
      <c r="E62" s="186"/>
      <c r="F62" s="186"/>
      <c r="G62" s="186"/>
      <c r="H62" s="269"/>
    </row>
    <row r="63" spans="2:8" x14ac:dyDescent="0.45">
      <c r="B63" s="373"/>
      <c r="C63" s="374" t="s">
        <v>183</v>
      </c>
      <c r="D63" s="374"/>
      <c r="E63" s="374"/>
      <c r="F63" s="374"/>
      <c r="G63" s="187">
        <f>SUM(G51:G62)</f>
        <v>105500</v>
      </c>
      <c r="H63" s="270"/>
    </row>
    <row r="64" spans="2:8" x14ac:dyDescent="0.45">
      <c r="B64" s="373"/>
      <c r="C64" s="375" t="s">
        <v>184</v>
      </c>
      <c r="D64" s="375"/>
      <c r="E64" s="375"/>
      <c r="F64" s="375"/>
      <c r="G64" s="188">
        <f>G63/300</f>
        <v>351.66666666666669</v>
      </c>
      <c r="H64" s="271"/>
    </row>
    <row r="65" spans="2:8" x14ac:dyDescent="0.45">
      <c r="B65" s="373"/>
      <c r="C65" s="375" t="s">
        <v>185</v>
      </c>
      <c r="D65" s="375"/>
      <c r="E65" s="375"/>
      <c r="F65" s="375"/>
      <c r="G65" s="188">
        <f>G64*1.15</f>
        <v>404.41666666666669</v>
      </c>
      <c r="H65" s="271"/>
    </row>
    <row r="69" spans="2:8" x14ac:dyDescent="0.45">
      <c r="B69" s="182"/>
      <c r="C69" s="369" t="s">
        <v>179</v>
      </c>
      <c r="D69" s="369"/>
      <c r="E69" s="369"/>
      <c r="F69" s="369"/>
      <c r="G69" s="183"/>
      <c r="H69" s="268"/>
    </row>
    <row r="70" spans="2:8" x14ac:dyDescent="0.45">
      <c r="B70" s="184" t="s">
        <v>0</v>
      </c>
      <c r="C70" s="185" t="s">
        <v>180</v>
      </c>
      <c r="D70" s="185"/>
      <c r="E70" s="185" t="s">
        <v>21</v>
      </c>
      <c r="F70" s="185" t="s">
        <v>181</v>
      </c>
      <c r="G70" s="185" t="s">
        <v>182</v>
      </c>
      <c r="H70" s="256"/>
    </row>
    <row r="71" spans="2:8" x14ac:dyDescent="0.45">
      <c r="B71" s="372"/>
      <c r="C71" s="186"/>
      <c r="D71" s="186"/>
      <c r="E71" s="186">
        <v>1</v>
      </c>
      <c r="F71" s="186">
        <v>300</v>
      </c>
      <c r="G71" s="186">
        <f>F71*E71</f>
        <v>300</v>
      </c>
      <c r="H71" s="269"/>
    </row>
    <row r="72" spans="2:8" x14ac:dyDescent="0.45">
      <c r="B72" s="373"/>
      <c r="C72" s="186"/>
      <c r="D72" s="186"/>
      <c r="E72" s="186">
        <v>1</v>
      </c>
      <c r="F72" s="186">
        <v>1000</v>
      </c>
      <c r="G72" s="186">
        <f t="shared" ref="G72:G80" si="5">F72*E72</f>
        <v>1000</v>
      </c>
      <c r="H72" s="269"/>
    </row>
    <row r="73" spans="2:8" x14ac:dyDescent="0.45">
      <c r="B73" s="373"/>
      <c r="C73" s="186"/>
      <c r="D73" s="186"/>
      <c r="E73" s="186">
        <v>6</v>
      </c>
      <c r="F73" s="186">
        <v>1000</v>
      </c>
      <c r="G73" s="186">
        <f t="shared" si="5"/>
        <v>6000</v>
      </c>
      <c r="H73" s="269"/>
    </row>
    <row r="74" spans="2:8" x14ac:dyDescent="0.45">
      <c r="B74" s="373"/>
      <c r="C74" s="186"/>
      <c r="D74" s="186"/>
      <c r="E74" s="186">
        <v>1</v>
      </c>
      <c r="F74" s="186">
        <v>3000</v>
      </c>
      <c r="G74" s="186">
        <f t="shared" si="5"/>
        <v>3000</v>
      </c>
      <c r="H74" s="269"/>
    </row>
    <row r="75" spans="2:8" x14ac:dyDescent="0.45">
      <c r="B75" s="373"/>
      <c r="C75" s="186"/>
      <c r="D75" s="186"/>
      <c r="E75" s="186">
        <v>50</v>
      </c>
      <c r="F75" s="186">
        <v>40</v>
      </c>
      <c r="G75" s="186">
        <f t="shared" si="5"/>
        <v>2000</v>
      </c>
      <c r="H75" s="269"/>
    </row>
    <row r="76" spans="2:8" x14ac:dyDescent="0.45">
      <c r="B76" s="373"/>
      <c r="E76" s="186">
        <v>100</v>
      </c>
      <c r="F76" s="186">
        <v>50</v>
      </c>
      <c r="G76" s="186">
        <f t="shared" si="5"/>
        <v>5000</v>
      </c>
      <c r="H76" s="269"/>
    </row>
    <row r="77" spans="2:8" x14ac:dyDescent="0.45">
      <c r="B77" s="373"/>
      <c r="C77" s="186"/>
      <c r="D77" s="186"/>
      <c r="E77" s="186">
        <v>1</v>
      </c>
      <c r="F77" s="186">
        <v>1500</v>
      </c>
      <c r="G77" s="186">
        <f t="shared" si="5"/>
        <v>1500</v>
      </c>
      <c r="H77" s="269"/>
    </row>
    <row r="78" spans="2:8" x14ac:dyDescent="0.45">
      <c r="B78" s="373"/>
      <c r="C78" s="186"/>
      <c r="D78" s="186"/>
      <c r="E78" s="186">
        <v>200</v>
      </c>
      <c r="F78" s="186">
        <v>15</v>
      </c>
      <c r="G78" s="186">
        <f t="shared" si="5"/>
        <v>3000</v>
      </c>
      <c r="H78" s="269"/>
    </row>
    <row r="79" spans="2:8" x14ac:dyDescent="0.45">
      <c r="B79" s="373"/>
      <c r="C79" s="186"/>
      <c r="D79" s="186"/>
      <c r="E79" s="186">
        <v>1</v>
      </c>
      <c r="F79" s="186">
        <v>2000</v>
      </c>
      <c r="G79" s="186">
        <f t="shared" si="5"/>
        <v>2000</v>
      </c>
      <c r="H79" s="269"/>
    </row>
    <row r="80" spans="2:8" x14ac:dyDescent="0.45">
      <c r="B80" s="373"/>
      <c r="C80" s="186"/>
      <c r="D80" s="186"/>
      <c r="E80" s="186">
        <v>150</v>
      </c>
      <c r="F80" s="186">
        <v>40</v>
      </c>
      <c r="G80" s="186">
        <f t="shared" si="5"/>
        <v>6000</v>
      </c>
      <c r="H80" s="269"/>
    </row>
    <row r="81" spans="2:8" x14ac:dyDescent="0.45">
      <c r="B81" s="373"/>
      <c r="C81" s="186"/>
      <c r="D81" s="186"/>
      <c r="E81" s="186"/>
      <c r="F81" s="186"/>
      <c r="G81" s="186"/>
      <c r="H81" s="269"/>
    </row>
    <row r="82" spans="2:8" x14ac:dyDescent="0.45">
      <c r="B82" s="373"/>
      <c r="C82" s="186"/>
      <c r="D82" s="186"/>
      <c r="E82" s="186"/>
      <c r="F82" s="186"/>
      <c r="G82" s="186"/>
      <c r="H82" s="269"/>
    </row>
    <row r="83" spans="2:8" x14ac:dyDescent="0.45">
      <c r="B83" s="373"/>
      <c r="C83" s="374" t="s">
        <v>183</v>
      </c>
      <c r="D83" s="374"/>
      <c r="E83" s="374"/>
      <c r="F83" s="374"/>
      <c r="G83" s="187">
        <f>SUM(G71:G82)</f>
        <v>29800</v>
      </c>
      <c r="H83" s="270"/>
    </row>
    <row r="84" spans="2:8" x14ac:dyDescent="0.45">
      <c r="B84" s="373"/>
      <c r="C84" s="375" t="s">
        <v>184</v>
      </c>
      <c r="D84" s="375"/>
      <c r="E84" s="375"/>
      <c r="F84" s="375"/>
      <c r="G84" s="188">
        <f>G83/300</f>
        <v>99.333333333333329</v>
      </c>
      <c r="H84" s="271"/>
    </row>
    <row r="85" spans="2:8" x14ac:dyDescent="0.45">
      <c r="B85" s="373"/>
      <c r="C85" s="375" t="s">
        <v>185</v>
      </c>
      <c r="D85" s="375"/>
      <c r="E85" s="375"/>
      <c r="F85" s="375"/>
      <c r="G85" s="188">
        <f>G84*1.15</f>
        <v>114.23333333333332</v>
      </c>
      <c r="H85" s="271"/>
    </row>
  </sheetData>
  <mergeCells count="21">
    <mergeCell ref="H3:I3"/>
    <mergeCell ref="C3:G3"/>
    <mergeCell ref="C69:F69"/>
    <mergeCell ref="B71:B85"/>
    <mergeCell ref="C83:F83"/>
    <mergeCell ref="C84:F84"/>
    <mergeCell ref="C85:F85"/>
    <mergeCell ref="B51:B65"/>
    <mergeCell ref="C63:F63"/>
    <mergeCell ref="C64:F64"/>
    <mergeCell ref="C65:F65"/>
    <mergeCell ref="B5:B28"/>
    <mergeCell ref="C26:F26"/>
    <mergeCell ref="C27:F27"/>
    <mergeCell ref="C28:F28"/>
    <mergeCell ref="C30:F30"/>
    <mergeCell ref="B32:B46"/>
    <mergeCell ref="C44:F44"/>
    <mergeCell ref="C45:F45"/>
    <mergeCell ref="C46:F46"/>
    <mergeCell ref="C49:F4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FA7A3-6F71-4800-B240-EF3AF6F14BD4}">
  <dimension ref="B3:G81"/>
  <sheetViews>
    <sheetView showGridLines="0" rightToLeft="1" zoomScale="115" zoomScaleNormal="115" workbookViewId="0">
      <selection activeCell="C16" sqref="C16"/>
    </sheetView>
  </sheetViews>
  <sheetFormatPr defaultColWidth="9" defaultRowHeight="16.5" x14ac:dyDescent="0.45"/>
  <cols>
    <col min="1" max="1" width="9" style="144"/>
    <col min="2" max="2" width="10.875" style="144" bestFit="1" customWidth="1"/>
    <col min="3" max="3" width="30.625" style="144" bestFit="1" customWidth="1"/>
    <col min="4" max="4" width="13.875" style="144" bestFit="1" customWidth="1"/>
    <col min="5" max="5" width="15.625" style="144" bestFit="1" customWidth="1"/>
    <col min="6" max="6" width="16.375" style="144" bestFit="1" customWidth="1"/>
    <col min="7" max="7" width="52.75" style="144" bestFit="1" customWidth="1"/>
    <col min="8" max="16384" width="9" style="144"/>
  </cols>
  <sheetData>
    <row r="3" spans="2:7" x14ac:dyDescent="0.45">
      <c r="B3" s="182"/>
      <c r="C3" s="369"/>
      <c r="D3" s="369"/>
      <c r="E3" s="369"/>
      <c r="F3" s="183"/>
      <c r="G3" s="257"/>
    </row>
    <row r="4" spans="2:7" x14ac:dyDescent="0.45">
      <c r="B4" s="184" t="s">
        <v>0</v>
      </c>
      <c r="C4" s="185" t="s">
        <v>192</v>
      </c>
      <c r="D4" s="185" t="s">
        <v>21</v>
      </c>
      <c r="E4" s="185" t="s">
        <v>181</v>
      </c>
      <c r="F4" s="185" t="s">
        <v>182</v>
      </c>
      <c r="G4" s="258" t="s">
        <v>333</v>
      </c>
    </row>
    <row r="5" spans="2:7" x14ac:dyDescent="0.45">
      <c r="B5" s="372" t="s">
        <v>205</v>
      </c>
      <c r="C5" s="186" t="s">
        <v>231</v>
      </c>
      <c r="D5" s="186">
        <v>1</v>
      </c>
      <c r="E5" s="186">
        <v>75000</v>
      </c>
      <c r="F5" s="186">
        <f>E5*D5</f>
        <v>75000</v>
      </c>
      <c r="G5" s="176" t="s">
        <v>345</v>
      </c>
    </row>
    <row r="6" spans="2:7" x14ac:dyDescent="0.45">
      <c r="B6" s="373"/>
      <c r="C6" s="186" t="s">
        <v>253</v>
      </c>
      <c r="D6" s="186">
        <v>4</v>
      </c>
      <c r="E6" s="186">
        <v>25000</v>
      </c>
      <c r="F6" s="186">
        <f>E6*D6</f>
        <v>100000</v>
      </c>
      <c r="G6" s="176" t="s">
        <v>346</v>
      </c>
    </row>
    <row r="7" spans="2:7" x14ac:dyDescent="0.45">
      <c r="B7" s="373"/>
      <c r="C7" s="186" t="s">
        <v>232</v>
      </c>
      <c r="D7" s="186">
        <v>1</v>
      </c>
      <c r="E7" s="186">
        <v>150000</v>
      </c>
      <c r="F7" s="186">
        <f t="shared" ref="F7:F21" si="0">E7*D7</f>
        <v>150000</v>
      </c>
      <c r="G7" s="176" t="s">
        <v>347</v>
      </c>
    </row>
    <row r="8" spans="2:7" x14ac:dyDescent="0.45">
      <c r="B8" s="373"/>
      <c r="C8" s="286" t="s">
        <v>233</v>
      </c>
      <c r="D8" s="186">
        <v>12</v>
      </c>
      <c r="E8" s="186">
        <v>5000</v>
      </c>
      <c r="F8" s="186">
        <f t="shared" si="0"/>
        <v>60000</v>
      </c>
      <c r="G8" s="176" t="s">
        <v>348</v>
      </c>
    </row>
    <row r="9" spans="2:7" x14ac:dyDescent="0.45">
      <c r="B9" s="373"/>
      <c r="C9" s="286" t="s">
        <v>234</v>
      </c>
      <c r="D9" s="186">
        <v>12</v>
      </c>
      <c r="E9" s="186">
        <v>3000</v>
      </c>
      <c r="F9" s="186">
        <f t="shared" si="0"/>
        <v>36000</v>
      </c>
      <c r="G9" s="262" t="s">
        <v>349</v>
      </c>
    </row>
    <row r="10" spans="2:7" x14ac:dyDescent="0.45">
      <c r="B10" s="373"/>
      <c r="C10" s="286" t="s">
        <v>235</v>
      </c>
      <c r="D10" s="186">
        <v>4</v>
      </c>
      <c r="E10" s="186">
        <v>10000</v>
      </c>
      <c r="F10" s="186">
        <f t="shared" si="0"/>
        <v>40000</v>
      </c>
      <c r="G10" s="262" t="s">
        <v>350</v>
      </c>
    </row>
    <row r="11" spans="2:7" x14ac:dyDescent="0.45">
      <c r="B11" s="373"/>
      <c r="C11" s="144" t="s">
        <v>236</v>
      </c>
      <c r="D11" s="186">
        <v>4</v>
      </c>
      <c r="E11" s="186">
        <v>10000</v>
      </c>
      <c r="F11" s="186">
        <f t="shared" si="0"/>
        <v>40000</v>
      </c>
      <c r="G11" s="176" t="s">
        <v>351</v>
      </c>
    </row>
    <row r="12" spans="2:7" x14ac:dyDescent="0.45">
      <c r="B12" s="373"/>
      <c r="C12" s="286" t="s">
        <v>237</v>
      </c>
      <c r="D12" s="186">
        <v>1</v>
      </c>
      <c r="E12" s="186">
        <v>3000</v>
      </c>
      <c r="F12" s="186">
        <f t="shared" si="0"/>
        <v>3000</v>
      </c>
      <c r="G12" s="176" t="s">
        <v>352</v>
      </c>
    </row>
    <row r="13" spans="2:7" x14ac:dyDescent="0.45">
      <c r="B13" s="373"/>
      <c r="C13" s="286" t="s">
        <v>363</v>
      </c>
      <c r="D13" s="186">
        <v>1</v>
      </c>
      <c r="E13" s="186">
        <v>45000</v>
      </c>
      <c r="F13" s="186">
        <f t="shared" si="0"/>
        <v>45000</v>
      </c>
      <c r="G13" s="176" t="s">
        <v>353</v>
      </c>
    </row>
    <row r="14" spans="2:7" x14ac:dyDescent="0.45">
      <c r="B14" s="373"/>
      <c r="C14" s="186" t="s">
        <v>254</v>
      </c>
      <c r="D14" s="186">
        <v>1</v>
      </c>
      <c r="E14" s="186">
        <v>20000</v>
      </c>
      <c r="F14" s="186">
        <f t="shared" si="0"/>
        <v>20000</v>
      </c>
      <c r="G14" s="176" t="s">
        <v>354</v>
      </c>
    </row>
    <row r="15" spans="2:7" x14ac:dyDescent="0.45">
      <c r="B15" s="373"/>
      <c r="C15" s="186" t="s">
        <v>364</v>
      </c>
      <c r="D15" s="186">
        <v>1</v>
      </c>
      <c r="E15" s="186">
        <v>15000</v>
      </c>
      <c r="F15" s="186">
        <f t="shared" si="0"/>
        <v>15000</v>
      </c>
      <c r="G15" s="176" t="s">
        <v>355</v>
      </c>
    </row>
    <row r="16" spans="2:7" x14ac:dyDescent="0.45">
      <c r="B16" s="373"/>
      <c r="C16" s="176" t="s">
        <v>362</v>
      </c>
      <c r="D16" s="186">
        <v>2</v>
      </c>
      <c r="E16" s="186">
        <v>30000</v>
      </c>
      <c r="F16" s="186">
        <f t="shared" si="0"/>
        <v>60000</v>
      </c>
      <c r="G16" s="176" t="s">
        <v>356</v>
      </c>
    </row>
    <row r="17" spans="2:7" x14ac:dyDescent="0.45">
      <c r="B17" s="373"/>
      <c r="C17" s="176" t="s">
        <v>340</v>
      </c>
      <c r="D17" s="186">
        <v>1</v>
      </c>
      <c r="E17" s="186">
        <v>10000</v>
      </c>
      <c r="F17" s="186">
        <f t="shared" si="0"/>
        <v>10000</v>
      </c>
      <c r="G17" s="176" t="s">
        <v>357</v>
      </c>
    </row>
    <row r="18" spans="2:7" x14ac:dyDescent="0.45">
      <c r="B18" s="373"/>
      <c r="C18" s="176" t="s">
        <v>341</v>
      </c>
      <c r="D18" s="186">
        <v>1</v>
      </c>
      <c r="E18" s="186">
        <v>40000</v>
      </c>
      <c r="F18" s="186">
        <f t="shared" si="0"/>
        <v>40000</v>
      </c>
      <c r="G18" s="176" t="s">
        <v>358</v>
      </c>
    </row>
    <row r="19" spans="2:7" x14ac:dyDescent="0.45">
      <c r="B19" s="373"/>
      <c r="C19" s="176" t="s">
        <v>342</v>
      </c>
      <c r="D19" s="186">
        <v>1</v>
      </c>
      <c r="E19" s="186">
        <v>60000</v>
      </c>
      <c r="F19" s="186">
        <f t="shared" si="0"/>
        <v>60000</v>
      </c>
      <c r="G19" s="176" t="s">
        <v>359</v>
      </c>
    </row>
    <row r="20" spans="2:7" x14ac:dyDescent="0.45">
      <c r="B20" s="373"/>
      <c r="C20" s="176" t="s">
        <v>343</v>
      </c>
      <c r="D20" s="186">
        <v>1</v>
      </c>
      <c r="E20" s="186">
        <v>70000</v>
      </c>
      <c r="F20" s="186">
        <f t="shared" si="0"/>
        <v>70000</v>
      </c>
      <c r="G20" s="176" t="s">
        <v>360</v>
      </c>
    </row>
    <row r="21" spans="2:7" x14ac:dyDescent="0.45">
      <c r="B21" s="373"/>
      <c r="C21" s="176" t="s">
        <v>344</v>
      </c>
      <c r="D21" s="186">
        <v>12</v>
      </c>
      <c r="E21" s="186">
        <v>2500</v>
      </c>
      <c r="F21" s="186">
        <f t="shared" si="0"/>
        <v>30000</v>
      </c>
      <c r="G21" s="176" t="s">
        <v>361</v>
      </c>
    </row>
    <row r="22" spans="2:7" x14ac:dyDescent="0.45">
      <c r="B22" s="373"/>
      <c r="C22" s="186"/>
      <c r="D22" s="186"/>
      <c r="E22" s="186"/>
      <c r="F22" s="186"/>
      <c r="G22" s="262"/>
    </row>
    <row r="23" spans="2:7" x14ac:dyDescent="0.45">
      <c r="B23" s="373"/>
      <c r="C23" s="374" t="s">
        <v>183</v>
      </c>
      <c r="D23" s="374"/>
      <c r="E23" s="374"/>
      <c r="F23" s="187">
        <f>SUM(F5:F22)</f>
        <v>854000</v>
      </c>
      <c r="G23" s="262"/>
    </row>
    <row r="24" spans="2:7" x14ac:dyDescent="0.45">
      <c r="B24" s="373"/>
      <c r="C24" s="375" t="s">
        <v>185</v>
      </c>
      <c r="D24" s="375"/>
      <c r="E24" s="375"/>
      <c r="F24" s="188">
        <f>F23*1.15</f>
        <v>982099.99999999988</v>
      </c>
      <c r="G24" s="262"/>
    </row>
    <row r="26" spans="2:7" x14ac:dyDescent="0.45">
      <c r="B26" s="182"/>
      <c r="C26" s="369"/>
      <c r="D26" s="369"/>
      <c r="E26" s="369"/>
      <c r="F26" s="183">
        <f>SUM(F21:F25)</f>
        <v>1866100</v>
      </c>
    </row>
    <row r="27" spans="2:7" x14ac:dyDescent="0.45">
      <c r="B27" s="184" t="s">
        <v>0</v>
      </c>
      <c r="C27" s="185" t="s">
        <v>180</v>
      </c>
      <c r="D27" s="185" t="s">
        <v>21</v>
      </c>
      <c r="E27" s="185" t="s">
        <v>181</v>
      </c>
      <c r="F27" s="185" t="s">
        <v>182</v>
      </c>
    </row>
    <row r="28" spans="2:7" x14ac:dyDescent="0.45">
      <c r="B28" s="372"/>
      <c r="C28" s="186"/>
      <c r="D28" s="186"/>
      <c r="E28" s="186"/>
      <c r="F28" s="186"/>
    </row>
    <row r="29" spans="2:7" x14ac:dyDescent="0.45">
      <c r="B29" s="373"/>
      <c r="C29" s="186"/>
      <c r="D29" s="186"/>
      <c r="E29" s="186"/>
      <c r="F29" s="186"/>
    </row>
    <row r="30" spans="2:7" x14ac:dyDescent="0.45">
      <c r="B30" s="373"/>
      <c r="C30" s="186"/>
      <c r="D30" s="186"/>
      <c r="E30" s="186"/>
      <c r="F30" s="186"/>
    </row>
    <row r="31" spans="2:7" x14ac:dyDescent="0.45">
      <c r="B31" s="373"/>
      <c r="C31" s="186"/>
      <c r="D31" s="186"/>
      <c r="E31" s="186"/>
      <c r="F31" s="186"/>
    </row>
    <row r="32" spans="2:7" x14ac:dyDescent="0.45">
      <c r="B32" s="373"/>
      <c r="C32" s="186"/>
      <c r="D32" s="186"/>
      <c r="E32" s="186"/>
      <c r="F32" s="186"/>
    </row>
    <row r="33" spans="2:6" x14ac:dyDescent="0.45">
      <c r="B33" s="373"/>
      <c r="D33" s="186"/>
      <c r="E33" s="186"/>
      <c r="F33" s="186"/>
    </row>
    <row r="34" spans="2:6" x14ac:dyDescent="0.45">
      <c r="B34" s="373"/>
      <c r="C34" s="186"/>
      <c r="D34" s="186"/>
      <c r="E34" s="186"/>
      <c r="F34" s="186"/>
    </row>
    <row r="35" spans="2:6" x14ac:dyDescent="0.45">
      <c r="B35" s="373"/>
      <c r="C35" s="186"/>
      <c r="D35" s="186"/>
      <c r="E35" s="186"/>
      <c r="F35" s="186"/>
    </row>
    <row r="36" spans="2:6" x14ac:dyDescent="0.45">
      <c r="B36" s="373"/>
      <c r="C36" s="186"/>
      <c r="D36" s="186"/>
      <c r="E36" s="186"/>
      <c r="F36" s="186"/>
    </row>
    <row r="37" spans="2:6" x14ac:dyDescent="0.45">
      <c r="B37" s="373"/>
      <c r="C37" s="186"/>
      <c r="D37" s="186"/>
      <c r="E37" s="186"/>
      <c r="F37" s="186"/>
    </row>
    <row r="38" spans="2:6" x14ac:dyDescent="0.45">
      <c r="B38" s="373"/>
      <c r="C38" s="186"/>
      <c r="D38" s="186"/>
      <c r="E38" s="186"/>
      <c r="F38" s="186"/>
    </row>
    <row r="39" spans="2:6" x14ac:dyDescent="0.45">
      <c r="B39" s="373"/>
      <c r="C39" s="186"/>
      <c r="D39" s="186"/>
      <c r="E39" s="186"/>
      <c r="F39" s="186"/>
    </row>
    <row r="40" spans="2:6" x14ac:dyDescent="0.45">
      <c r="B40" s="373"/>
      <c r="C40" s="374" t="s">
        <v>183</v>
      </c>
      <c r="D40" s="374"/>
      <c r="E40" s="374"/>
      <c r="F40" s="187">
        <f>SUM(F28:F39)</f>
        <v>0</v>
      </c>
    </row>
    <row r="41" spans="2:6" x14ac:dyDescent="0.45">
      <c r="B41" s="373"/>
      <c r="C41" s="375" t="s">
        <v>184</v>
      </c>
      <c r="D41" s="375"/>
      <c r="E41" s="375"/>
      <c r="F41" s="188">
        <f>F40/300</f>
        <v>0</v>
      </c>
    </row>
    <row r="42" spans="2:6" x14ac:dyDescent="0.45">
      <c r="B42" s="373"/>
      <c r="C42" s="375" t="s">
        <v>185</v>
      </c>
      <c r="D42" s="375"/>
      <c r="E42" s="375"/>
      <c r="F42" s="188">
        <f>F41*1.15</f>
        <v>0</v>
      </c>
    </row>
    <row r="45" spans="2:6" x14ac:dyDescent="0.45">
      <c r="B45" s="182"/>
      <c r="C45" s="369" t="s">
        <v>179</v>
      </c>
      <c r="D45" s="369"/>
      <c r="E45" s="369"/>
      <c r="F45" s="183"/>
    </row>
    <row r="46" spans="2:6" x14ac:dyDescent="0.45">
      <c r="B46" s="184" t="s">
        <v>0</v>
      </c>
      <c r="C46" s="185" t="s">
        <v>180</v>
      </c>
      <c r="D46" s="185" t="s">
        <v>21</v>
      </c>
      <c r="E46" s="185" t="s">
        <v>181</v>
      </c>
      <c r="F46" s="185" t="s">
        <v>182</v>
      </c>
    </row>
    <row r="47" spans="2:6" x14ac:dyDescent="0.45">
      <c r="B47" s="372"/>
      <c r="C47" s="186"/>
      <c r="D47" s="186">
        <v>1</v>
      </c>
      <c r="E47" s="186">
        <v>500</v>
      </c>
      <c r="F47" s="186">
        <f>E47*D47</f>
        <v>500</v>
      </c>
    </row>
    <row r="48" spans="2:6" x14ac:dyDescent="0.45">
      <c r="B48" s="373"/>
      <c r="C48" s="186"/>
      <c r="D48" s="186">
        <v>1</v>
      </c>
      <c r="E48" s="186">
        <v>3000</v>
      </c>
      <c r="F48" s="186">
        <f t="shared" ref="F48:F56" si="1">E48*D48</f>
        <v>3000</v>
      </c>
    </row>
    <row r="49" spans="2:6" x14ac:dyDescent="0.45">
      <c r="B49" s="373"/>
      <c r="C49" s="186"/>
      <c r="D49" s="186">
        <v>6</v>
      </c>
      <c r="E49" s="186">
        <v>1500</v>
      </c>
      <c r="F49" s="186">
        <f t="shared" si="1"/>
        <v>9000</v>
      </c>
    </row>
    <row r="50" spans="2:6" x14ac:dyDescent="0.45">
      <c r="B50" s="373"/>
      <c r="C50" s="186"/>
      <c r="D50" s="186">
        <v>1</v>
      </c>
      <c r="E50" s="186">
        <v>3000</v>
      </c>
      <c r="F50" s="186">
        <f t="shared" si="1"/>
        <v>3000</v>
      </c>
    </row>
    <row r="51" spans="2:6" x14ac:dyDescent="0.45">
      <c r="B51" s="373"/>
      <c r="C51" s="186"/>
      <c r="D51" s="186">
        <v>300</v>
      </c>
      <c r="E51" s="186">
        <v>140</v>
      </c>
      <c r="F51" s="186">
        <f t="shared" si="1"/>
        <v>42000</v>
      </c>
    </row>
    <row r="52" spans="2:6" x14ac:dyDescent="0.45">
      <c r="B52" s="373"/>
      <c r="D52" s="186">
        <v>220</v>
      </c>
      <c r="E52" s="186">
        <v>50</v>
      </c>
      <c r="F52" s="186">
        <f t="shared" si="1"/>
        <v>11000</v>
      </c>
    </row>
    <row r="53" spans="2:6" x14ac:dyDescent="0.45">
      <c r="B53" s="373"/>
      <c r="C53" s="186"/>
      <c r="D53" s="186">
        <v>1</v>
      </c>
      <c r="E53" s="186">
        <v>2000</v>
      </c>
      <c r="F53" s="186">
        <f t="shared" si="1"/>
        <v>2000</v>
      </c>
    </row>
    <row r="54" spans="2:6" x14ac:dyDescent="0.45">
      <c r="B54" s="373"/>
      <c r="C54" s="186"/>
      <c r="D54" s="186">
        <v>400</v>
      </c>
      <c r="E54" s="186">
        <v>15</v>
      </c>
      <c r="F54" s="186">
        <f t="shared" si="1"/>
        <v>6000</v>
      </c>
    </row>
    <row r="55" spans="2:6" x14ac:dyDescent="0.45">
      <c r="B55" s="373"/>
      <c r="C55" s="186"/>
      <c r="D55" s="186">
        <v>1</v>
      </c>
      <c r="E55" s="186">
        <v>5000</v>
      </c>
      <c r="F55" s="186">
        <f t="shared" si="1"/>
        <v>5000</v>
      </c>
    </row>
    <row r="56" spans="2:6" x14ac:dyDescent="0.45">
      <c r="B56" s="373"/>
      <c r="C56" s="186"/>
      <c r="D56" s="186">
        <v>600</v>
      </c>
      <c r="E56" s="186">
        <v>40</v>
      </c>
      <c r="F56" s="186">
        <f t="shared" si="1"/>
        <v>24000</v>
      </c>
    </row>
    <row r="57" spans="2:6" x14ac:dyDescent="0.45">
      <c r="B57" s="373"/>
      <c r="C57" s="186"/>
      <c r="D57" s="186"/>
      <c r="E57" s="186"/>
      <c r="F57" s="186"/>
    </row>
    <row r="58" spans="2:6" x14ac:dyDescent="0.45">
      <c r="B58" s="373"/>
      <c r="C58" s="186"/>
      <c r="D58" s="186"/>
      <c r="E58" s="186"/>
      <c r="F58" s="186"/>
    </row>
    <row r="59" spans="2:6" x14ac:dyDescent="0.45">
      <c r="B59" s="373"/>
      <c r="C59" s="374" t="s">
        <v>183</v>
      </c>
      <c r="D59" s="374"/>
      <c r="E59" s="374"/>
      <c r="F59" s="187">
        <f>SUM(F47:F58)</f>
        <v>105500</v>
      </c>
    </row>
    <row r="60" spans="2:6" x14ac:dyDescent="0.45">
      <c r="B60" s="373"/>
      <c r="C60" s="375" t="s">
        <v>184</v>
      </c>
      <c r="D60" s="375"/>
      <c r="E60" s="375"/>
      <c r="F60" s="188">
        <f>F59/300</f>
        <v>351.66666666666669</v>
      </c>
    </row>
    <row r="61" spans="2:6" x14ac:dyDescent="0.45">
      <c r="B61" s="373"/>
      <c r="C61" s="375" t="s">
        <v>185</v>
      </c>
      <c r="D61" s="375"/>
      <c r="E61" s="375"/>
      <c r="F61" s="188">
        <f>F60*1.15</f>
        <v>404.41666666666669</v>
      </c>
    </row>
    <row r="65" spans="2:6" x14ac:dyDescent="0.45">
      <c r="B65" s="182"/>
      <c r="C65" s="369" t="s">
        <v>179</v>
      </c>
      <c r="D65" s="369"/>
      <c r="E65" s="369"/>
      <c r="F65" s="183"/>
    </row>
    <row r="66" spans="2:6" x14ac:dyDescent="0.45">
      <c r="B66" s="184" t="s">
        <v>0</v>
      </c>
      <c r="C66" s="185" t="s">
        <v>180</v>
      </c>
      <c r="D66" s="185" t="s">
        <v>21</v>
      </c>
      <c r="E66" s="185" t="s">
        <v>181</v>
      </c>
      <c r="F66" s="185" t="s">
        <v>182</v>
      </c>
    </row>
    <row r="67" spans="2:6" x14ac:dyDescent="0.45">
      <c r="B67" s="372"/>
      <c r="C67" s="186"/>
      <c r="D67" s="186">
        <v>1</v>
      </c>
      <c r="E67" s="186">
        <v>300</v>
      </c>
      <c r="F67" s="186">
        <f>E67*D67</f>
        <v>300</v>
      </c>
    </row>
    <row r="68" spans="2:6" x14ac:dyDescent="0.45">
      <c r="B68" s="373"/>
      <c r="C68" s="186"/>
      <c r="D68" s="186">
        <v>1</v>
      </c>
      <c r="E68" s="186">
        <v>1000</v>
      </c>
      <c r="F68" s="186">
        <f t="shared" ref="F68:F76" si="2">E68*D68</f>
        <v>1000</v>
      </c>
    </row>
    <row r="69" spans="2:6" x14ac:dyDescent="0.45">
      <c r="B69" s="373"/>
      <c r="C69" s="186"/>
      <c r="D69" s="186">
        <v>6</v>
      </c>
      <c r="E69" s="186">
        <v>1000</v>
      </c>
      <c r="F69" s="186">
        <f t="shared" si="2"/>
        <v>6000</v>
      </c>
    </row>
    <row r="70" spans="2:6" x14ac:dyDescent="0.45">
      <c r="B70" s="373"/>
      <c r="C70" s="186"/>
      <c r="D70" s="186">
        <v>1</v>
      </c>
      <c r="E70" s="186">
        <v>3000</v>
      </c>
      <c r="F70" s="186">
        <f t="shared" si="2"/>
        <v>3000</v>
      </c>
    </row>
    <row r="71" spans="2:6" x14ac:dyDescent="0.45">
      <c r="B71" s="373"/>
      <c r="C71" s="186"/>
      <c r="D71" s="186">
        <v>50</v>
      </c>
      <c r="E71" s="186">
        <v>40</v>
      </c>
      <c r="F71" s="186">
        <f t="shared" si="2"/>
        <v>2000</v>
      </c>
    </row>
    <row r="72" spans="2:6" x14ac:dyDescent="0.45">
      <c r="B72" s="373"/>
      <c r="D72" s="186">
        <v>100</v>
      </c>
      <c r="E72" s="186">
        <v>50</v>
      </c>
      <c r="F72" s="186">
        <f t="shared" si="2"/>
        <v>5000</v>
      </c>
    </row>
    <row r="73" spans="2:6" x14ac:dyDescent="0.45">
      <c r="B73" s="373"/>
      <c r="C73" s="186"/>
      <c r="D73" s="186">
        <v>1</v>
      </c>
      <c r="E73" s="186">
        <v>1500</v>
      </c>
      <c r="F73" s="186">
        <f t="shared" si="2"/>
        <v>1500</v>
      </c>
    </row>
    <row r="74" spans="2:6" x14ac:dyDescent="0.45">
      <c r="B74" s="373"/>
      <c r="C74" s="186"/>
      <c r="D74" s="186">
        <v>200</v>
      </c>
      <c r="E74" s="186">
        <v>15</v>
      </c>
      <c r="F74" s="186">
        <f t="shared" si="2"/>
        <v>3000</v>
      </c>
    </row>
    <row r="75" spans="2:6" x14ac:dyDescent="0.45">
      <c r="B75" s="373"/>
      <c r="C75" s="186"/>
      <c r="D75" s="186">
        <v>1</v>
      </c>
      <c r="E75" s="186">
        <v>2000</v>
      </c>
      <c r="F75" s="186">
        <f t="shared" si="2"/>
        <v>2000</v>
      </c>
    </row>
    <row r="76" spans="2:6" x14ac:dyDescent="0.45">
      <c r="B76" s="373"/>
      <c r="C76" s="186"/>
      <c r="D76" s="186">
        <v>150</v>
      </c>
      <c r="E76" s="186">
        <v>40</v>
      </c>
      <c r="F76" s="186">
        <f t="shared" si="2"/>
        <v>6000</v>
      </c>
    </row>
    <row r="77" spans="2:6" x14ac:dyDescent="0.45">
      <c r="B77" s="373"/>
      <c r="C77" s="186"/>
      <c r="D77" s="186"/>
      <c r="E77" s="186"/>
      <c r="F77" s="186"/>
    </row>
    <row r="78" spans="2:6" x14ac:dyDescent="0.45">
      <c r="B78" s="373"/>
      <c r="C78" s="186"/>
      <c r="D78" s="186"/>
      <c r="E78" s="186"/>
      <c r="F78" s="186"/>
    </row>
    <row r="79" spans="2:6" x14ac:dyDescent="0.45">
      <c r="B79" s="373"/>
      <c r="C79" s="374" t="s">
        <v>183</v>
      </c>
      <c r="D79" s="374"/>
      <c r="E79" s="374"/>
      <c r="F79" s="187">
        <f>SUM(F67:F78)</f>
        <v>29800</v>
      </c>
    </row>
    <row r="80" spans="2:6" x14ac:dyDescent="0.45">
      <c r="B80" s="373"/>
      <c r="C80" s="375" t="s">
        <v>184</v>
      </c>
      <c r="D80" s="375"/>
      <c r="E80" s="375"/>
      <c r="F80" s="188">
        <f>F79/300</f>
        <v>99.333333333333329</v>
      </c>
    </row>
    <row r="81" spans="2:6" x14ac:dyDescent="0.45">
      <c r="B81" s="373"/>
      <c r="C81" s="375" t="s">
        <v>185</v>
      </c>
      <c r="D81" s="375"/>
      <c r="E81" s="375"/>
      <c r="F81" s="188">
        <f>F80*1.15</f>
        <v>114.23333333333332</v>
      </c>
    </row>
  </sheetData>
  <mergeCells count="19">
    <mergeCell ref="C60:E60"/>
    <mergeCell ref="C61:E61"/>
    <mergeCell ref="C65:E65"/>
    <mergeCell ref="C3:E3"/>
    <mergeCell ref="C23:E23"/>
    <mergeCell ref="C24:E24"/>
    <mergeCell ref="B5:B24"/>
    <mergeCell ref="B67:B81"/>
    <mergeCell ref="C79:E79"/>
    <mergeCell ref="C80:E80"/>
    <mergeCell ref="C81:E81"/>
    <mergeCell ref="C26:E26"/>
    <mergeCell ref="B28:B42"/>
    <mergeCell ref="C40:E40"/>
    <mergeCell ref="C41:E41"/>
    <mergeCell ref="C42:E42"/>
    <mergeCell ref="C45:E45"/>
    <mergeCell ref="B47:B61"/>
    <mergeCell ref="C59:E5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CED5F-3D93-4455-8C3F-B79028B61061}">
  <dimension ref="B3:G69"/>
  <sheetViews>
    <sheetView showGridLines="0" rightToLeft="1" zoomScaleNormal="100" workbookViewId="0">
      <selection activeCell="G9" sqref="G9"/>
    </sheetView>
  </sheetViews>
  <sheetFormatPr defaultColWidth="9" defaultRowHeight="16.5" x14ac:dyDescent="0.45"/>
  <cols>
    <col min="1" max="1" width="9" style="144"/>
    <col min="2" max="2" width="10.875" style="144" bestFit="1" customWidth="1"/>
    <col min="3" max="3" width="21.875" style="144" bestFit="1" customWidth="1"/>
    <col min="4" max="4" width="13.875" style="144" bestFit="1" customWidth="1"/>
    <col min="5" max="5" width="15.625" style="144" bestFit="1" customWidth="1"/>
    <col min="6" max="6" width="16.375" style="144" bestFit="1" customWidth="1"/>
    <col min="7" max="7" width="65.625" style="144" bestFit="1" customWidth="1"/>
    <col min="8" max="16384" width="9" style="144"/>
  </cols>
  <sheetData>
    <row r="3" spans="2:7" x14ac:dyDescent="0.45">
      <c r="B3" s="182"/>
      <c r="C3" s="383" t="s">
        <v>179</v>
      </c>
      <c r="D3" s="384"/>
      <c r="E3" s="384"/>
      <c r="F3" s="384"/>
      <c r="G3" s="384"/>
    </row>
    <row r="4" spans="2:7" x14ac:dyDescent="0.45">
      <c r="B4" s="184" t="s">
        <v>0</v>
      </c>
      <c r="C4" s="185" t="s">
        <v>192</v>
      </c>
      <c r="D4" s="185" t="s">
        <v>21</v>
      </c>
      <c r="E4" s="185" t="s">
        <v>181</v>
      </c>
      <c r="F4" s="185" t="s">
        <v>182</v>
      </c>
      <c r="G4" s="176" t="s">
        <v>333</v>
      </c>
    </row>
    <row r="5" spans="2:7" x14ac:dyDescent="0.45">
      <c r="B5" s="372" t="s">
        <v>205</v>
      </c>
      <c r="C5" s="186" t="s">
        <v>249</v>
      </c>
      <c r="D5" s="186">
        <v>1</v>
      </c>
      <c r="E5" s="186">
        <v>10000</v>
      </c>
      <c r="F5" s="186">
        <f>E5*D5</f>
        <v>10000</v>
      </c>
      <c r="G5" s="176" t="s">
        <v>332</v>
      </c>
    </row>
    <row r="6" spans="2:7" x14ac:dyDescent="0.45">
      <c r="B6" s="373"/>
      <c r="C6" s="186" t="s">
        <v>250</v>
      </c>
      <c r="D6" s="186">
        <v>4</v>
      </c>
      <c r="E6" s="186">
        <v>15000</v>
      </c>
      <c r="F6" s="186">
        <f t="shared" ref="F6:F10" si="0">E6*D6</f>
        <v>60000</v>
      </c>
      <c r="G6" s="176" t="s">
        <v>334</v>
      </c>
    </row>
    <row r="7" spans="2:7" x14ac:dyDescent="0.45">
      <c r="B7" s="373"/>
      <c r="C7" s="186" t="s">
        <v>279</v>
      </c>
      <c r="D7" s="186">
        <v>1</v>
      </c>
      <c r="E7" s="186">
        <v>15000</v>
      </c>
      <c r="F7" s="186">
        <f t="shared" si="0"/>
        <v>15000</v>
      </c>
      <c r="G7" s="176" t="s">
        <v>335</v>
      </c>
    </row>
    <row r="8" spans="2:7" x14ac:dyDescent="0.45">
      <c r="B8" s="373"/>
      <c r="C8" s="176" t="s">
        <v>331</v>
      </c>
      <c r="D8" s="186">
        <v>12</v>
      </c>
      <c r="E8" s="186">
        <v>2000</v>
      </c>
      <c r="F8" s="186">
        <f t="shared" si="0"/>
        <v>24000</v>
      </c>
      <c r="G8" s="176" t="s">
        <v>336</v>
      </c>
    </row>
    <row r="9" spans="2:7" x14ac:dyDescent="0.45">
      <c r="B9" s="373"/>
      <c r="C9" s="176" t="s">
        <v>337</v>
      </c>
      <c r="D9" s="186">
        <v>12</v>
      </c>
      <c r="E9" s="186">
        <v>6000</v>
      </c>
      <c r="F9" s="186">
        <f t="shared" si="0"/>
        <v>72000</v>
      </c>
      <c r="G9" s="176" t="s">
        <v>339</v>
      </c>
    </row>
    <row r="10" spans="2:7" x14ac:dyDescent="0.45">
      <c r="B10" s="373"/>
      <c r="C10" s="176" t="s">
        <v>338</v>
      </c>
      <c r="D10" s="186">
        <v>12</v>
      </c>
      <c r="E10" s="186">
        <v>2000</v>
      </c>
      <c r="F10" s="186">
        <f t="shared" si="0"/>
        <v>24000</v>
      </c>
      <c r="G10" s="176" t="s">
        <v>365</v>
      </c>
    </row>
    <row r="11" spans="2:7" x14ac:dyDescent="0.45">
      <c r="B11" s="373"/>
      <c r="C11" s="374" t="s">
        <v>183</v>
      </c>
      <c r="D11" s="374"/>
      <c r="E11" s="374"/>
      <c r="F11" s="187">
        <f>SUM(F5:F10)</f>
        <v>205000</v>
      </c>
      <c r="G11" s="176"/>
    </row>
    <row r="12" spans="2:7" x14ac:dyDescent="0.45">
      <c r="B12" s="373"/>
      <c r="C12" s="375" t="s">
        <v>185</v>
      </c>
      <c r="D12" s="375"/>
      <c r="E12" s="375"/>
      <c r="F12" s="188">
        <f>F11*1.15</f>
        <v>235749.99999999997</v>
      </c>
      <c r="G12" s="176"/>
    </row>
    <row r="14" spans="2:7" x14ac:dyDescent="0.45">
      <c r="B14" s="182"/>
      <c r="C14" s="369" t="s">
        <v>179</v>
      </c>
      <c r="D14" s="369"/>
      <c r="E14" s="369"/>
      <c r="F14" s="183">
        <f>SUM(F11:F13)</f>
        <v>440750</v>
      </c>
    </row>
    <row r="15" spans="2:7" x14ac:dyDescent="0.45">
      <c r="B15" s="184" t="s">
        <v>0</v>
      </c>
      <c r="C15" s="185" t="s">
        <v>180</v>
      </c>
      <c r="D15" s="185" t="s">
        <v>21</v>
      </c>
      <c r="E15" s="185" t="s">
        <v>181</v>
      </c>
      <c r="F15" s="185" t="s">
        <v>182</v>
      </c>
    </row>
    <row r="16" spans="2:7" x14ac:dyDescent="0.45">
      <c r="B16" s="372"/>
      <c r="C16" s="186"/>
      <c r="D16" s="186"/>
      <c r="E16" s="186"/>
      <c r="F16" s="186"/>
    </row>
    <row r="17" spans="2:6" x14ac:dyDescent="0.45">
      <c r="B17" s="373"/>
      <c r="C17" s="186"/>
      <c r="D17" s="186"/>
      <c r="E17" s="186"/>
      <c r="F17" s="186"/>
    </row>
    <row r="18" spans="2:6" x14ac:dyDescent="0.45">
      <c r="B18" s="373"/>
      <c r="C18" s="186"/>
      <c r="D18" s="186"/>
      <c r="E18" s="186"/>
      <c r="F18" s="186"/>
    </row>
    <row r="19" spans="2:6" x14ac:dyDescent="0.45">
      <c r="B19" s="373"/>
      <c r="C19" s="186"/>
      <c r="D19" s="186"/>
      <c r="E19" s="186"/>
      <c r="F19" s="186"/>
    </row>
    <row r="20" spans="2:6" x14ac:dyDescent="0.45">
      <c r="B20" s="373"/>
      <c r="C20" s="186"/>
      <c r="D20" s="186"/>
      <c r="E20" s="186"/>
      <c r="F20" s="186"/>
    </row>
    <row r="21" spans="2:6" x14ac:dyDescent="0.45">
      <c r="B21" s="373"/>
      <c r="D21" s="186"/>
      <c r="E21" s="186"/>
      <c r="F21" s="186"/>
    </row>
    <row r="22" spans="2:6" x14ac:dyDescent="0.45">
      <c r="B22" s="373"/>
      <c r="C22" s="186"/>
      <c r="D22" s="186"/>
      <c r="E22" s="186"/>
      <c r="F22" s="186"/>
    </row>
    <row r="23" spans="2:6" x14ac:dyDescent="0.45">
      <c r="B23" s="373"/>
      <c r="C23" s="186"/>
      <c r="D23" s="186"/>
      <c r="E23" s="186"/>
      <c r="F23" s="186"/>
    </row>
    <row r="24" spans="2:6" x14ac:dyDescent="0.45">
      <c r="B24" s="373"/>
      <c r="C24" s="186"/>
      <c r="D24" s="186"/>
      <c r="E24" s="186"/>
      <c r="F24" s="186"/>
    </row>
    <row r="25" spans="2:6" x14ac:dyDescent="0.45">
      <c r="B25" s="373"/>
      <c r="C25" s="186"/>
      <c r="D25" s="186"/>
      <c r="E25" s="186"/>
      <c r="F25" s="186"/>
    </row>
    <row r="26" spans="2:6" x14ac:dyDescent="0.45">
      <c r="B26" s="373"/>
      <c r="C26" s="186"/>
      <c r="D26" s="186"/>
      <c r="E26" s="186"/>
      <c r="F26" s="186"/>
    </row>
    <row r="27" spans="2:6" x14ac:dyDescent="0.45">
      <c r="B27" s="373"/>
      <c r="C27" s="186"/>
      <c r="D27" s="186"/>
      <c r="E27" s="186"/>
      <c r="F27" s="186"/>
    </row>
    <row r="28" spans="2:6" x14ac:dyDescent="0.45">
      <c r="B28" s="373"/>
      <c r="C28" s="374" t="s">
        <v>183</v>
      </c>
      <c r="D28" s="374"/>
      <c r="E28" s="374"/>
      <c r="F28" s="187">
        <f>SUM(F16:F27)</f>
        <v>0</v>
      </c>
    </row>
    <row r="29" spans="2:6" x14ac:dyDescent="0.45">
      <c r="B29" s="373"/>
      <c r="C29" s="375" t="s">
        <v>184</v>
      </c>
      <c r="D29" s="375"/>
      <c r="E29" s="375"/>
      <c r="F29" s="188">
        <f>F28/300</f>
        <v>0</v>
      </c>
    </row>
    <row r="30" spans="2:6" x14ac:dyDescent="0.45">
      <c r="B30" s="373"/>
      <c r="C30" s="375" t="s">
        <v>185</v>
      </c>
      <c r="D30" s="375"/>
      <c r="E30" s="375"/>
      <c r="F30" s="188">
        <f>F29*1.15</f>
        <v>0</v>
      </c>
    </row>
    <row r="33" spans="2:6" x14ac:dyDescent="0.45">
      <c r="B33" s="182"/>
      <c r="C33" s="369" t="s">
        <v>179</v>
      </c>
      <c r="D33" s="369"/>
      <c r="E33" s="369"/>
      <c r="F33" s="183"/>
    </row>
    <row r="34" spans="2:6" x14ac:dyDescent="0.45">
      <c r="B34" s="184" t="s">
        <v>0</v>
      </c>
      <c r="C34" s="185" t="s">
        <v>180</v>
      </c>
      <c r="D34" s="185" t="s">
        <v>21</v>
      </c>
      <c r="E34" s="185" t="s">
        <v>181</v>
      </c>
      <c r="F34" s="185" t="s">
        <v>182</v>
      </c>
    </row>
    <row r="35" spans="2:6" x14ac:dyDescent="0.45">
      <c r="B35" s="372"/>
      <c r="C35" s="186"/>
      <c r="D35" s="186">
        <v>1</v>
      </c>
      <c r="E35" s="186">
        <v>500</v>
      </c>
      <c r="F35" s="186">
        <f>E35*D35</f>
        <v>500</v>
      </c>
    </row>
    <row r="36" spans="2:6" x14ac:dyDescent="0.45">
      <c r="B36" s="373"/>
      <c r="C36" s="186"/>
      <c r="D36" s="186">
        <v>1</v>
      </c>
      <c r="E36" s="186">
        <v>3000</v>
      </c>
      <c r="F36" s="186">
        <f t="shared" ref="F36:F44" si="1">E36*D36</f>
        <v>3000</v>
      </c>
    </row>
    <row r="37" spans="2:6" x14ac:dyDescent="0.45">
      <c r="B37" s="373"/>
      <c r="C37" s="186"/>
      <c r="D37" s="186">
        <v>6</v>
      </c>
      <c r="E37" s="186">
        <v>1500</v>
      </c>
      <c r="F37" s="186">
        <f t="shared" si="1"/>
        <v>9000</v>
      </c>
    </row>
    <row r="38" spans="2:6" x14ac:dyDescent="0.45">
      <c r="B38" s="373"/>
      <c r="C38" s="186"/>
      <c r="D38" s="186">
        <v>1</v>
      </c>
      <c r="E38" s="186">
        <v>3000</v>
      </c>
      <c r="F38" s="186">
        <f t="shared" si="1"/>
        <v>3000</v>
      </c>
    </row>
    <row r="39" spans="2:6" x14ac:dyDescent="0.45">
      <c r="B39" s="373"/>
      <c r="C39" s="186"/>
      <c r="D39" s="186">
        <v>300</v>
      </c>
      <c r="E39" s="186">
        <v>140</v>
      </c>
      <c r="F39" s="186">
        <f t="shared" si="1"/>
        <v>42000</v>
      </c>
    </row>
    <row r="40" spans="2:6" x14ac:dyDescent="0.45">
      <c r="B40" s="373"/>
      <c r="D40" s="186">
        <v>220</v>
      </c>
      <c r="E40" s="186">
        <v>50</v>
      </c>
      <c r="F40" s="186">
        <f t="shared" si="1"/>
        <v>11000</v>
      </c>
    </row>
    <row r="41" spans="2:6" x14ac:dyDescent="0.45">
      <c r="B41" s="373"/>
      <c r="C41" s="186"/>
      <c r="D41" s="186">
        <v>1</v>
      </c>
      <c r="E41" s="186">
        <v>2000</v>
      </c>
      <c r="F41" s="186">
        <f t="shared" si="1"/>
        <v>2000</v>
      </c>
    </row>
    <row r="42" spans="2:6" x14ac:dyDescent="0.45">
      <c r="B42" s="373"/>
      <c r="C42" s="186"/>
      <c r="D42" s="186">
        <v>400</v>
      </c>
      <c r="E42" s="186">
        <v>15</v>
      </c>
      <c r="F42" s="186">
        <f t="shared" si="1"/>
        <v>6000</v>
      </c>
    </row>
    <row r="43" spans="2:6" x14ac:dyDescent="0.45">
      <c r="B43" s="373"/>
      <c r="C43" s="186"/>
      <c r="D43" s="186">
        <v>1</v>
      </c>
      <c r="E43" s="186">
        <v>5000</v>
      </c>
      <c r="F43" s="186">
        <f t="shared" si="1"/>
        <v>5000</v>
      </c>
    </row>
    <row r="44" spans="2:6" x14ac:dyDescent="0.45">
      <c r="B44" s="373"/>
      <c r="C44" s="186"/>
      <c r="D44" s="186">
        <v>600</v>
      </c>
      <c r="E44" s="186">
        <v>40</v>
      </c>
      <c r="F44" s="186">
        <f t="shared" si="1"/>
        <v>24000</v>
      </c>
    </row>
    <row r="45" spans="2:6" x14ac:dyDescent="0.45">
      <c r="B45" s="373"/>
      <c r="C45" s="186"/>
      <c r="D45" s="186"/>
      <c r="E45" s="186"/>
      <c r="F45" s="186"/>
    </row>
    <row r="46" spans="2:6" x14ac:dyDescent="0.45">
      <c r="B46" s="373"/>
      <c r="C46" s="186"/>
      <c r="D46" s="186"/>
      <c r="E46" s="186"/>
      <c r="F46" s="186"/>
    </row>
    <row r="47" spans="2:6" x14ac:dyDescent="0.45">
      <c r="B47" s="373"/>
      <c r="C47" s="374" t="s">
        <v>183</v>
      </c>
      <c r="D47" s="374"/>
      <c r="E47" s="374"/>
      <c r="F47" s="187">
        <f>SUM(F35:F46)</f>
        <v>105500</v>
      </c>
    </row>
    <row r="48" spans="2:6" x14ac:dyDescent="0.45">
      <c r="B48" s="373"/>
      <c r="C48" s="375" t="s">
        <v>184</v>
      </c>
      <c r="D48" s="375"/>
      <c r="E48" s="375"/>
      <c r="F48" s="188">
        <f>F47/300</f>
        <v>351.66666666666669</v>
      </c>
    </row>
    <row r="49" spans="2:6" x14ac:dyDescent="0.45">
      <c r="B49" s="373"/>
      <c r="C49" s="375" t="s">
        <v>185</v>
      </c>
      <c r="D49" s="375"/>
      <c r="E49" s="375"/>
      <c r="F49" s="188">
        <f>F48*1.15</f>
        <v>404.41666666666669</v>
      </c>
    </row>
    <row r="53" spans="2:6" x14ac:dyDescent="0.45">
      <c r="B53" s="182"/>
      <c r="C53" s="369" t="s">
        <v>179</v>
      </c>
      <c r="D53" s="369"/>
      <c r="E53" s="369"/>
      <c r="F53" s="183"/>
    </row>
    <row r="54" spans="2:6" x14ac:dyDescent="0.45">
      <c r="B54" s="184" t="s">
        <v>0</v>
      </c>
      <c r="C54" s="185" t="s">
        <v>180</v>
      </c>
      <c r="D54" s="185" t="s">
        <v>21</v>
      </c>
      <c r="E54" s="185" t="s">
        <v>181</v>
      </c>
      <c r="F54" s="185" t="s">
        <v>182</v>
      </c>
    </row>
    <row r="55" spans="2:6" x14ac:dyDescent="0.45">
      <c r="B55" s="372"/>
      <c r="C55" s="186"/>
      <c r="D55" s="186">
        <v>1</v>
      </c>
      <c r="E55" s="186">
        <v>300</v>
      </c>
      <c r="F55" s="186">
        <f>E55*D55</f>
        <v>300</v>
      </c>
    </row>
    <row r="56" spans="2:6" x14ac:dyDescent="0.45">
      <c r="B56" s="373"/>
      <c r="C56" s="186"/>
      <c r="D56" s="186">
        <v>1</v>
      </c>
      <c r="E56" s="186">
        <v>1000</v>
      </c>
      <c r="F56" s="186">
        <f t="shared" ref="F56:F64" si="2">E56*D56</f>
        <v>1000</v>
      </c>
    </row>
    <row r="57" spans="2:6" x14ac:dyDescent="0.45">
      <c r="B57" s="373"/>
      <c r="C57" s="186"/>
      <c r="D57" s="186">
        <v>6</v>
      </c>
      <c r="E57" s="186">
        <v>1000</v>
      </c>
      <c r="F57" s="186">
        <f t="shared" si="2"/>
        <v>6000</v>
      </c>
    </row>
    <row r="58" spans="2:6" x14ac:dyDescent="0.45">
      <c r="B58" s="373"/>
      <c r="C58" s="186"/>
      <c r="D58" s="186">
        <v>1</v>
      </c>
      <c r="E58" s="186">
        <v>3000</v>
      </c>
      <c r="F58" s="186">
        <f t="shared" si="2"/>
        <v>3000</v>
      </c>
    </row>
    <row r="59" spans="2:6" x14ac:dyDescent="0.45">
      <c r="B59" s="373"/>
      <c r="C59" s="186"/>
      <c r="D59" s="186">
        <v>50</v>
      </c>
      <c r="E59" s="186">
        <v>40</v>
      </c>
      <c r="F59" s="186">
        <f t="shared" si="2"/>
        <v>2000</v>
      </c>
    </row>
    <row r="60" spans="2:6" x14ac:dyDescent="0.45">
      <c r="B60" s="373"/>
      <c r="D60" s="186">
        <v>100</v>
      </c>
      <c r="E60" s="186">
        <v>50</v>
      </c>
      <c r="F60" s="186">
        <f t="shared" si="2"/>
        <v>5000</v>
      </c>
    </row>
    <row r="61" spans="2:6" x14ac:dyDescent="0.45">
      <c r="B61" s="373"/>
      <c r="C61" s="186"/>
      <c r="D61" s="186">
        <v>1</v>
      </c>
      <c r="E61" s="186">
        <v>1500</v>
      </c>
      <c r="F61" s="186">
        <f t="shared" si="2"/>
        <v>1500</v>
      </c>
    </row>
    <row r="62" spans="2:6" x14ac:dyDescent="0.45">
      <c r="B62" s="373"/>
      <c r="C62" s="186"/>
      <c r="D62" s="186">
        <v>200</v>
      </c>
      <c r="E62" s="186">
        <v>15</v>
      </c>
      <c r="F62" s="186">
        <f t="shared" si="2"/>
        <v>3000</v>
      </c>
    </row>
    <row r="63" spans="2:6" x14ac:dyDescent="0.45">
      <c r="B63" s="373"/>
      <c r="C63" s="186"/>
      <c r="D63" s="186">
        <v>1</v>
      </c>
      <c r="E63" s="186">
        <v>2000</v>
      </c>
      <c r="F63" s="186">
        <f t="shared" si="2"/>
        <v>2000</v>
      </c>
    </row>
    <row r="64" spans="2:6" x14ac:dyDescent="0.45">
      <c r="B64" s="373"/>
      <c r="C64" s="186"/>
      <c r="D64" s="186">
        <v>150</v>
      </c>
      <c r="E64" s="186">
        <v>40</v>
      </c>
      <c r="F64" s="186">
        <f t="shared" si="2"/>
        <v>6000</v>
      </c>
    </row>
    <row r="65" spans="2:6" x14ac:dyDescent="0.45">
      <c r="B65" s="373"/>
      <c r="C65" s="186"/>
      <c r="D65" s="186"/>
      <c r="E65" s="186"/>
      <c r="F65" s="186"/>
    </row>
    <row r="66" spans="2:6" x14ac:dyDescent="0.45">
      <c r="B66" s="373"/>
      <c r="C66" s="186"/>
      <c r="D66" s="186"/>
      <c r="E66" s="186"/>
      <c r="F66" s="186"/>
    </row>
    <row r="67" spans="2:6" x14ac:dyDescent="0.45">
      <c r="B67" s="373"/>
      <c r="C67" s="374" t="s">
        <v>183</v>
      </c>
      <c r="D67" s="374"/>
      <c r="E67" s="374"/>
      <c r="F67" s="187">
        <f>SUM(F55:F66)</f>
        <v>29800</v>
      </c>
    </row>
    <row r="68" spans="2:6" x14ac:dyDescent="0.45">
      <c r="B68" s="373"/>
      <c r="C68" s="375" t="s">
        <v>184</v>
      </c>
      <c r="D68" s="375"/>
      <c r="E68" s="375"/>
      <c r="F68" s="188">
        <f>F67/300</f>
        <v>99.333333333333329</v>
      </c>
    </row>
    <row r="69" spans="2:6" x14ac:dyDescent="0.45">
      <c r="B69" s="373"/>
      <c r="C69" s="375" t="s">
        <v>185</v>
      </c>
      <c r="D69" s="375"/>
      <c r="E69" s="375"/>
      <c r="F69" s="188">
        <f>F68*1.15</f>
        <v>114.23333333333332</v>
      </c>
    </row>
  </sheetData>
  <mergeCells count="19">
    <mergeCell ref="C3:G3"/>
    <mergeCell ref="C53:E53"/>
    <mergeCell ref="B55:B69"/>
    <mergeCell ref="C67:E67"/>
    <mergeCell ref="C68:E68"/>
    <mergeCell ref="C69:E69"/>
    <mergeCell ref="B35:B49"/>
    <mergeCell ref="C47:E47"/>
    <mergeCell ref="C48:E48"/>
    <mergeCell ref="C49:E49"/>
    <mergeCell ref="B5:B12"/>
    <mergeCell ref="C11:E11"/>
    <mergeCell ref="C12:E12"/>
    <mergeCell ref="C14:E14"/>
    <mergeCell ref="B16:B30"/>
    <mergeCell ref="C28:E28"/>
    <mergeCell ref="C29:E29"/>
    <mergeCell ref="C30:E30"/>
    <mergeCell ref="C33:E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650C8-803D-4E1B-802A-C47E56D81504}">
  <dimension ref="B2:H58"/>
  <sheetViews>
    <sheetView showGridLines="0" rightToLeft="1" zoomScale="115" zoomScaleNormal="115" workbookViewId="0">
      <selection activeCell="C18" sqref="C18"/>
    </sheetView>
  </sheetViews>
  <sheetFormatPr defaultRowHeight="14.25" x14ac:dyDescent="0.2"/>
  <cols>
    <col min="3" max="3" width="30.375" style="1" bestFit="1" customWidth="1"/>
    <col min="4" max="4" width="12" style="1" customWidth="1"/>
    <col min="5" max="5" width="13.75" style="1" customWidth="1"/>
    <col min="6" max="6" width="13.625" style="1" customWidth="1"/>
    <col min="7" max="7" width="9" hidden="1" customWidth="1"/>
    <col min="8" max="8" width="87.75" bestFit="1" customWidth="1"/>
  </cols>
  <sheetData>
    <row r="2" spans="2:8" x14ac:dyDescent="0.2">
      <c r="C2" s="77"/>
    </row>
    <row r="3" spans="2:8" ht="18.75" x14ac:dyDescent="0.2">
      <c r="B3" s="182"/>
      <c r="C3" s="391" t="s">
        <v>278</v>
      </c>
      <c r="D3" s="392"/>
      <c r="E3" s="392"/>
      <c r="F3" s="392"/>
      <c r="G3" s="392"/>
      <c r="H3" s="393"/>
    </row>
    <row r="4" spans="2:8" ht="18" x14ac:dyDescent="0.45">
      <c r="B4" s="184" t="s">
        <v>0</v>
      </c>
      <c r="C4" s="275" t="s">
        <v>282</v>
      </c>
      <c r="D4" s="275" t="s">
        <v>21</v>
      </c>
      <c r="E4" s="275" t="s">
        <v>181</v>
      </c>
      <c r="F4" s="275" t="s">
        <v>182</v>
      </c>
      <c r="G4" s="185" t="s">
        <v>182</v>
      </c>
      <c r="H4" s="258" t="s">
        <v>252</v>
      </c>
    </row>
    <row r="5" spans="2:8" ht="18" x14ac:dyDescent="0.45">
      <c r="B5" s="372" t="s">
        <v>205</v>
      </c>
      <c r="C5" s="263" t="s">
        <v>212</v>
      </c>
      <c r="D5" s="279">
        <v>1</v>
      </c>
      <c r="E5" s="279">
        <v>120000</v>
      </c>
      <c r="F5" s="279">
        <f>E5*D5</f>
        <v>120000</v>
      </c>
      <c r="G5" s="281" t="s">
        <v>196</v>
      </c>
      <c r="H5" s="176" t="s">
        <v>311</v>
      </c>
    </row>
    <row r="6" spans="2:8" ht="18" x14ac:dyDescent="0.45">
      <c r="B6" s="373"/>
      <c r="C6" s="263" t="s">
        <v>213</v>
      </c>
      <c r="D6" s="279">
        <v>1</v>
      </c>
      <c r="E6" s="279">
        <v>40000</v>
      </c>
      <c r="F6" s="279">
        <f t="shared" ref="F6:F20" si="0">E6*D6</f>
        <v>40000</v>
      </c>
      <c r="G6" s="281" t="s">
        <v>196</v>
      </c>
      <c r="H6" s="176" t="s">
        <v>312</v>
      </c>
    </row>
    <row r="7" spans="2:8" ht="18" x14ac:dyDescent="0.45">
      <c r="B7" s="373"/>
      <c r="C7" s="263" t="s">
        <v>246</v>
      </c>
      <c r="D7" s="279">
        <v>12</v>
      </c>
      <c r="E7" s="279">
        <v>5000</v>
      </c>
      <c r="F7" s="279">
        <f t="shared" ref="F7" si="1">E7*D7</f>
        <v>60000</v>
      </c>
      <c r="G7" s="281"/>
      <c r="H7" s="176" t="s">
        <v>313</v>
      </c>
    </row>
    <row r="8" spans="2:8" ht="18" x14ac:dyDescent="0.45">
      <c r="B8" s="373"/>
      <c r="C8" s="263" t="s">
        <v>247</v>
      </c>
      <c r="D8" s="279">
        <v>1</v>
      </c>
      <c r="E8" s="279">
        <v>5000</v>
      </c>
      <c r="F8" s="279">
        <f t="shared" ref="F8" si="2">E8*D8</f>
        <v>5000</v>
      </c>
      <c r="G8" s="281"/>
      <c r="H8" s="176" t="s">
        <v>310</v>
      </c>
    </row>
    <row r="9" spans="2:8" ht="18" x14ac:dyDescent="0.45">
      <c r="B9" s="373"/>
      <c r="C9" s="282" t="s">
        <v>248</v>
      </c>
      <c r="D9" s="279">
        <v>12</v>
      </c>
      <c r="E9" s="279">
        <v>3000</v>
      </c>
      <c r="F9" s="279">
        <f t="shared" ref="F9" si="3">E9*D9</f>
        <v>36000</v>
      </c>
      <c r="G9" s="281"/>
      <c r="H9" s="285" t="s">
        <v>314</v>
      </c>
    </row>
    <row r="10" spans="2:8" ht="18" x14ac:dyDescent="0.45">
      <c r="B10" s="373"/>
      <c r="C10" s="282" t="s">
        <v>214</v>
      </c>
      <c r="D10" s="279">
        <v>1</v>
      </c>
      <c r="E10" s="279">
        <v>4600</v>
      </c>
      <c r="F10" s="279">
        <f>E10*D10</f>
        <v>4600</v>
      </c>
      <c r="G10" s="176" t="s">
        <v>196</v>
      </c>
      <c r="H10" s="285" t="s">
        <v>315</v>
      </c>
    </row>
    <row r="11" spans="2:8" ht="18" x14ac:dyDescent="0.45">
      <c r="B11" s="373"/>
      <c r="C11" s="282" t="s">
        <v>216</v>
      </c>
      <c r="D11" s="279">
        <v>1</v>
      </c>
      <c r="E11" s="279">
        <v>3000</v>
      </c>
      <c r="F11" s="279">
        <f t="shared" si="0"/>
        <v>3000</v>
      </c>
      <c r="G11" s="176" t="s">
        <v>194</v>
      </c>
      <c r="H11" s="285" t="s">
        <v>316</v>
      </c>
    </row>
    <row r="12" spans="2:8" ht="18" x14ac:dyDescent="0.45">
      <c r="B12" s="373"/>
      <c r="C12" s="282" t="s">
        <v>251</v>
      </c>
      <c r="D12" s="279">
        <v>1</v>
      </c>
      <c r="E12" s="279">
        <v>120000</v>
      </c>
      <c r="F12" s="279">
        <f t="shared" ref="F12" si="4">E12*D12</f>
        <v>120000</v>
      </c>
      <c r="G12" s="176"/>
      <c r="H12" s="176" t="s">
        <v>326</v>
      </c>
    </row>
    <row r="13" spans="2:8" ht="18" x14ac:dyDescent="0.45">
      <c r="B13" s="373"/>
      <c r="C13" s="238" t="s">
        <v>215</v>
      </c>
      <c r="D13" s="279">
        <v>4</v>
      </c>
      <c r="E13" s="279">
        <v>5000</v>
      </c>
      <c r="F13" s="279">
        <f t="shared" si="0"/>
        <v>20000</v>
      </c>
      <c r="G13" s="281" t="s">
        <v>196</v>
      </c>
      <c r="H13" s="285" t="s">
        <v>318</v>
      </c>
    </row>
    <row r="14" spans="2:8" ht="18" x14ac:dyDescent="0.45">
      <c r="B14" s="373"/>
      <c r="C14" s="263" t="s">
        <v>309</v>
      </c>
      <c r="D14" s="279">
        <v>1</v>
      </c>
      <c r="E14" s="279">
        <v>15000</v>
      </c>
      <c r="F14" s="279">
        <f t="shared" si="0"/>
        <v>15000</v>
      </c>
      <c r="G14" s="176" t="s">
        <v>196</v>
      </c>
      <c r="H14" s="285" t="s">
        <v>319</v>
      </c>
    </row>
    <row r="15" spans="2:8" ht="18" x14ac:dyDescent="0.45">
      <c r="B15" s="373"/>
      <c r="C15" s="282" t="s">
        <v>217</v>
      </c>
      <c r="D15" s="279">
        <v>12</v>
      </c>
      <c r="E15" s="279">
        <v>2000</v>
      </c>
      <c r="F15" s="279">
        <f t="shared" si="0"/>
        <v>24000</v>
      </c>
      <c r="G15" s="176" t="s">
        <v>196</v>
      </c>
      <c r="H15" s="285" t="s">
        <v>317</v>
      </c>
    </row>
    <row r="16" spans="2:8" ht="18" x14ac:dyDescent="0.45">
      <c r="B16" s="373"/>
      <c r="C16" s="176" t="s">
        <v>321</v>
      </c>
      <c r="D16" s="279">
        <v>12</v>
      </c>
      <c r="E16" s="279">
        <v>500</v>
      </c>
      <c r="F16" s="279">
        <f t="shared" si="0"/>
        <v>6000</v>
      </c>
      <c r="G16" s="176"/>
      <c r="H16" s="285" t="s">
        <v>322</v>
      </c>
    </row>
    <row r="17" spans="2:8" ht="18" x14ac:dyDescent="0.45">
      <c r="B17" s="373"/>
      <c r="C17" s="176" t="s">
        <v>323</v>
      </c>
      <c r="D17" s="279">
        <v>12</v>
      </c>
      <c r="E17" s="279">
        <v>500</v>
      </c>
      <c r="F17" s="279">
        <f t="shared" si="0"/>
        <v>6000</v>
      </c>
      <c r="G17" s="176"/>
      <c r="H17" s="176" t="s">
        <v>324</v>
      </c>
    </row>
    <row r="18" spans="2:8" ht="18" x14ac:dyDescent="0.45">
      <c r="B18" s="373"/>
      <c r="C18" s="176" t="s">
        <v>327</v>
      </c>
      <c r="D18" s="279">
        <v>12</v>
      </c>
      <c r="E18" s="279">
        <v>1000</v>
      </c>
      <c r="F18" s="279">
        <f t="shared" si="0"/>
        <v>12000</v>
      </c>
      <c r="G18" s="176"/>
      <c r="H18" s="176" t="s">
        <v>328</v>
      </c>
    </row>
    <row r="19" spans="2:8" ht="18" x14ac:dyDescent="0.45">
      <c r="B19" s="373"/>
      <c r="C19" s="176" t="s">
        <v>329</v>
      </c>
      <c r="D19" s="279">
        <v>12</v>
      </c>
      <c r="E19" s="279">
        <v>2000</v>
      </c>
      <c r="F19" s="279">
        <f t="shared" si="0"/>
        <v>24000</v>
      </c>
      <c r="G19" s="176"/>
      <c r="H19" s="176" t="s">
        <v>330</v>
      </c>
    </row>
    <row r="20" spans="2:8" ht="18" x14ac:dyDescent="0.45">
      <c r="B20" s="373"/>
      <c r="C20" s="176" t="s">
        <v>320</v>
      </c>
      <c r="D20" s="279">
        <v>4</v>
      </c>
      <c r="E20" s="279">
        <v>3000</v>
      </c>
      <c r="F20" s="279">
        <f t="shared" si="0"/>
        <v>12000</v>
      </c>
      <c r="G20" s="176"/>
      <c r="H20" s="176" t="s">
        <v>325</v>
      </c>
    </row>
    <row r="21" spans="2:8" ht="16.5" x14ac:dyDescent="0.2">
      <c r="B21" s="373"/>
      <c r="C21" s="390" t="s">
        <v>183</v>
      </c>
      <c r="D21" s="390"/>
      <c r="E21" s="390"/>
      <c r="F21" s="283">
        <f>SUM(F5:F20)</f>
        <v>507600</v>
      </c>
      <c r="H21" s="284"/>
    </row>
    <row r="22" spans="2:8" ht="16.5" x14ac:dyDescent="0.2">
      <c r="B22" s="373"/>
      <c r="C22" s="386" t="s">
        <v>197</v>
      </c>
      <c r="D22" s="387"/>
      <c r="E22" s="388"/>
      <c r="F22" s="277">
        <f>F21*1.1</f>
        <v>558360</v>
      </c>
      <c r="H22" s="261"/>
    </row>
    <row r="23" spans="2:8" ht="18" x14ac:dyDescent="0.45">
      <c r="B23" s="144"/>
      <c r="C23" s="264"/>
      <c r="D23" s="264"/>
      <c r="E23" s="264"/>
      <c r="F23" s="264"/>
    </row>
    <row r="24" spans="2:8" ht="16.5" x14ac:dyDescent="0.2">
      <c r="B24" s="182"/>
      <c r="C24" s="389" t="s">
        <v>204</v>
      </c>
      <c r="D24" s="389"/>
      <c r="E24" s="389"/>
      <c r="F24" s="257"/>
    </row>
    <row r="25" spans="2:8" ht="18" x14ac:dyDescent="0.45">
      <c r="B25" s="184" t="s">
        <v>0</v>
      </c>
      <c r="C25" s="275" t="s">
        <v>80</v>
      </c>
      <c r="D25" s="275" t="s">
        <v>21</v>
      </c>
      <c r="E25" s="275" t="s">
        <v>181</v>
      </c>
      <c r="F25" s="275" t="s">
        <v>182</v>
      </c>
    </row>
    <row r="26" spans="2:8" ht="16.5" x14ac:dyDescent="0.2">
      <c r="B26" s="372" t="s">
        <v>207</v>
      </c>
      <c r="C26" s="263"/>
      <c r="D26" s="263"/>
      <c r="E26" s="263"/>
      <c r="F26" s="263"/>
      <c r="G26" s="235" t="s">
        <v>198</v>
      </c>
    </row>
    <row r="27" spans="2:8" ht="16.5" x14ac:dyDescent="0.2">
      <c r="B27" s="373"/>
      <c r="C27" s="263"/>
      <c r="D27" s="263"/>
      <c r="E27" s="263"/>
      <c r="F27" s="263"/>
      <c r="G27" t="s">
        <v>199</v>
      </c>
    </row>
    <row r="28" spans="2:8" ht="16.5" x14ac:dyDescent="0.2">
      <c r="B28" s="373"/>
      <c r="C28" s="263"/>
      <c r="D28" s="263"/>
      <c r="E28" s="263"/>
      <c r="F28" s="263"/>
      <c r="G28" s="235" t="s">
        <v>200</v>
      </c>
    </row>
    <row r="29" spans="2:8" ht="16.5" x14ac:dyDescent="0.2">
      <c r="B29" s="373"/>
      <c r="C29" s="263"/>
      <c r="D29" s="263"/>
      <c r="E29" s="263"/>
      <c r="F29" s="263"/>
    </row>
    <row r="30" spans="2:8" ht="16.5" x14ac:dyDescent="0.2">
      <c r="B30" s="373"/>
      <c r="C30" s="263"/>
      <c r="D30" s="263"/>
      <c r="E30" s="263"/>
      <c r="F30" s="263"/>
    </row>
    <row r="31" spans="2:8" ht="16.5" x14ac:dyDescent="0.2">
      <c r="B31" s="373"/>
      <c r="C31" s="263"/>
      <c r="D31" s="263"/>
      <c r="E31" s="263"/>
      <c r="F31" s="263"/>
    </row>
    <row r="32" spans="2:8" ht="16.5" x14ac:dyDescent="0.2">
      <c r="B32" s="373"/>
      <c r="C32" s="263"/>
      <c r="D32" s="263"/>
      <c r="E32" s="263"/>
      <c r="F32" s="263"/>
    </row>
    <row r="33" spans="2:7" ht="16.5" x14ac:dyDescent="0.2">
      <c r="B33" s="373"/>
      <c r="C33" s="263"/>
      <c r="D33" s="263"/>
      <c r="E33" s="263"/>
      <c r="F33" s="263"/>
    </row>
    <row r="34" spans="2:7" ht="16.5" x14ac:dyDescent="0.2">
      <c r="B34" s="373"/>
      <c r="C34" s="263"/>
      <c r="D34" s="263"/>
      <c r="E34" s="263"/>
      <c r="F34" s="263"/>
    </row>
    <row r="35" spans="2:7" ht="16.5" x14ac:dyDescent="0.2">
      <c r="B35" s="373"/>
      <c r="C35" s="385" t="s">
        <v>183</v>
      </c>
      <c r="D35" s="385"/>
      <c r="E35" s="385"/>
      <c r="F35" s="276">
        <f>SUM(F26:F34)</f>
        <v>0</v>
      </c>
    </row>
    <row r="36" spans="2:7" ht="16.5" x14ac:dyDescent="0.2">
      <c r="B36" s="373"/>
      <c r="C36" s="386" t="s">
        <v>197</v>
      </c>
      <c r="D36" s="387"/>
      <c r="E36" s="388"/>
      <c r="F36" s="277">
        <f>F35*1.1</f>
        <v>0</v>
      </c>
    </row>
    <row r="37" spans="2:7" ht="18" x14ac:dyDescent="0.45">
      <c r="B37" s="144"/>
      <c r="C37" s="264"/>
      <c r="D37" s="264"/>
      <c r="E37" s="264"/>
      <c r="F37" s="264"/>
    </row>
    <row r="38" spans="2:7" ht="18" x14ac:dyDescent="0.45">
      <c r="B38" s="144"/>
      <c r="C38" s="264"/>
      <c r="D38" s="264"/>
      <c r="E38" s="264"/>
      <c r="F38" s="264"/>
    </row>
    <row r="39" spans="2:7" ht="16.5" x14ac:dyDescent="0.2">
      <c r="B39" s="182"/>
      <c r="C39" s="389" t="s">
        <v>204</v>
      </c>
      <c r="D39" s="389"/>
      <c r="E39" s="389"/>
      <c r="F39" s="257"/>
    </row>
    <row r="40" spans="2:7" ht="18" x14ac:dyDescent="0.45">
      <c r="B40" s="184" t="s">
        <v>0</v>
      </c>
      <c r="C40" s="275" t="s">
        <v>80</v>
      </c>
      <c r="D40" s="275" t="s">
        <v>21</v>
      </c>
      <c r="E40" s="275" t="s">
        <v>181</v>
      </c>
      <c r="F40" s="275" t="s">
        <v>182</v>
      </c>
    </row>
    <row r="41" spans="2:7" ht="16.5" x14ac:dyDescent="0.2">
      <c r="B41" s="372" t="s">
        <v>208</v>
      </c>
      <c r="C41" s="278"/>
      <c r="D41" s="263"/>
      <c r="E41" s="263"/>
      <c r="F41" s="263"/>
      <c r="G41" t="s">
        <v>202</v>
      </c>
    </row>
    <row r="42" spans="2:7" ht="16.5" x14ac:dyDescent="0.2">
      <c r="B42" s="373"/>
      <c r="C42" s="263"/>
      <c r="D42" s="263"/>
      <c r="E42" s="263"/>
      <c r="F42" s="263"/>
      <c r="G42" t="s">
        <v>201</v>
      </c>
    </row>
    <row r="43" spans="2:7" ht="16.5" x14ac:dyDescent="0.2">
      <c r="B43" s="373"/>
      <c r="C43" s="263"/>
      <c r="D43" s="263"/>
      <c r="E43" s="263"/>
      <c r="F43" s="263"/>
    </row>
    <row r="44" spans="2:7" ht="16.5" x14ac:dyDescent="0.2">
      <c r="B44" s="373"/>
      <c r="C44" s="263"/>
      <c r="D44" s="263"/>
      <c r="E44" s="263"/>
      <c r="F44" s="263"/>
    </row>
    <row r="45" spans="2:7" ht="16.5" x14ac:dyDescent="0.2">
      <c r="B45" s="373"/>
      <c r="C45" s="263"/>
      <c r="D45" s="263"/>
      <c r="E45" s="263"/>
      <c r="F45" s="263"/>
    </row>
    <row r="46" spans="2:7" ht="16.5" x14ac:dyDescent="0.2">
      <c r="B46" s="373"/>
      <c r="C46" s="385" t="s">
        <v>183</v>
      </c>
      <c r="D46" s="385"/>
      <c r="E46" s="385"/>
      <c r="F46" s="276">
        <f>SUM(F41:F45)</f>
        <v>0</v>
      </c>
    </row>
    <row r="47" spans="2:7" ht="16.5" x14ac:dyDescent="0.2">
      <c r="B47" s="373"/>
      <c r="C47" s="386" t="s">
        <v>197</v>
      </c>
      <c r="D47" s="387"/>
      <c r="E47" s="388"/>
      <c r="F47" s="277">
        <f>F46*1.1</f>
        <v>0</v>
      </c>
    </row>
    <row r="48" spans="2:7" ht="18" x14ac:dyDescent="0.45">
      <c r="B48" s="144"/>
      <c r="C48" s="264"/>
      <c r="D48" s="264"/>
      <c r="E48" s="264"/>
      <c r="F48" s="264"/>
    </row>
    <row r="49" spans="2:7" ht="18" x14ac:dyDescent="0.45">
      <c r="B49" s="144"/>
      <c r="C49" s="264"/>
      <c r="D49" s="264"/>
      <c r="E49" s="264"/>
      <c r="F49" s="264"/>
    </row>
    <row r="50" spans="2:7" ht="18" x14ac:dyDescent="0.45">
      <c r="B50" s="144"/>
      <c r="C50" s="264"/>
      <c r="D50" s="264"/>
      <c r="E50" s="264"/>
      <c r="F50" s="264"/>
    </row>
    <row r="51" spans="2:7" ht="16.5" x14ac:dyDescent="0.2">
      <c r="B51" s="182"/>
      <c r="C51" s="389" t="s">
        <v>204</v>
      </c>
      <c r="D51" s="389"/>
      <c r="E51" s="389"/>
      <c r="F51" s="257"/>
    </row>
    <row r="52" spans="2:7" ht="18" x14ac:dyDescent="0.45">
      <c r="B52" s="184" t="s">
        <v>0</v>
      </c>
      <c r="C52" s="275" t="s">
        <v>80</v>
      </c>
      <c r="D52" s="275" t="s">
        <v>21</v>
      </c>
      <c r="E52" s="275" t="s">
        <v>181</v>
      </c>
      <c r="F52" s="275" t="s">
        <v>182</v>
      </c>
    </row>
    <row r="53" spans="2:7" ht="16.5" x14ac:dyDescent="0.2">
      <c r="B53" s="372" t="s">
        <v>209</v>
      </c>
      <c r="C53" s="263"/>
      <c r="D53" s="263"/>
      <c r="E53" s="263"/>
      <c r="F53" s="263"/>
      <c r="G53" s="235" t="s">
        <v>203</v>
      </c>
    </row>
    <row r="54" spans="2:7" ht="16.5" x14ac:dyDescent="0.2">
      <c r="B54" s="373"/>
      <c r="C54" s="263"/>
      <c r="D54" s="263"/>
      <c r="E54" s="263"/>
      <c r="F54" s="263"/>
    </row>
    <row r="55" spans="2:7" ht="16.5" x14ac:dyDescent="0.2">
      <c r="B55" s="373"/>
      <c r="C55" s="263"/>
      <c r="D55" s="263"/>
      <c r="E55" s="263"/>
      <c r="F55" s="263"/>
    </row>
    <row r="56" spans="2:7" ht="16.5" x14ac:dyDescent="0.2">
      <c r="B56" s="373"/>
      <c r="C56" s="263"/>
      <c r="D56" s="263"/>
      <c r="E56" s="263"/>
      <c r="F56" s="263"/>
    </row>
    <row r="57" spans="2:7" ht="16.5" x14ac:dyDescent="0.2">
      <c r="B57" s="373"/>
      <c r="C57" s="385" t="s">
        <v>183</v>
      </c>
      <c r="D57" s="385"/>
      <c r="E57" s="385"/>
      <c r="F57" s="276">
        <f>SUM(F53:F56)</f>
        <v>0</v>
      </c>
    </row>
    <row r="58" spans="2:7" ht="16.5" x14ac:dyDescent="0.2">
      <c r="B58" s="373"/>
      <c r="C58" s="386" t="s">
        <v>197</v>
      </c>
      <c r="D58" s="387"/>
      <c r="E58" s="388"/>
      <c r="F58" s="277">
        <f>F57*1.1</f>
        <v>0</v>
      </c>
    </row>
  </sheetData>
  <mergeCells count="16">
    <mergeCell ref="B5:B22"/>
    <mergeCell ref="C21:E21"/>
    <mergeCell ref="C22:E22"/>
    <mergeCell ref="C24:E24"/>
    <mergeCell ref="C3:H3"/>
    <mergeCell ref="B26:B36"/>
    <mergeCell ref="C35:E35"/>
    <mergeCell ref="C36:E36"/>
    <mergeCell ref="B53:B58"/>
    <mergeCell ref="C57:E57"/>
    <mergeCell ref="C58:E58"/>
    <mergeCell ref="C39:E39"/>
    <mergeCell ref="B41:B47"/>
    <mergeCell ref="C46:E46"/>
    <mergeCell ref="C47:E47"/>
    <mergeCell ref="C51:E51"/>
  </mergeCells>
  <hyperlinks>
    <hyperlink ref="G5" r:id="rId1" xr:uid="{FB26142E-003B-4F3A-9FF5-37CD6653D7EC}"/>
    <hyperlink ref="G13" r:id="rId2" xr:uid="{3F664351-87E2-468D-9701-876EF33454B8}"/>
    <hyperlink ref="G6" r:id="rId3" xr:uid="{80FAB917-3F67-470E-A457-F9373ED8EC23}"/>
    <hyperlink ref="G28" r:id="rId4" xr:uid="{854BC899-B66F-4CF3-8760-0A453A4B2100}"/>
    <hyperlink ref="G53" r:id="rId5" xr:uid="{BDB55304-E430-4FC7-8E13-69D99D396A9E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84819-94CF-4B13-9FE0-2D40923BAB8D}">
  <dimension ref="B5:N65"/>
  <sheetViews>
    <sheetView showGridLines="0" rightToLeft="1" zoomScale="85" zoomScaleNormal="85" workbookViewId="0">
      <selection activeCell="C27" sqref="C27"/>
    </sheetView>
  </sheetViews>
  <sheetFormatPr defaultRowHeight="14.25" x14ac:dyDescent="0.2"/>
  <cols>
    <col min="2" max="2" width="9.25" bestFit="1" customWidth="1"/>
    <col min="3" max="3" width="30.375" bestFit="1" customWidth="1"/>
    <col min="4" max="4" width="10.875" bestFit="1" customWidth="1"/>
    <col min="5" max="5" width="12.125" bestFit="1" customWidth="1"/>
    <col min="6" max="6" width="15.25" customWidth="1"/>
    <col min="7" max="7" width="1.875" hidden="1" customWidth="1"/>
    <col min="8" max="8" width="68.375" bestFit="1" customWidth="1"/>
  </cols>
  <sheetData>
    <row r="5" spans="2:14" ht="18" x14ac:dyDescent="0.45">
      <c r="B5" s="182"/>
      <c r="C5" s="369"/>
      <c r="D5" s="369"/>
      <c r="E5" s="369"/>
      <c r="F5" s="183"/>
      <c r="G5" s="259"/>
      <c r="H5" s="183"/>
    </row>
    <row r="6" spans="2:14" ht="18" x14ac:dyDescent="0.45">
      <c r="B6" s="184" t="s">
        <v>0</v>
      </c>
      <c r="C6" s="185" t="s">
        <v>282</v>
      </c>
      <c r="D6" s="185" t="s">
        <v>21</v>
      </c>
      <c r="E6" s="185" t="s">
        <v>181</v>
      </c>
      <c r="F6" s="185" t="s">
        <v>182</v>
      </c>
      <c r="G6" s="260" t="s">
        <v>182</v>
      </c>
      <c r="H6" s="258" t="s">
        <v>252</v>
      </c>
    </row>
    <row r="7" spans="2:14" ht="18" x14ac:dyDescent="0.45">
      <c r="B7" s="255"/>
      <c r="C7" s="274" t="s">
        <v>244</v>
      </c>
      <c r="D7" s="186">
        <v>1</v>
      </c>
      <c r="E7" s="280">
        <v>20000</v>
      </c>
      <c r="F7" s="186">
        <f>E7*D7</f>
        <v>20000</v>
      </c>
      <c r="G7" s="185"/>
      <c r="H7" s="262" t="s">
        <v>283</v>
      </c>
    </row>
    <row r="8" spans="2:14" ht="18" x14ac:dyDescent="0.45">
      <c r="B8" s="255"/>
      <c r="C8" s="274" t="s">
        <v>280</v>
      </c>
      <c r="D8" s="186">
        <v>1</v>
      </c>
      <c r="E8" s="280">
        <v>5000</v>
      </c>
      <c r="F8" s="186">
        <f>E8*D8</f>
        <v>5000</v>
      </c>
      <c r="G8" s="185"/>
      <c r="H8" s="176" t="s">
        <v>284</v>
      </c>
    </row>
    <row r="9" spans="2:14" ht="18" x14ac:dyDescent="0.45">
      <c r="B9" s="372" t="s">
        <v>205</v>
      </c>
      <c r="C9" s="274" t="s">
        <v>218</v>
      </c>
      <c r="D9" s="186">
        <v>8</v>
      </c>
      <c r="E9" s="280">
        <v>50000</v>
      </c>
      <c r="F9" s="186">
        <f>E9*D9</f>
        <v>400000</v>
      </c>
      <c r="G9" s="281" t="s">
        <v>196</v>
      </c>
      <c r="H9" s="176" t="s">
        <v>285</v>
      </c>
      <c r="M9" s="250"/>
      <c r="N9" s="251"/>
    </row>
    <row r="10" spans="2:14" ht="18" x14ac:dyDescent="0.45">
      <c r="B10" s="373"/>
      <c r="C10" s="274" t="s">
        <v>4</v>
      </c>
      <c r="D10" s="186">
        <v>1</v>
      </c>
      <c r="E10" s="280">
        <v>30000</v>
      </c>
      <c r="F10" s="186">
        <f t="shared" ref="F10:F27" si="0">E10*D10</f>
        <v>30000</v>
      </c>
      <c r="G10" s="281" t="s">
        <v>196</v>
      </c>
      <c r="H10" s="176" t="s">
        <v>286</v>
      </c>
      <c r="M10" s="250"/>
      <c r="N10" s="251"/>
    </row>
    <row r="11" spans="2:14" ht="18" x14ac:dyDescent="0.45">
      <c r="B11" s="373"/>
      <c r="C11" s="274" t="s">
        <v>224</v>
      </c>
      <c r="D11" s="186">
        <v>1</v>
      </c>
      <c r="E11" s="274">
        <v>24000</v>
      </c>
      <c r="F11" s="186">
        <f>E11*D11</f>
        <v>24000</v>
      </c>
      <c r="G11" s="176" t="s">
        <v>196</v>
      </c>
      <c r="H11" s="176" t="s">
        <v>287</v>
      </c>
      <c r="M11" s="250"/>
      <c r="N11" s="250"/>
    </row>
    <row r="12" spans="2:14" ht="18" x14ac:dyDescent="0.45">
      <c r="B12" s="373"/>
      <c r="C12" s="274" t="s">
        <v>243</v>
      </c>
      <c r="D12" s="186">
        <v>2</v>
      </c>
      <c r="E12" s="274">
        <v>25000</v>
      </c>
      <c r="F12" s="186">
        <f t="shared" si="0"/>
        <v>50000</v>
      </c>
      <c r="G12" s="176" t="s">
        <v>194</v>
      </c>
      <c r="H12" s="176" t="s">
        <v>288</v>
      </c>
      <c r="M12" s="250"/>
      <c r="N12" s="250"/>
    </row>
    <row r="13" spans="2:14" ht="18" x14ac:dyDescent="0.45">
      <c r="B13" s="373"/>
      <c r="C13" s="274" t="s">
        <v>245</v>
      </c>
      <c r="D13" s="186">
        <v>1</v>
      </c>
      <c r="E13" s="274">
        <v>10000</v>
      </c>
      <c r="F13" s="186">
        <f t="shared" si="0"/>
        <v>10000</v>
      </c>
      <c r="G13" s="281" t="s">
        <v>195</v>
      </c>
      <c r="H13" s="176" t="s">
        <v>289</v>
      </c>
      <c r="M13" s="250"/>
      <c r="N13" s="250"/>
    </row>
    <row r="14" spans="2:14" ht="33" x14ac:dyDescent="0.45">
      <c r="B14" s="373"/>
      <c r="C14" s="274" t="s">
        <v>225</v>
      </c>
      <c r="D14" s="186">
        <v>8</v>
      </c>
      <c r="E14" s="280">
        <v>10000</v>
      </c>
      <c r="F14" s="186">
        <f t="shared" si="0"/>
        <v>80000</v>
      </c>
      <c r="G14" s="281" t="s">
        <v>196</v>
      </c>
      <c r="H14" s="176" t="s">
        <v>290</v>
      </c>
      <c r="M14" s="250"/>
      <c r="N14" s="251"/>
    </row>
    <row r="15" spans="2:14" ht="18" x14ac:dyDescent="0.45">
      <c r="B15" s="373"/>
      <c r="C15" s="274" t="s">
        <v>219</v>
      </c>
      <c r="D15" s="186">
        <v>1</v>
      </c>
      <c r="E15" s="274">
        <v>10000</v>
      </c>
      <c r="F15" s="186">
        <f t="shared" si="0"/>
        <v>10000</v>
      </c>
      <c r="G15" s="176" t="s">
        <v>196</v>
      </c>
      <c r="H15" s="176" t="s">
        <v>291</v>
      </c>
      <c r="M15" s="250"/>
      <c r="N15" s="250"/>
    </row>
    <row r="16" spans="2:14" ht="18" x14ac:dyDescent="0.45">
      <c r="B16" s="373"/>
      <c r="C16" s="274" t="s">
        <v>220</v>
      </c>
      <c r="D16" s="186">
        <v>5</v>
      </c>
      <c r="E16" s="274">
        <v>5000</v>
      </c>
      <c r="F16" s="186">
        <f t="shared" si="0"/>
        <v>25000</v>
      </c>
      <c r="G16" s="176" t="s">
        <v>196</v>
      </c>
      <c r="H16" s="176" t="s">
        <v>292</v>
      </c>
      <c r="M16" s="250"/>
      <c r="N16" s="250"/>
    </row>
    <row r="17" spans="2:14" ht="18" x14ac:dyDescent="0.45">
      <c r="B17" s="373"/>
      <c r="C17" s="274" t="s">
        <v>226</v>
      </c>
      <c r="D17" s="186">
        <v>5</v>
      </c>
      <c r="E17" s="274">
        <v>35000</v>
      </c>
      <c r="F17" s="186">
        <f t="shared" si="0"/>
        <v>175000</v>
      </c>
      <c r="G17" s="176"/>
      <c r="H17" s="176" t="s">
        <v>293</v>
      </c>
      <c r="M17" s="250"/>
      <c r="N17" s="250"/>
    </row>
    <row r="18" spans="2:14" ht="18" x14ac:dyDescent="0.45">
      <c r="B18" s="373"/>
      <c r="C18" s="274" t="s">
        <v>227</v>
      </c>
      <c r="D18" s="186">
        <v>8</v>
      </c>
      <c r="E18" s="274">
        <v>15000</v>
      </c>
      <c r="F18" s="186">
        <f t="shared" si="0"/>
        <v>120000</v>
      </c>
      <c r="G18" s="176"/>
      <c r="H18" s="176" t="s">
        <v>294</v>
      </c>
      <c r="M18" s="250"/>
      <c r="N18" s="250"/>
    </row>
    <row r="19" spans="2:14" ht="18" x14ac:dyDescent="0.45">
      <c r="B19" s="373"/>
      <c r="C19" s="274" t="s">
        <v>222</v>
      </c>
      <c r="D19" s="186">
        <v>1</v>
      </c>
      <c r="E19" s="274">
        <v>300000</v>
      </c>
      <c r="F19" s="186">
        <f t="shared" si="0"/>
        <v>300000</v>
      </c>
      <c r="G19" s="176"/>
      <c r="H19" s="176" t="s">
        <v>295</v>
      </c>
      <c r="M19" s="250"/>
      <c r="N19" s="250"/>
    </row>
    <row r="20" spans="2:14" ht="18" x14ac:dyDescent="0.45">
      <c r="B20" s="373"/>
      <c r="C20" s="274" t="s">
        <v>223</v>
      </c>
      <c r="D20" s="186">
        <v>3</v>
      </c>
      <c r="E20" s="274">
        <v>150000</v>
      </c>
      <c r="F20" s="186">
        <f t="shared" si="0"/>
        <v>450000</v>
      </c>
      <c r="G20" s="176"/>
      <c r="H20" s="176" t="s">
        <v>296</v>
      </c>
      <c r="M20" s="250"/>
      <c r="N20" s="250"/>
    </row>
    <row r="21" spans="2:14" ht="18" x14ac:dyDescent="0.45">
      <c r="B21" s="373"/>
      <c r="C21" s="274" t="s">
        <v>221</v>
      </c>
      <c r="D21" s="186">
        <v>1</v>
      </c>
      <c r="E21" s="274">
        <v>24000</v>
      </c>
      <c r="F21" s="186">
        <f t="shared" si="0"/>
        <v>24000</v>
      </c>
      <c r="G21" s="176"/>
      <c r="H21" s="176" t="s">
        <v>297</v>
      </c>
      <c r="M21" s="250"/>
      <c r="N21" s="250"/>
    </row>
    <row r="22" spans="2:14" ht="18" x14ac:dyDescent="0.45">
      <c r="B22" s="373"/>
      <c r="C22" s="176" t="s">
        <v>299</v>
      </c>
      <c r="D22" s="186">
        <v>12</v>
      </c>
      <c r="E22" s="274">
        <v>10000</v>
      </c>
      <c r="F22" s="186">
        <f t="shared" si="0"/>
        <v>120000</v>
      </c>
      <c r="G22" s="176"/>
      <c r="H22" s="176" t="s">
        <v>300</v>
      </c>
      <c r="M22" s="250"/>
      <c r="N22" s="250"/>
    </row>
    <row r="23" spans="2:14" ht="18" x14ac:dyDescent="0.45">
      <c r="B23" s="373"/>
      <c r="C23" s="176" t="s">
        <v>301</v>
      </c>
      <c r="D23" s="186">
        <v>1</v>
      </c>
      <c r="E23" s="274">
        <v>20000</v>
      </c>
      <c r="F23" s="186">
        <f t="shared" si="0"/>
        <v>20000</v>
      </c>
      <c r="G23" s="176"/>
      <c r="H23" s="176" t="s">
        <v>302</v>
      </c>
      <c r="M23" s="250"/>
      <c r="N23" s="250"/>
    </row>
    <row r="24" spans="2:14" ht="18" x14ac:dyDescent="0.45">
      <c r="B24" s="373"/>
      <c r="C24" s="176" t="s">
        <v>307</v>
      </c>
      <c r="D24" s="186">
        <v>3</v>
      </c>
      <c r="E24" s="274">
        <v>100000</v>
      </c>
      <c r="F24" s="186">
        <f t="shared" si="0"/>
        <v>300000</v>
      </c>
      <c r="G24" s="176"/>
      <c r="H24" s="176" t="s">
        <v>308</v>
      </c>
      <c r="M24" s="250"/>
      <c r="N24" s="250"/>
    </row>
    <row r="25" spans="2:14" ht="18" x14ac:dyDescent="0.45">
      <c r="B25" s="373"/>
      <c r="C25" s="176" t="s">
        <v>303</v>
      </c>
      <c r="D25" s="186">
        <v>4</v>
      </c>
      <c r="E25" s="274">
        <v>20000</v>
      </c>
      <c r="F25" s="186">
        <f t="shared" si="0"/>
        <v>80000</v>
      </c>
      <c r="G25" s="176"/>
      <c r="H25" s="176" t="s">
        <v>304</v>
      </c>
      <c r="M25" s="250"/>
      <c r="N25" s="250"/>
    </row>
    <row r="26" spans="2:14" ht="18" x14ac:dyDescent="0.45">
      <c r="B26" s="373"/>
      <c r="C26" s="176" t="s">
        <v>305</v>
      </c>
      <c r="D26" s="186">
        <v>12</v>
      </c>
      <c r="E26" s="274">
        <v>5000</v>
      </c>
      <c r="F26" s="186">
        <f t="shared" si="0"/>
        <v>60000</v>
      </c>
      <c r="G26" s="176"/>
      <c r="H26" s="176" t="s">
        <v>306</v>
      </c>
      <c r="M26" s="250"/>
      <c r="N26" s="250"/>
    </row>
    <row r="27" spans="2:14" ht="33" x14ac:dyDescent="0.45">
      <c r="B27" s="373"/>
      <c r="C27" s="274" t="s">
        <v>281</v>
      </c>
      <c r="D27" s="186">
        <v>3</v>
      </c>
      <c r="E27" s="274">
        <v>3000</v>
      </c>
      <c r="F27" s="186">
        <f t="shared" si="0"/>
        <v>9000</v>
      </c>
      <c r="G27" s="176"/>
      <c r="H27" s="176" t="s">
        <v>298</v>
      </c>
      <c r="M27" s="250"/>
      <c r="N27" s="250"/>
    </row>
    <row r="28" spans="2:14" ht="18" x14ac:dyDescent="0.45">
      <c r="B28" s="373"/>
      <c r="C28" s="374" t="s">
        <v>183</v>
      </c>
      <c r="D28" s="374"/>
      <c r="E28" s="374"/>
      <c r="F28" s="187">
        <f>SUM(F7:F27)</f>
        <v>2312000</v>
      </c>
      <c r="G28" s="176"/>
      <c r="H28" s="262"/>
      <c r="M28" s="250"/>
      <c r="N28" s="250"/>
    </row>
    <row r="29" spans="2:14" ht="18" x14ac:dyDescent="0.45">
      <c r="B29" s="373"/>
      <c r="C29" s="375" t="s">
        <v>197</v>
      </c>
      <c r="D29" s="375"/>
      <c r="E29" s="375"/>
      <c r="F29" s="188">
        <f>F28*1.1</f>
        <v>2543200</v>
      </c>
      <c r="G29" s="176"/>
      <c r="H29" s="262"/>
      <c r="M29" s="250"/>
      <c r="N29" s="250"/>
    </row>
    <row r="30" spans="2:14" ht="18" x14ac:dyDescent="0.45">
      <c r="B30" s="144"/>
      <c r="C30" s="144"/>
      <c r="D30" s="144"/>
      <c r="E30" s="144"/>
      <c r="F30" s="144"/>
      <c r="M30" s="250"/>
      <c r="N30" s="250"/>
    </row>
    <row r="31" spans="2:14" ht="18" x14ac:dyDescent="0.45">
      <c r="B31" s="182"/>
      <c r="C31" s="369" t="s">
        <v>204</v>
      </c>
      <c r="D31" s="369"/>
      <c r="E31" s="369"/>
      <c r="F31" s="183"/>
      <c r="M31" s="250"/>
      <c r="N31" s="250"/>
    </row>
    <row r="32" spans="2:14" ht="18" x14ac:dyDescent="0.45">
      <c r="B32" s="184" t="s">
        <v>0</v>
      </c>
      <c r="C32" s="185" t="s">
        <v>80</v>
      </c>
      <c r="D32" s="185" t="s">
        <v>21</v>
      </c>
      <c r="E32" s="185" t="s">
        <v>181</v>
      </c>
      <c r="F32" s="185" t="s">
        <v>182</v>
      </c>
    </row>
    <row r="33" spans="2:7" ht="18" x14ac:dyDescent="0.45">
      <c r="B33" s="372" t="s">
        <v>207</v>
      </c>
      <c r="C33" s="186"/>
      <c r="D33" s="186">
        <v>1</v>
      </c>
      <c r="E33" s="186">
        <v>1</v>
      </c>
      <c r="F33" s="186"/>
      <c r="G33" s="235" t="s">
        <v>198</v>
      </c>
    </row>
    <row r="34" spans="2:7" ht="18" x14ac:dyDescent="0.45">
      <c r="B34" s="373"/>
      <c r="C34" s="186"/>
      <c r="D34" s="186">
        <v>1</v>
      </c>
      <c r="E34" s="186">
        <v>1</v>
      </c>
      <c r="F34" s="186">
        <f t="shared" ref="F34:F37" si="1">E34*D34</f>
        <v>1</v>
      </c>
      <c r="G34" t="s">
        <v>199</v>
      </c>
    </row>
    <row r="35" spans="2:7" ht="18" x14ac:dyDescent="0.45">
      <c r="B35" s="373"/>
      <c r="C35" s="186"/>
      <c r="D35" s="186">
        <v>1</v>
      </c>
      <c r="E35" s="186">
        <v>1</v>
      </c>
      <c r="F35" s="186">
        <f t="shared" si="1"/>
        <v>1</v>
      </c>
      <c r="G35" s="235" t="s">
        <v>200</v>
      </c>
    </row>
    <row r="36" spans="2:7" ht="18" x14ac:dyDescent="0.45">
      <c r="B36" s="373"/>
      <c r="C36" s="186"/>
      <c r="D36" s="186">
        <v>1</v>
      </c>
      <c r="E36" s="186">
        <v>1</v>
      </c>
      <c r="F36" s="186">
        <f t="shared" si="1"/>
        <v>1</v>
      </c>
    </row>
    <row r="37" spans="2:7" ht="18" x14ac:dyDescent="0.45">
      <c r="B37" s="373"/>
      <c r="C37" s="186"/>
      <c r="D37" s="186">
        <v>1</v>
      </c>
      <c r="E37" s="186">
        <v>1</v>
      </c>
      <c r="F37" s="186">
        <f t="shared" si="1"/>
        <v>1</v>
      </c>
    </row>
    <row r="38" spans="2:7" ht="18" x14ac:dyDescent="0.45">
      <c r="B38" s="373"/>
      <c r="C38" s="186"/>
      <c r="D38" s="186">
        <v>1</v>
      </c>
      <c r="E38" s="186">
        <v>1</v>
      </c>
      <c r="F38" s="186">
        <f>E38*D38</f>
        <v>1</v>
      </c>
    </row>
    <row r="39" spans="2:7" ht="18" x14ac:dyDescent="0.45">
      <c r="B39" s="373"/>
      <c r="C39" s="186"/>
      <c r="D39" s="186">
        <v>1</v>
      </c>
      <c r="E39" s="186">
        <v>1</v>
      </c>
      <c r="F39" s="186">
        <f>E39*D39</f>
        <v>1</v>
      </c>
    </row>
    <row r="40" spans="2:7" ht="18" x14ac:dyDescent="0.45">
      <c r="B40" s="373"/>
      <c r="C40" s="186"/>
      <c r="D40" s="186">
        <v>1</v>
      </c>
      <c r="E40" s="186">
        <v>1</v>
      </c>
      <c r="F40" s="186">
        <f>E40*D40</f>
        <v>1</v>
      </c>
    </row>
    <row r="41" spans="2:7" ht="18" x14ac:dyDescent="0.45">
      <c r="B41" s="373"/>
      <c r="C41" s="186"/>
      <c r="D41" s="186">
        <v>1</v>
      </c>
      <c r="E41" s="186">
        <v>1</v>
      </c>
      <c r="F41" s="186"/>
    </row>
    <row r="42" spans="2:7" ht="18" x14ac:dyDescent="0.45">
      <c r="B42" s="373"/>
      <c r="C42" s="374" t="s">
        <v>183</v>
      </c>
      <c r="D42" s="374"/>
      <c r="E42" s="374"/>
      <c r="F42" s="187">
        <f>SUM(F33:F41)</f>
        <v>7</v>
      </c>
    </row>
    <row r="43" spans="2:7" ht="18" x14ac:dyDescent="0.45">
      <c r="B43" s="373"/>
      <c r="C43" s="394" t="s">
        <v>197</v>
      </c>
      <c r="D43" s="395"/>
      <c r="E43" s="396"/>
      <c r="F43" s="188">
        <f>F42*1.1</f>
        <v>7.7000000000000011</v>
      </c>
    </row>
    <row r="44" spans="2:7" ht="18" x14ac:dyDescent="0.45">
      <c r="B44" s="144"/>
      <c r="C44" s="144"/>
      <c r="D44" s="144"/>
      <c r="E44" s="144"/>
      <c r="F44" s="144"/>
    </row>
    <row r="45" spans="2:7" ht="18" x14ac:dyDescent="0.45">
      <c r="B45" s="144"/>
      <c r="C45" s="144"/>
      <c r="D45" s="144"/>
      <c r="E45" s="144"/>
      <c r="F45" s="144"/>
    </row>
    <row r="46" spans="2:7" ht="18" x14ac:dyDescent="0.45">
      <c r="B46" s="182"/>
      <c r="C46" s="369" t="s">
        <v>204</v>
      </c>
      <c r="D46" s="369"/>
      <c r="E46" s="369"/>
      <c r="F46" s="183"/>
    </row>
    <row r="47" spans="2:7" ht="18" x14ac:dyDescent="0.45">
      <c r="B47" s="184" t="s">
        <v>0</v>
      </c>
      <c r="C47" s="185" t="s">
        <v>80</v>
      </c>
      <c r="D47" s="185" t="s">
        <v>21</v>
      </c>
      <c r="E47" s="185" t="s">
        <v>181</v>
      </c>
      <c r="F47" s="185" t="s">
        <v>182</v>
      </c>
    </row>
    <row r="48" spans="2:7" ht="18" x14ac:dyDescent="0.45">
      <c r="B48" s="372" t="s">
        <v>208</v>
      </c>
      <c r="C48" s="236"/>
      <c r="D48" s="186">
        <v>1</v>
      </c>
      <c r="E48" s="186">
        <v>1</v>
      </c>
      <c r="F48" s="186">
        <f>E48*D48</f>
        <v>1</v>
      </c>
      <c r="G48" t="s">
        <v>202</v>
      </c>
    </row>
    <row r="49" spans="2:7" ht="18" x14ac:dyDescent="0.45">
      <c r="B49" s="373"/>
      <c r="C49" s="186"/>
      <c r="D49" s="186">
        <v>1</v>
      </c>
      <c r="E49" s="186">
        <v>1</v>
      </c>
      <c r="F49" s="186">
        <f t="shared" ref="F49:F50" si="2">E49*D49</f>
        <v>1</v>
      </c>
      <c r="G49" t="s">
        <v>201</v>
      </c>
    </row>
    <row r="50" spans="2:7" ht="18" x14ac:dyDescent="0.45">
      <c r="B50" s="373"/>
      <c r="C50" s="186"/>
      <c r="D50" s="186">
        <v>1</v>
      </c>
      <c r="E50" s="186">
        <v>1</v>
      </c>
      <c r="F50" s="186">
        <f t="shared" si="2"/>
        <v>1</v>
      </c>
    </row>
    <row r="51" spans="2:7" ht="18" x14ac:dyDescent="0.45">
      <c r="B51" s="373"/>
      <c r="C51" s="186"/>
      <c r="D51" s="186"/>
      <c r="E51" s="186"/>
      <c r="F51" s="186"/>
    </row>
    <row r="52" spans="2:7" ht="18" x14ac:dyDescent="0.45">
      <c r="B52" s="373"/>
      <c r="C52" s="186"/>
      <c r="D52" s="186"/>
      <c r="E52" s="186"/>
      <c r="F52" s="186"/>
    </row>
    <row r="53" spans="2:7" ht="18" x14ac:dyDescent="0.45">
      <c r="B53" s="373"/>
      <c r="C53" s="374" t="s">
        <v>183</v>
      </c>
      <c r="D53" s="374"/>
      <c r="E53" s="374"/>
      <c r="F53" s="187">
        <f>SUM(F48:F52)</f>
        <v>3</v>
      </c>
    </row>
    <row r="54" spans="2:7" ht="18" x14ac:dyDescent="0.45">
      <c r="B54" s="373"/>
      <c r="C54" s="394" t="s">
        <v>197</v>
      </c>
      <c r="D54" s="395"/>
      <c r="E54" s="396"/>
      <c r="F54" s="188">
        <f>F53*1.1</f>
        <v>3.3000000000000003</v>
      </c>
    </row>
    <row r="55" spans="2:7" ht="18" x14ac:dyDescent="0.45">
      <c r="B55" s="144"/>
      <c r="C55" s="144"/>
      <c r="D55" s="144"/>
      <c r="E55" s="144"/>
      <c r="F55" s="144"/>
    </row>
    <row r="56" spans="2:7" ht="18" x14ac:dyDescent="0.45">
      <c r="B56" s="144"/>
      <c r="C56" s="144"/>
      <c r="D56" s="144"/>
      <c r="E56" s="144"/>
      <c r="F56" s="144"/>
    </row>
    <row r="57" spans="2:7" ht="18" x14ac:dyDescent="0.45">
      <c r="B57" s="144"/>
      <c r="C57" s="144"/>
      <c r="D57" s="144"/>
      <c r="E57" s="144"/>
      <c r="F57" s="144"/>
    </row>
    <row r="58" spans="2:7" ht="18" x14ac:dyDescent="0.45">
      <c r="B58" s="182"/>
      <c r="C58" s="369" t="s">
        <v>204</v>
      </c>
      <c r="D58" s="369"/>
      <c r="E58" s="369"/>
      <c r="F58" s="183"/>
    </row>
    <row r="59" spans="2:7" ht="18" x14ac:dyDescent="0.45">
      <c r="B59" s="184" t="s">
        <v>0</v>
      </c>
      <c r="C59" s="185" t="s">
        <v>80</v>
      </c>
      <c r="D59" s="185" t="s">
        <v>21</v>
      </c>
      <c r="E59" s="185" t="s">
        <v>181</v>
      </c>
      <c r="F59" s="185" t="s">
        <v>182</v>
      </c>
    </row>
    <row r="60" spans="2:7" ht="18" x14ac:dyDescent="0.45">
      <c r="B60" s="372" t="s">
        <v>209</v>
      </c>
      <c r="C60" s="186"/>
      <c r="D60" s="186">
        <v>1</v>
      </c>
      <c r="E60" s="186">
        <v>0</v>
      </c>
      <c r="F60" s="186">
        <f>E60*D60</f>
        <v>0</v>
      </c>
      <c r="G60" s="235" t="s">
        <v>203</v>
      </c>
    </row>
    <row r="61" spans="2:7" ht="18" x14ac:dyDescent="0.45">
      <c r="B61" s="373"/>
      <c r="C61" s="186"/>
      <c r="D61" s="186">
        <v>1</v>
      </c>
      <c r="E61" s="186">
        <v>0</v>
      </c>
      <c r="F61" s="186">
        <f t="shared" ref="F61" si="3">E61*D61</f>
        <v>0</v>
      </c>
    </row>
    <row r="62" spans="2:7" ht="18" x14ac:dyDescent="0.45">
      <c r="B62" s="373"/>
      <c r="C62" s="186"/>
      <c r="D62" s="186">
        <v>1</v>
      </c>
      <c r="E62" s="186">
        <v>0</v>
      </c>
      <c r="F62" s="186">
        <f>E62*D62</f>
        <v>0</v>
      </c>
    </row>
    <row r="63" spans="2:7" ht="18" x14ac:dyDescent="0.45">
      <c r="B63" s="373"/>
      <c r="C63" s="186"/>
      <c r="D63" s="186"/>
      <c r="E63" s="186"/>
      <c r="F63" s="186"/>
    </row>
    <row r="64" spans="2:7" ht="18" x14ac:dyDescent="0.45">
      <c r="B64" s="373"/>
      <c r="C64" s="374" t="s">
        <v>183</v>
      </c>
      <c r="D64" s="374"/>
      <c r="E64" s="374"/>
      <c r="F64" s="187">
        <f>SUM(F60:F63)</f>
        <v>0</v>
      </c>
    </row>
    <row r="65" spans="2:6" ht="18" x14ac:dyDescent="0.45">
      <c r="B65" s="373"/>
      <c r="C65" s="394" t="s">
        <v>197</v>
      </c>
      <c r="D65" s="395"/>
      <c r="E65" s="396"/>
      <c r="F65" s="188">
        <f>F64*1.1</f>
        <v>0</v>
      </c>
    </row>
  </sheetData>
  <mergeCells count="16">
    <mergeCell ref="B60:B65"/>
    <mergeCell ref="C64:E64"/>
    <mergeCell ref="C65:E65"/>
    <mergeCell ref="C5:E5"/>
    <mergeCell ref="B9:B29"/>
    <mergeCell ref="C28:E28"/>
    <mergeCell ref="C29:E29"/>
    <mergeCell ref="C31:E31"/>
    <mergeCell ref="B33:B43"/>
    <mergeCell ref="C42:E42"/>
    <mergeCell ref="C43:E43"/>
    <mergeCell ref="C46:E46"/>
    <mergeCell ref="B48:B54"/>
    <mergeCell ref="C53:E53"/>
    <mergeCell ref="C54:E54"/>
    <mergeCell ref="C58:E58"/>
  </mergeCells>
  <hyperlinks>
    <hyperlink ref="G9" r:id="rId1" xr:uid="{E127A528-34FC-4328-8AF7-4DF58C20158F}"/>
    <hyperlink ref="G14" r:id="rId2" xr:uid="{5E8F2405-09ED-49E8-BE1E-D8CEB4094B95}"/>
    <hyperlink ref="G13" r:id="rId3" xr:uid="{DB6329B2-FEBA-4946-BD91-5EBCD4E9DBFD}"/>
    <hyperlink ref="G10" r:id="rId4" xr:uid="{86ADEA48-E34A-4F09-B40F-EBA427099506}"/>
    <hyperlink ref="G35" r:id="rId5" xr:uid="{1330A32F-A0C8-4C96-9D3C-CA500D8E0F42}"/>
    <hyperlink ref="G60" r:id="rId6" xr:uid="{AC921CC0-1A54-4FEF-9231-F635C6DC07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19</vt:i4>
      </vt:variant>
    </vt:vector>
  </HeadingPairs>
  <TitlesOfParts>
    <vt:vector size="19" baseType="lpstr">
      <vt:lpstr>تحليل التعادل </vt:lpstr>
      <vt:lpstr>قائمة الدخل التقديرية</vt:lpstr>
      <vt:lpstr>مؤشرات التقييم المسبح</vt:lpstr>
      <vt:lpstr>مؤشرات التقييم البادل</vt:lpstr>
      <vt:lpstr>مؤشرات التقييم الملعب</vt:lpstr>
      <vt:lpstr>مؤشرات التقييم الصالة الرياضية</vt:lpstr>
      <vt:lpstr>فترة الاسترداد</vt:lpstr>
      <vt:lpstr>مؤشرات تقييم المشروع </vt:lpstr>
      <vt:lpstr>اسعار الخدمات </vt:lpstr>
      <vt:lpstr>الدراسة المالية</vt:lpstr>
      <vt:lpstr>الدراسة الفنية </vt:lpstr>
      <vt:lpstr>تقدير الإيرادات </vt:lpstr>
      <vt:lpstr>اسعار الخدمات</vt:lpstr>
      <vt:lpstr>الدراسة القانونية </vt:lpstr>
      <vt:lpstr>دراسة الموارد البشرية </vt:lpstr>
      <vt:lpstr>دراسة الموارد التقنية </vt:lpstr>
      <vt:lpstr>دراسة الموارد اللوجستية  </vt:lpstr>
      <vt:lpstr>دراسة الموارد الإدارية  </vt:lpstr>
      <vt:lpstr>الدراسة التسويقية 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2025-09-15T20:22:57Z</dcterms:modified>
</cp:coreProperties>
</file>