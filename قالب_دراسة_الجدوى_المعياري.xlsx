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افتراضات" sheetId="1" state="visible" r:id="rId1"/>
    <sheet xmlns:r="http://schemas.openxmlformats.org/officeDocument/2006/relationships" name="الاستثمار_الأولي" sheetId="2" state="visible" r:id="rId2"/>
    <sheet xmlns:r="http://schemas.openxmlformats.org/officeDocument/2006/relationships" name="تقدير_الإيرادات" sheetId="3" state="visible" r:id="rId3"/>
    <sheet xmlns:r="http://schemas.openxmlformats.org/officeDocument/2006/relationships" name="قائمة_الدخل" sheetId="4" state="visible" r:id="rId4"/>
    <sheet xmlns:r="http://schemas.openxmlformats.org/officeDocument/2006/relationships" name="مؤشرات_التقييم" sheetId="5" state="visible" r:id="rId5"/>
    <sheet xmlns:r="http://schemas.openxmlformats.org/officeDocument/2006/relationships" name="تحليل_الحساسية" sheetId="6" state="visible" r:id="rId6"/>
    <sheet xmlns:r="http://schemas.openxmlformats.org/officeDocument/2006/relationships" name="السيناريوهات" sheetId="7" state="visible" r:id="rId7"/>
    <sheet xmlns:r="http://schemas.openxmlformats.org/officeDocument/2006/relationships" name="قائمة_المراجع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sz val="11"/>
    </font>
    <font>
      <name val="Arial"/>
      <b val="1"/>
    </font>
    <font>
      <name val="Arial"/>
      <b val="1"/>
      <sz val="12"/>
    </font>
    <font>
      <name val="Arial"/>
      <b val="1"/>
      <sz val="14"/>
    </font>
    <font>
      <name val="Arial"/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3F2FD"/>
        <bgColor rgb="00E3F2FD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3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2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5" customWidth="1" min="4" max="4"/>
  </cols>
  <sheetData>
    <row r="1">
      <c r="A1" s="1" t="inlineStr">
        <is>
          <t>الافتراضات الأساسية</t>
        </is>
      </c>
    </row>
    <row r="3">
      <c r="A3" s="2" t="inlineStr">
        <is>
          <t>البند</t>
        </is>
      </c>
      <c r="B3" s="2" t="inlineStr">
        <is>
          <t>القيمة</t>
        </is>
      </c>
      <c r="C3" s="2" t="inlineStr">
        <is>
          <t>الوحدة</t>
        </is>
      </c>
      <c r="D3" s="2" t="inlineStr">
        <is>
          <t>المصدر/الملاحظة</t>
        </is>
      </c>
    </row>
    <row r="4">
      <c r="A4" s="3" t="inlineStr">
        <is>
          <t>المعايير المالية</t>
        </is>
      </c>
      <c r="B4" s="4" t="inlineStr"/>
      <c r="C4" s="4" t="inlineStr"/>
      <c r="D4" s="3" t="inlineStr"/>
    </row>
    <row r="5">
      <c r="A5" s="3" t="inlineStr">
        <is>
          <t>معدل التضخم السنوي</t>
        </is>
      </c>
      <c r="B5" s="5" t="n">
        <v>0.02</v>
      </c>
      <c r="C5" s="4" t="inlineStr">
        <is>
          <t>%</t>
        </is>
      </c>
      <c r="D5" s="3" t="inlineStr">
        <is>
          <t>البنك المركزي السعودي</t>
        </is>
      </c>
    </row>
    <row r="6">
      <c r="A6" s="3" t="inlineStr">
        <is>
          <t>معدل الضريبة</t>
        </is>
      </c>
      <c r="B6" s="5" t="n">
        <v>0.15</v>
      </c>
      <c r="C6" s="4" t="inlineStr">
        <is>
          <t>%</t>
        </is>
      </c>
      <c r="D6" s="3" t="inlineStr">
        <is>
          <t>هيئة الزكاة والضريبة</t>
        </is>
      </c>
    </row>
    <row r="7">
      <c r="A7" s="3" t="inlineStr">
        <is>
          <t>معدل الخصم (WACC)</t>
        </is>
      </c>
      <c r="B7" s="5" t="n">
        <v>0.15</v>
      </c>
      <c r="C7" s="4" t="inlineStr">
        <is>
          <t>%</t>
        </is>
      </c>
      <c r="D7" s="3" t="inlineStr">
        <is>
          <t>يجب أن يكون 10-18%</t>
        </is>
      </c>
    </row>
    <row r="8">
      <c r="A8" s="3" t="inlineStr">
        <is>
          <t>فترة الدراسة</t>
        </is>
      </c>
      <c r="B8" s="6" t="n">
        <v>5</v>
      </c>
      <c r="C8" s="4" t="inlineStr">
        <is>
          <t>سنوات</t>
        </is>
      </c>
      <c r="D8" s="3" t="inlineStr"/>
    </row>
    <row r="9">
      <c r="A9" s="3" t="inlineStr"/>
      <c r="B9" s="4" t="inlineStr"/>
      <c r="C9" s="4" t="inlineStr"/>
      <c r="D9" s="3" t="inlineStr"/>
    </row>
    <row r="10">
      <c r="A10" s="3" t="inlineStr">
        <is>
          <t>معايير النمو</t>
        </is>
      </c>
      <c r="B10" s="4" t="inlineStr"/>
      <c r="C10" s="4" t="inlineStr"/>
      <c r="D10" s="3" t="inlineStr"/>
    </row>
    <row r="11">
      <c r="A11" s="3" t="inlineStr">
        <is>
          <t>نمو الإيرادات - السنة 1</t>
        </is>
      </c>
      <c r="B11" s="6" t="n">
        <v>0</v>
      </c>
      <c r="C11" s="4" t="inlineStr">
        <is>
          <t>%</t>
        </is>
      </c>
      <c r="D11" s="3" t="inlineStr">
        <is>
          <t>السنة الأولى</t>
        </is>
      </c>
    </row>
    <row r="12">
      <c r="A12" s="3" t="inlineStr">
        <is>
          <t>نمو الإيرادات - السنة 2</t>
        </is>
      </c>
      <c r="B12" s="5" t="n">
        <v>0.3</v>
      </c>
      <c r="C12" s="4" t="inlineStr">
        <is>
          <t>%</t>
        </is>
      </c>
      <c r="D12" s="3" t="inlineStr">
        <is>
          <t>30-50% للناشئة</t>
        </is>
      </c>
    </row>
    <row r="13">
      <c r="A13" s="3" t="inlineStr">
        <is>
          <t>نمو الإيرادات - السنة 3</t>
        </is>
      </c>
      <c r="B13" s="5" t="n">
        <v>0.2</v>
      </c>
      <c r="C13" s="4" t="inlineStr">
        <is>
          <t>%</t>
        </is>
      </c>
      <c r="D13" s="3" t="inlineStr">
        <is>
          <t>20-30%</t>
        </is>
      </c>
    </row>
    <row r="14">
      <c r="A14" s="3" t="inlineStr">
        <is>
          <t>نمو الإيرادات - السنة 4</t>
        </is>
      </c>
      <c r="B14" s="5" t="n">
        <v>0.15</v>
      </c>
      <c r="C14" s="4" t="inlineStr">
        <is>
          <t>%</t>
        </is>
      </c>
      <c r="D14" s="3" t="inlineStr">
        <is>
          <t>15-20%</t>
        </is>
      </c>
    </row>
    <row r="15">
      <c r="A15" s="3" t="inlineStr">
        <is>
          <t>نمو الإيرادات - السنة 5</t>
        </is>
      </c>
      <c r="B15" s="5" t="n">
        <v>0.1</v>
      </c>
      <c r="C15" s="4" t="inlineStr">
        <is>
          <t>%</t>
        </is>
      </c>
      <c r="D15" s="3" t="inlineStr">
        <is>
          <t>10-15%</t>
        </is>
      </c>
    </row>
    <row r="16">
      <c r="A16" s="3" t="inlineStr"/>
      <c r="B16" s="4" t="inlineStr"/>
      <c r="C16" s="4" t="inlineStr"/>
      <c r="D16" s="3" t="inlineStr"/>
    </row>
    <row r="17">
      <c r="A17" s="3" t="inlineStr">
        <is>
          <t>معايير التشغيل</t>
        </is>
      </c>
      <c r="B17" s="4" t="inlineStr"/>
      <c r="C17" s="4" t="inlineStr"/>
      <c r="D17" s="3" t="inlineStr"/>
    </row>
    <row r="18">
      <c r="A18" s="3" t="inlineStr">
        <is>
          <t>نسبة التكاليف المتغيرة</t>
        </is>
      </c>
      <c r="B18" s="5" t="n">
        <v>0.35</v>
      </c>
      <c r="C18" s="4" t="inlineStr">
        <is>
          <t>%</t>
        </is>
      </c>
      <c r="D18" s="3" t="inlineStr">
        <is>
          <t>من الإيرادات</t>
        </is>
      </c>
    </row>
    <row r="19">
      <c r="A19" s="3" t="inlineStr">
        <is>
          <t>نسبة التكاليف الثابتة السنوية</t>
        </is>
      </c>
      <c r="B19" s="5" t="n">
        <v>0.25</v>
      </c>
      <c r="C19" s="4" t="inlineStr">
        <is>
          <t>%</t>
        </is>
      </c>
      <c r="D19" s="3" t="inlineStr">
        <is>
          <t>من الإيرادات</t>
        </is>
      </c>
    </row>
    <row r="20">
      <c r="A20" s="3" t="inlineStr">
        <is>
          <t>معدل الاستهلاك السنوي</t>
        </is>
      </c>
      <c r="B20" s="5" t="n">
        <v>0.05</v>
      </c>
      <c r="C20" s="4" t="inlineStr">
        <is>
          <t>%</t>
        </is>
      </c>
      <c r="D20" s="3" t="inlineStr">
        <is>
          <t>5% خطي</t>
        </is>
      </c>
    </row>
    <row r="21">
      <c r="A21" s="3" t="inlineStr">
        <is>
          <t>نسبة الصيانة</t>
        </is>
      </c>
      <c r="B21" s="5" t="n">
        <v>0.01</v>
      </c>
      <c r="C21" s="4" t="inlineStr">
        <is>
          <t>%</t>
        </is>
      </c>
      <c r="D21" s="3" t="inlineStr">
        <is>
          <t>1% من الأصول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الاستثمار الأولي (التكاليف الرأسمالية)</t>
        </is>
      </c>
    </row>
    <row r="3">
      <c r="A3" s="2" t="inlineStr">
        <is>
          <t>البند</t>
        </is>
      </c>
      <c r="B3" s="2" t="inlineStr">
        <is>
          <t>الكمية</t>
        </is>
      </c>
      <c r="C3" s="2" t="inlineStr">
        <is>
          <t>سعر الوحدة</t>
        </is>
      </c>
      <c r="D3" s="2" t="inlineStr">
        <is>
          <t>الإجمالي</t>
        </is>
      </c>
      <c r="E3" s="2" t="inlineStr">
        <is>
          <t>المصدر</t>
        </is>
      </c>
    </row>
    <row r="4">
      <c r="A4" s="3" t="inlineStr">
        <is>
          <t>الأصول الثابتة</t>
        </is>
      </c>
      <c r="B4" s="4" t="n"/>
      <c r="C4" s="7" t="n"/>
      <c r="D4" s="7" t="n"/>
      <c r="E4" s="3" t="inlineStr"/>
    </row>
    <row r="5">
      <c r="A5" s="3" t="inlineStr">
        <is>
          <t>المبنى/الإنشاءات</t>
        </is>
      </c>
      <c r="B5" s="6" t="n">
        <v>1</v>
      </c>
      <c r="C5" s="8" t="n">
        <v>500000</v>
      </c>
      <c r="D5" s="7">
        <f>B5*C5</f>
        <v/>
      </c>
      <c r="E5" s="3" t="inlineStr">
        <is>
          <t>عرض سعر مقاول</t>
        </is>
      </c>
    </row>
    <row r="6">
      <c r="A6" s="3" t="inlineStr">
        <is>
          <t>المعدات والأجهزة</t>
        </is>
      </c>
      <c r="B6" s="6" t="n">
        <v>1</v>
      </c>
      <c r="C6" s="8" t="n">
        <v>200000</v>
      </c>
      <c r="D6" s="7">
        <f>B6*C6</f>
        <v/>
      </c>
      <c r="E6" s="3" t="inlineStr">
        <is>
          <t>3 عروض أسعار</t>
        </is>
      </c>
    </row>
    <row r="7">
      <c r="A7" s="3" t="inlineStr">
        <is>
          <t>الأثاث والتجهيزات</t>
        </is>
      </c>
      <c r="B7" s="6" t="n">
        <v>1</v>
      </c>
      <c r="C7" s="8" t="n">
        <v>50000</v>
      </c>
      <c r="D7" s="7">
        <f>B7*C7</f>
        <v/>
      </c>
      <c r="E7" s="3" t="inlineStr">
        <is>
          <t>عرض سعر</t>
        </is>
      </c>
    </row>
    <row r="8">
      <c r="A8" s="3" t="inlineStr">
        <is>
          <t>أجهزة الحاسوب</t>
        </is>
      </c>
      <c r="B8" s="6" t="n">
        <v>5</v>
      </c>
      <c r="C8" s="8" t="n">
        <v>5000</v>
      </c>
      <c r="D8" s="7">
        <f>B8*C8</f>
        <v/>
      </c>
      <c r="E8" s="3" t="inlineStr"/>
    </row>
    <row r="9">
      <c r="A9" s="3" t="inlineStr">
        <is>
          <t>برمجيات وتراخيص</t>
        </is>
      </c>
      <c r="B9" s="6" t="n">
        <v>1</v>
      </c>
      <c r="C9" s="8" t="n">
        <v>30000</v>
      </c>
      <c r="D9" s="7">
        <f>B9*C9</f>
        <v/>
      </c>
      <c r="E9" s="3" t="inlineStr"/>
    </row>
    <row r="10">
      <c r="A10" s="3" t="inlineStr"/>
      <c r="B10" s="4" t="n"/>
      <c r="C10" s="7" t="n"/>
      <c r="D10" s="7" t="n"/>
      <c r="E10" s="3" t="inlineStr"/>
    </row>
    <row r="11">
      <c r="A11" s="3" t="inlineStr">
        <is>
          <t>مصاريف ما قبل التشغيل</t>
        </is>
      </c>
      <c r="B11" s="4" t="n"/>
      <c r="C11" s="7" t="n"/>
      <c r="D11" s="7" t="n"/>
      <c r="E11" s="3" t="inlineStr"/>
    </row>
    <row r="12">
      <c r="A12" s="3" t="inlineStr">
        <is>
          <t>مصاريف التأسيس القانونية</t>
        </is>
      </c>
      <c r="B12" s="6" t="n">
        <v>1</v>
      </c>
      <c r="C12" s="8" t="n">
        <v>15000</v>
      </c>
      <c r="D12" s="7">
        <f>B12*C12</f>
        <v/>
      </c>
      <c r="E12" s="3" t="inlineStr"/>
    </row>
    <row r="13">
      <c r="A13" s="3" t="inlineStr">
        <is>
          <t>مصاريف التسويق الأولية</t>
        </is>
      </c>
      <c r="B13" s="6" t="n">
        <v>1</v>
      </c>
      <c r="C13" s="8" t="n">
        <v>50000</v>
      </c>
      <c r="D13" s="7">
        <f>B13*C13</f>
        <v/>
      </c>
      <c r="E13" s="3" t="inlineStr"/>
    </row>
    <row r="14">
      <c r="A14" s="3" t="inlineStr">
        <is>
          <t>مصاريف التدريب</t>
        </is>
      </c>
      <c r="B14" s="6" t="n">
        <v>1</v>
      </c>
      <c r="C14" s="8" t="n">
        <v>20000</v>
      </c>
      <c r="D14" s="7">
        <f>B14*C14</f>
        <v/>
      </c>
      <c r="E14" s="3" t="inlineStr"/>
    </row>
    <row r="15">
      <c r="A15" s="3" t="inlineStr"/>
      <c r="B15" s="4" t="n"/>
      <c r="C15" s="7" t="n"/>
      <c r="D15" s="7" t="n"/>
      <c r="E15" s="3" t="inlineStr"/>
    </row>
    <row r="16">
      <c r="A16" s="3" t="inlineStr">
        <is>
          <t>رأس المال العامل</t>
        </is>
      </c>
      <c r="B16" s="4" t="n"/>
      <c r="C16" s="7" t="n"/>
      <c r="D16" s="7" t="n"/>
      <c r="E16" s="3" t="inlineStr"/>
    </row>
    <row r="17">
      <c r="A17" s="3" t="inlineStr">
        <is>
          <t>رأس المال العامل (3-6 أشهر)</t>
        </is>
      </c>
      <c r="B17" s="6" t="n">
        <v>1</v>
      </c>
      <c r="C17" s="8" t="n">
        <v>150000</v>
      </c>
      <c r="D17" s="7">
        <f>B17*C17</f>
        <v/>
      </c>
      <c r="E17" s="3" t="inlineStr">
        <is>
          <t>تكاليف 3 أشهر</t>
        </is>
      </c>
    </row>
    <row r="18">
      <c r="A18" s="3" t="inlineStr"/>
      <c r="B18" s="4" t="n"/>
      <c r="C18" s="7" t="n"/>
      <c r="D18" s="7" t="n"/>
      <c r="E18" s="3" t="inlineStr"/>
    </row>
    <row r="19">
      <c r="A19" s="3" t="inlineStr">
        <is>
          <t>إجمالي الاستثمار</t>
        </is>
      </c>
      <c r="B19" s="4" t="n"/>
      <c r="C19" s="7" t="n"/>
      <c r="D19" s="9">
        <f>SUM(D5:D17)</f>
        <v/>
      </c>
      <c r="E19" s="3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تقدير الإيرادات (5 سنوات)</t>
        </is>
      </c>
    </row>
    <row r="3">
      <c r="A3" s="2" t="inlineStr">
        <is>
          <t>مصدر الإيراد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  <c r="E3" s="2" t="inlineStr">
        <is>
          <t>السنة 4</t>
        </is>
      </c>
      <c r="F3" s="2" t="inlineStr">
        <is>
          <t>السنة 5</t>
        </is>
      </c>
    </row>
    <row r="4">
      <c r="A4" s="3" t="inlineStr">
        <is>
          <t>المنتج/الخدمة 1</t>
        </is>
      </c>
      <c r="B4" s="8" t="n">
        <v>500000</v>
      </c>
      <c r="C4" s="7">
        <f>B4*(1+الافتراضات!$B$9)</f>
        <v/>
      </c>
      <c r="D4" s="7">
        <f>C4*(1+الافتراضات!$B$10)</f>
        <v/>
      </c>
      <c r="E4" s="7">
        <f>D4*(1+الافتراضات!$B$11)</f>
        <v/>
      </c>
      <c r="F4" s="7">
        <f>E4*(1+الافتراضات!$B$12)</f>
        <v/>
      </c>
    </row>
    <row r="5">
      <c r="A5" s="3" t="inlineStr">
        <is>
          <t>المنتج/الخدمة 2</t>
        </is>
      </c>
      <c r="B5" s="8" t="n">
        <v>300000</v>
      </c>
      <c r="C5" s="7">
        <f>B5*(1+الافتراضات!$B$9)</f>
        <v/>
      </c>
      <c r="D5" s="7">
        <f>C5*(1+الافتراضات!$B$10)</f>
        <v/>
      </c>
      <c r="E5" s="7">
        <f>D5*(1+الافتراضات!$B$11)</f>
        <v/>
      </c>
      <c r="F5" s="7">
        <f>E5*(1+الافتراضات!$B$12)</f>
        <v/>
      </c>
    </row>
    <row r="6">
      <c r="A6" s="3" t="inlineStr">
        <is>
          <t>المنتج/الخدمة 3</t>
        </is>
      </c>
      <c r="B6" s="8" t="n">
        <v>200000</v>
      </c>
      <c r="C6" s="7">
        <f>B6*(1+الافتراضات!$B$9)</f>
        <v/>
      </c>
      <c r="D6" s="7">
        <f>C6*(1+الافتراضات!$B$10)</f>
        <v/>
      </c>
      <c r="E6" s="7">
        <f>D6*(1+الافتراضات!$B$11)</f>
        <v/>
      </c>
      <c r="F6" s="7">
        <f>E6*(1+الافتراضات!$B$12)</f>
        <v/>
      </c>
    </row>
    <row r="7">
      <c r="A7" s="3" t="inlineStr"/>
      <c r="B7" s="7" t="inlineStr"/>
      <c r="C7" s="7" t="inlineStr"/>
      <c r="D7" s="7" t="inlineStr"/>
      <c r="E7" s="7" t="inlineStr"/>
      <c r="F7" s="7" t="inlineStr"/>
    </row>
    <row r="8">
      <c r="A8" s="10" t="inlineStr">
        <is>
          <t>إجمالي الإيرادات</t>
        </is>
      </c>
      <c r="B8" s="11">
        <f>SUM(B4:B6)</f>
        <v/>
      </c>
      <c r="C8" s="11">
        <f>SUM(C4:C6)</f>
        <v/>
      </c>
      <c r="D8" s="11">
        <f>SUM(D4:D6)</f>
        <v/>
      </c>
      <c r="E8" s="11">
        <f>SUM(E4:E6)</f>
        <v/>
      </c>
      <c r="F8" s="11">
        <f>SUM(F4:F6)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قائمة الدخل التقديرية</t>
        </is>
      </c>
    </row>
    <row r="3">
      <c r="A3" s="2" t="inlineStr">
        <is>
          <t>البند</t>
        </is>
      </c>
      <c r="B3" s="2" t="inlineStr">
        <is>
          <t>السنة 1</t>
        </is>
      </c>
      <c r="C3" s="2" t="inlineStr">
        <is>
          <t>السنة 2</t>
        </is>
      </c>
      <c r="D3" s="2" t="inlineStr">
        <is>
          <t>السنة 3</t>
        </is>
      </c>
      <c r="E3" s="2" t="inlineStr">
        <is>
          <t>السنة 4</t>
        </is>
      </c>
      <c r="F3" s="2" t="inlineStr">
        <is>
          <t>السنة 5</t>
        </is>
      </c>
    </row>
    <row r="4">
      <c r="A4" s="12" t="inlineStr">
        <is>
          <t>الإيرادات</t>
        </is>
      </c>
      <c r="B4" s="13">
        <f>تقدير_الإيرادات!B8</f>
        <v/>
      </c>
      <c r="C4" s="13">
        <f>تقدير_الإيرادات!C8</f>
        <v/>
      </c>
      <c r="D4" s="13">
        <f>تقدير_الإيرادات!D8</f>
        <v/>
      </c>
      <c r="E4" s="13">
        <f>تقدير_الإيرادات!E8</f>
        <v/>
      </c>
      <c r="F4" s="13">
        <f>تقدير_الإيرادات!F8</f>
        <v/>
      </c>
    </row>
    <row r="5">
      <c r="A5" s="3" t="inlineStr"/>
      <c r="B5" s="7" t="inlineStr"/>
      <c r="C5" s="7" t="inlineStr"/>
      <c r="D5" s="7" t="inlineStr"/>
      <c r="E5" s="7" t="inlineStr"/>
      <c r="F5" s="7" t="inlineStr"/>
    </row>
    <row r="6">
      <c r="A6" s="3" t="inlineStr">
        <is>
          <t>التكاليف المتغيرة</t>
        </is>
      </c>
      <c r="B6" s="7">
        <f>B4*الافتراضات!$B$15</f>
        <v/>
      </c>
      <c r="C6" s="7">
        <f>C4*الافتراضات!$B$15</f>
        <v/>
      </c>
      <c r="D6" s="7">
        <f>D4*الافتراضات!$B$15</f>
        <v/>
      </c>
      <c r="E6" s="7">
        <f>E4*الافتراضات!$B$15</f>
        <v/>
      </c>
      <c r="F6" s="7">
        <f>F4*الافتراضات!$B$15</f>
        <v/>
      </c>
    </row>
    <row r="7">
      <c r="A7" s="12" t="inlineStr">
        <is>
          <t>مجمل الربح</t>
        </is>
      </c>
      <c r="B7" s="13">
        <f>B4-B6</f>
        <v/>
      </c>
      <c r="C7" s="13">
        <f>C4-C6</f>
        <v/>
      </c>
      <c r="D7" s="13">
        <f>D4-D6</f>
        <v/>
      </c>
      <c r="E7" s="13">
        <f>E4-E6</f>
        <v/>
      </c>
      <c r="F7" s="13">
        <f>F4-F6</f>
        <v/>
      </c>
    </row>
    <row r="8">
      <c r="A8" s="3" t="inlineStr"/>
      <c r="B8" s="7" t="inlineStr"/>
      <c r="C8" s="7" t="inlineStr"/>
      <c r="D8" s="7" t="inlineStr"/>
      <c r="E8" s="7" t="inlineStr"/>
      <c r="F8" s="7" t="inlineStr"/>
    </row>
    <row r="9">
      <c r="A9" s="3" t="inlineStr">
        <is>
          <t>المصاريف الثابتة:</t>
        </is>
      </c>
      <c r="B9" s="7" t="inlineStr"/>
      <c r="C9" s="7" t="inlineStr"/>
      <c r="D9" s="7" t="inlineStr"/>
      <c r="E9" s="7" t="inlineStr"/>
      <c r="F9" s="7" t="inlineStr"/>
    </row>
    <row r="10">
      <c r="A10" s="3" t="inlineStr">
        <is>
          <t>الرواتب والأجور</t>
        </is>
      </c>
      <c r="B10" s="8" t="n">
        <v>300000</v>
      </c>
      <c r="C10" s="7">
        <f>B10*(1+الافتراضات!$B$4)</f>
        <v/>
      </c>
      <c r="D10" s="7">
        <f>C10*(1+الافتراضات!$B$4)</f>
        <v/>
      </c>
      <c r="E10" s="7">
        <f>D10*(1+الافتراضات!$B$4)</f>
        <v/>
      </c>
      <c r="F10" s="7">
        <f>E10*(1+الافتراضات!$B$4)</f>
        <v/>
      </c>
    </row>
    <row r="11">
      <c r="A11" s="3" t="inlineStr">
        <is>
          <t>الإيجار</t>
        </is>
      </c>
      <c r="B11" s="8" t="n">
        <v>120000</v>
      </c>
      <c r="C11" s="7">
        <f>B11*(1+الافتراضات!$B$4)</f>
        <v/>
      </c>
      <c r="D11" s="7">
        <f>C11*(1+الافتراضات!$B$4)</f>
        <v/>
      </c>
      <c r="E11" s="7">
        <f>D11*(1+الافتراضات!$B$4)</f>
        <v/>
      </c>
      <c r="F11" s="7">
        <f>E11*(1+الافتراضات!$B$4)</f>
        <v/>
      </c>
    </row>
    <row r="12">
      <c r="A12" s="3" t="inlineStr">
        <is>
          <t>المرافق والخدمات</t>
        </is>
      </c>
      <c r="B12" s="8" t="n">
        <v>36000</v>
      </c>
      <c r="C12" s="7">
        <f>B12*(1+الافتراضات!$B$4)</f>
        <v/>
      </c>
      <c r="D12" s="7">
        <f>C12*(1+الافتراضات!$B$4)</f>
        <v/>
      </c>
      <c r="E12" s="7">
        <f>D12*(1+الافتراضات!$B$4)</f>
        <v/>
      </c>
      <c r="F12" s="7">
        <f>E12*(1+الافتراضات!$B$4)</f>
        <v/>
      </c>
    </row>
    <row r="13">
      <c r="A13" s="3" t="inlineStr">
        <is>
          <t>التسويق</t>
        </is>
      </c>
      <c r="B13" s="8" t="n">
        <v>60000</v>
      </c>
      <c r="C13" s="7">
        <f>B13*(1+الافتراضات!$B$4)</f>
        <v/>
      </c>
      <c r="D13" s="7">
        <f>C13*(1+الافتراضات!$B$4)</f>
        <v/>
      </c>
      <c r="E13" s="7">
        <f>D13*(1+الافتراضات!$B$4)</f>
        <v/>
      </c>
      <c r="F13" s="7">
        <f>E13*(1+الافتراضات!$B$4)</f>
        <v/>
      </c>
    </row>
    <row r="14">
      <c r="A14" s="3" t="inlineStr">
        <is>
          <t>الاستهلاك</t>
        </is>
      </c>
      <c r="B14" s="7">
        <f>الاستثمار_الأولي!D19*الافتراضات!$B$17</f>
        <v/>
      </c>
      <c r="C14" s="7">
        <f>B14</f>
        <v/>
      </c>
      <c r="D14" s="7">
        <f>C14</f>
        <v/>
      </c>
      <c r="E14" s="7">
        <f>D14</f>
        <v/>
      </c>
      <c r="F14" s="7">
        <f>E14</f>
        <v/>
      </c>
    </row>
    <row r="15">
      <c r="A15" s="3" t="inlineStr">
        <is>
          <t>الصيانة</t>
        </is>
      </c>
      <c r="B15" s="7">
        <f>الاستثمار_الأولي!D19*الافتراضات!$B$18</f>
        <v/>
      </c>
      <c r="C15" s="7">
        <f>B15*(1+الافتراضات!$B$4)</f>
        <v/>
      </c>
      <c r="D15" s="7">
        <f>C15*(1+الافتراضات!$B$4)</f>
        <v/>
      </c>
      <c r="E15" s="7">
        <f>D15*(1+الافتراضات!$B$4)</f>
        <v/>
      </c>
      <c r="F15" s="7">
        <f>E15*(1+الافتراضات!$B$4)</f>
        <v/>
      </c>
    </row>
    <row r="16">
      <c r="A16" s="3" t="inlineStr">
        <is>
          <t>إجمالي المصاريف الثابتة</t>
        </is>
      </c>
      <c r="B16" s="7">
        <f>SUM(B10:B15)</f>
        <v/>
      </c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</row>
    <row r="17">
      <c r="A17" s="3" t="inlineStr"/>
      <c r="B17" s="7" t="inlineStr"/>
      <c r="C17" s="7" t="inlineStr"/>
      <c r="D17" s="7" t="inlineStr"/>
      <c r="E17" s="7" t="inlineStr"/>
      <c r="F17" s="7" t="inlineStr"/>
    </row>
    <row r="18">
      <c r="A18" s="12" t="inlineStr">
        <is>
          <t>صافي الربح قبل الضريبة</t>
        </is>
      </c>
      <c r="B18" s="13">
        <f>B7-B16</f>
        <v/>
      </c>
      <c r="C18" s="13">
        <f>C7-C16</f>
        <v/>
      </c>
      <c r="D18" s="13">
        <f>D7-D16</f>
        <v/>
      </c>
      <c r="E18" s="13">
        <f>E7-E16</f>
        <v/>
      </c>
      <c r="F18" s="13">
        <f>F7-F16</f>
        <v/>
      </c>
    </row>
    <row r="19">
      <c r="A19" s="3" t="inlineStr">
        <is>
          <t>الضريبة</t>
        </is>
      </c>
      <c r="B19" s="7">
        <f>IF(B18&gt;0,B18*الافتراضات!$B$5,0)</f>
        <v/>
      </c>
      <c r="C19" s="7">
        <f>IF(C18&gt;0,C18*الافتراضات!$B$5,0)</f>
        <v/>
      </c>
      <c r="D19" s="7">
        <f>IF(D18&gt;0,D18*الافتراضات!$B$5,0)</f>
        <v/>
      </c>
      <c r="E19" s="7">
        <f>IF(E18&gt;0,E18*الافتراضات!$B$5,0)</f>
        <v/>
      </c>
      <c r="F19" s="7">
        <f>IF(F18&gt;0,F18*الافتراضات!$B$5,0)</f>
        <v/>
      </c>
    </row>
    <row r="20">
      <c r="A20" s="10" t="inlineStr">
        <is>
          <t>صافي الربح بعد الضريبة</t>
        </is>
      </c>
      <c r="B20" s="11">
        <f>B18-B19</f>
        <v/>
      </c>
      <c r="C20" s="11">
        <f>C18-C19</f>
        <v/>
      </c>
      <c r="D20" s="11">
        <f>D18-D19</f>
        <v/>
      </c>
      <c r="E20" s="11">
        <f>E18-E19</f>
        <v/>
      </c>
      <c r="F20" s="11">
        <f>F18-F19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مؤشرات تقييم المشروع</t>
        </is>
      </c>
    </row>
    <row r="3">
      <c r="A3" s="14" t="inlineStr">
        <is>
          <t>التدفقات النقدية</t>
        </is>
      </c>
    </row>
    <row r="4">
      <c r="A4" s="2" t="inlineStr">
        <is>
          <t>السنة</t>
        </is>
      </c>
      <c r="B4" s="2" t="inlineStr">
        <is>
          <t>صافي الربح</t>
        </is>
      </c>
      <c r="C4" s="2" t="inlineStr">
        <is>
          <t>+ الاستهلاك</t>
        </is>
      </c>
      <c r="D4" s="2" t="inlineStr">
        <is>
          <t>التدفق النقدي</t>
        </is>
      </c>
      <c r="E4" s="2" t="inlineStr">
        <is>
          <t>التدفق التراكمي</t>
        </is>
      </c>
    </row>
    <row r="5">
      <c r="A5" s="4" t="n">
        <v>0</v>
      </c>
      <c r="B5" s="7">
        <f>-الاستثمار_الأولي!D19</f>
        <v/>
      </c>
      <c r="C5" s="7" t="n">
        <v>0</v>
      </c>
      <c r="D5" s="7">
        <f>B5+C5</f>
        <v/>
      </c>
      <c r="E5" s="7">
        <f>D5</f>
        <v/>
      </c>
    </row>
    <row r="6">
      <c r="A6" s="4" t="n">
        <v>1</v>
      </c>
      <c r="B6" s="7">
        <f>قائمة_الدخل!B20</f>
        <v/>
      </c>
      <c r="C6" s="7">
        <f>قائمة_الدخل!B14</f>
        <v/>
      </c>
      <c r="D6" s="7">
        <f>B6+C6</f>
        <v/>
      </c>
      <c r="E6" s="7">
        <f>E5+D6</f>
        <v/>
      </c>
    </row>
    <row r="7">
      <c r="A7" s="4" t="n">
        <v>2</v>
      </c>
      <c r="B7" s="7">
        <f>قائمة_الدخل!C20</f>
        <v/>
      </c>
      <c r="C7" s="7">
        <f>قائمة_الدخل!C14</f>
        <v/>
      </c>
      <c r="D7" s="7">
        <f>B7+C7</f>
        <v/>
      </c>
      <c r="E7" s="7">
        <f>E6+D7</f>
        <v/>
      </c>
    </row>
    <row r="8">
      <c r="A8" s="4" t="n">
        <v>3</v>
      </c>
      <c r="B8" s="7">
        <f>قائمة_الدخل!D20</f>
        <v/>
      </c>
      <c r="C8" s="7">
        <f>قائمة_الدخل!D14</f>
        <v/>
      </c>
      <c r="D8" s="7">
        <f>B8+C8</f>
        <v/>
      </c>
      <c r="E8" s="7">
        <f>E7+D8</f>
        <v/>
      </c>
    </row>
    <row r="9">
      <c r="A9" s="4" t="n">
        <v>4</v>
      </c>
      <c r="B9" s="7">
        <f>قائمة_الدخل!E20</f>
        <v/>
      </c>
      <c r="C9" s="7">
        <f>قائمة_الدخل!E14</f>
        <v/>
      </c>
      <c r="D9" s="7">
        <f>B9+C9</f>
        <v/>
      </c>
      <c r="E9" s="7">
        <f>E8+D9</f>
        <v/>
      </c>
    </row>
    <row r="10">
      <c r="A10" s="4" t="n">
        <v>5</v>
      </c>
      <c r="B10" s="7">
        <f>قائمة_الدخل!F20</f>
        <v/>
      </c>
      <c r="C10" s="7">
        <f>قائمة_الدخل!F14</f>
        <v/>
      </c>
      <c r="D10" s="7">
        <f>B10+C10</f>
        <v/>
      </c>
      <c r="E10" s="7">
        <f>E9+D10</f>
        <v/>
      </c>
    </row>
    <row r="13">
      <c r="A13" s="14" t="inlineStr">
        <is>
          <t>المؤشرات المالية</t>
        </is>
      </c>
    </row>
    <row r="14">
      <c r="A14" s="2" t="inlineStr">
        <is>
          <t>المؤشر</t>
        </is>
      </c>
      <c r="B14" s="2" t="inlineStr">
        <is>
          <t>القيمة</t>
        </is>
      </c>
      <c r="C14" s="2" t="inlineStr">
        <is>
          <t>الوحدة</t>
        </is>
      </c>
    </row>
    <row r="15">
      <c r="A15" s="3" t="inlineStr">
        <is>
          <t>صافي القيمة الحالية (NPV)</t>
        </is>
      </c>
      <c r="B15" s="13">
        <f>NPV(الافتراضات!B6,D6:D10)+D5</f>
        <v/>
      </c>
      <c r="C15" s="4" t="inlineStr">
        <is>
          <t>ريال</t>
        </is>
      </c>
    </row>
    <row r="16">
      <c r="A16" s="3" t="inlineStr">
        <is>
          <t>معدل العائد الداخلي (IRR)</t>
        </is>
      </c>
      <c r="B16" s="15">
        <f>IRR(D5:D10)</f>
        <v/>
      </c>
      <c r="C16" s="4" t="inlineStr">
        <is>
          <t>%</t>
        </is>
      </c>
    </row>
    <row r="17">
      <c r="A17" s="3" t="inlineStr">
        <is>
          <t>مؤشر الربحية (PI)</t>
        </is>
      </c>
      <c r="B17" s="16">
        <f>NPV(الافتراضات!B6,D6:D10)/ABS(D5)</f>
        <v/>
      </c>
      <c r="C17" s="4" t="inlineStr"/>
    </row>
    <row r="18">
      <c r="A18" s="3" t="inlineStr">
        <is>
          <t>فترة الاسترداد</t>
        </is>
      </c>
      <c r="B18" s="16">
        <f>MATCH(TRUE,INDEX(E5:E10&gt;=0,0),0)-1&amp;" سنوات"</f>
        <v/>
      </c>
      <c r="C18" s="4" t="inlineStr"/>
    </row>
    <row r="21">
      <c r="A21" s="14" t="inlineStr">
        <is>
          <t>تقييم القرار</t>
        </is>
      </c>
    </row>
    <row r="22">
      <c r="A22" t="inlineStr">
        <is>
          <t>القرار الاستثماري</t>
        </is>
      </c>
      <c r="B22" s="17">
        <f>IF(AND(B15&gt;0,B16&gt;الافتراضات!B6,B17&gt;1),"✅ المشروع مجدي - GO","❌ المشروع غير مجدي - NO GO")</f>
        <v/>
      </c>
    </row>
  </sheetData>
  <mergeCells count="2">
    <mergeCell ref="A1:D1"/>
    <mergeCell ref="B22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تحليل الحساسية</t>
        </is>
      </c>
    </row>
    <row r="3">
      <c r="A3" s="14" t="inlineStr">
        <is>
          <t>تأثير تغيير الإيرادات والتكاليف على NPV</t>
        </is>
      </c>
    </row>
    <row r="5">
      <c r="A5" s="2" t="inlineStr">
        <is>
          <t>NPV</t>
        </is>
      </c>
      <c r="B5" s="2" t="inlineStr">
        <is>
          <t>-20%</t>
        </is>
      </c>
      <c r="C5" s="2" t="inlineStr">
        <is>
          <t>-10%</t>
        </is>
      </c>
      <c r="D5" s="2" t="inlineStr">
        <is>
          <t>0%</t>
        </is>
      </c>
      <c r="E5" s="2" t="inlineStr">
        <is>
          <t>+10%</t>
        </is>
      </c>
      <c r="F5" s="2" t="inlineStr">
        <is>
          <t>+20%</t>
        </is>
      </c>
    </row>
    <row r="6">
      <c r="A6" s="18" t="inlineStr">
        <is>
          <t>تكاليف -20%</t>
        </is>
      </c>
    </row>
    <row r="7">
      <c r="A7" s="18" t="inlineStr">
        <is>
          <t>تكاليف -10%</t>
        </is>
      </c>
    </row>
    <row r="8">
      <c r="A8" s="18" t="inlineStr">
        <is>
          <t>تكاليف 0%</t>
        </is>
      </c>
    </row>
    <row r="9">
      <c r="A9" s="18" t="inlineStr">
        <is>
          <t>تكاليف +10%</t>
        </is>
      </c>
    </row>
    <row r="10">
      <c r="A10" s="18" t="inlineStr">
        <is>
          <t>تكاليف +20%</t>
        </is>
      </c>
    </row>
    <row r="13">
      <c r="A13" s="19" t="inlineStr">
        <is>
          <t>ملاحظة: يجب ملء هذا الجدول باستخدام Data Table في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تحليل السيناريوهات</t>
        </is>
      </c>
    </row>
    <row r="3">
      <c r="A3" s="2" t="inlineStr">
        <is>
          <t>البند</t>
        </is>
      </c>
      <c r="B3" s="2" t="inlineStr">
        <is>
          <t>متشائم</t>
        </is>
      </c>
      <c r="C3" s="2" t="inlineStr">
        <is>
          <t>أساسي</t>
        </is>
      </c>
      <c r="D3" s="2" t="inlineStr">
        <is>
          <t>متفائل</t>
        </is>
      </c>
    </row>
    <row r="4">
      <c r="A4" s="3" t="inlineStr">
        <is>
          <t>تغير الإيرادات</t>
        </is>
      </c>
      <c r="B4" s="4" t="inlineStr">
        <is>
          <t>-20%</t>
        </is>
      </c>
      <c r="C4" s="4" t="inlineStr">
        <is>
          <t>0%</t>
        </is>
      </c>
      <c r="D4" s="4" t="inlineStr">
        <is>
          <t>+20%</t>
        </is>
      </c>
    </row>
    <row r="5">
      <c r="A5" s="3" t="inlineStr">
        <is>
          <t>تغير التكاليف</t>
        </is>
      </c>
      <c r="B5" s="4" t="inlineStr">
        <is>
          <t>+15%</t>
        </is>
      </c>
      <c r="C5" s="4" t="inlineStr">
        <is>
          <t>0%</t>
        </is>
      </c>
      <c r="D5" s="4" t="inlineStr">
        <is>
          <t>-10%</t>
        </is>
      </c>
    </row>
    <row r="6">
      <c r="A6" s="3" t="inlineStr">
        <is>
          <t>الاحتمالية</t>
        </is>
      </c>
      <c r="B6" s="4" t="inlineStr">
        <is>
          <t>20%</t>
        </is>
      </c>
      <c r="C6" s="4" t="inlineStr">
        <is>
          <t>60%</t>
        </is>
      </c>
      <c r="D6" s="4" t="inlineStr">
        <is>
          <t>20%</t>
        </is>
      </c>
    </row>
    <row r="7">
      <c r="A7" s="3" t="inlineStr"/>
      <c r="B7" s="4" t="inlineStr"/>
      <c r="C7" s="4" t="inlineStr"/>
      <c r="D7" s="4" t="inlineStr"/>
    </row>
    <row r="8">
      <c r="A8" s="3" t="inlineStr">
        <is>
          <t>NPV</t>
        </is>
      </c>
      <c r="B8" s="4" t="inlineStr">
        <is>
          <t>يحسب</t>
        </is>
      </c>
      <c r="C8" s="4" t="inlineStr">
        <is>
          <t>يحسب</t>
        </is>
      </c>
      <c r="D8" s="4" t="inlineStr">
        <is>
          <t>يحسب</t>
        </is>
      </c>
    </row>
    <row r="9">
      <c r="A9" s="3" t="inlineStr">
        <is>
          <t>IRR</t>
        </is>
      </c>
      <c r="B9" s="4" t="inlineStr">
        <is>
          <t>يحسب</t>
        </is>
      </c>
      <c r="C9" s="4" t="inlineStr">
        <is>
          <t>يحسب</t>
        </is>
      </c>
      <c r="D9" s="4" t="inlineStr">
        <is>
          <t>يحسب</t>
        </is>
      </c>
    </row>
    <row r="10">
      <c r="A10" s="3" t="inlineStr">
        <is>
          <t>القرار</t>
        </is>
      </c>
      <c r="B10" s="4" t="inlineStr">
        <is>
          <t>مشروط</t>
        </is>
      </c>
      <c r="C10" s="4" t="inlineStr">
        <is>
          <t>GO</t>
        </is>
      </c>
      <c r="D10" s="4" t="inlineStr">
        <is>
          <t>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0" customWidth="1" min="4" max="4"/>
  </cols>
  <sheetData>
    <row r="1">
      <c r="A1" s="1" t="inlineStr">
        <is>
          <t>قائمة المراجعة النهائية</t>
        </is>
      </c>
    </row>
    <row r="3">
      <c r="A3" s="2" t="inlineStr">
        <is>
          <t>#</t>
        </is>
      </c>
      <c r="B3" s="2" t="inlineStr">
        <is>
          <t>البند</t>
        </is>
      </c>
      <c r="C3" s="2" t="inlineStr">
        <is>
          <t>الحالة</t>
        </is>
      </c>
      <c r="D3" s="2" t="inlineStr">
        <is>
          <t>الوزن</t>
        </is>
      </c>
    </row>
    <row r="4">
      <c r="A4" s="4" t="n">
        <v>1</v>
      </c>
      <c r="B4" s="3" t="inlineStr">
        <is>
          <t>لا يوجد أي خطأ #REF! أو #VALUE! في الملف</t>
        </is>
      </c>
      <c r="C4" s="20" t="inlineStr">
        <is>
          <t>☐</t>
        </is>
      </c>
      <c r="D4" s="21" t="inlineStr">
        <is>
          <t>إلزامي</t>
        </is>
      </c>
    </row>
    <row r="5">
      <c r="A5" s="4" t="n">
        <v>2</v>
      </c>
      <c r="B5" s="3" t="inlineStr">
        <is>
          <t>كل صيغة تشير إلى خلية موجودة فعلاً</t>
        </is>
      </c>
      <c r="C5" s="20" t="inlineStr">
        <is>
          <t>☐</t>
        </is>
      </c>
      <c r="D5" s="21" t="inlineStr">
        <is>
          <t>إلزامي</t>
        </is>
      </c>
    </row>
    <row r="6">
      <c r="A6" s="4" t="n">
        <v>3</v>
      </c>
      <c r="B6" s="3" t="inlineStr">
        <is>
          <t>NPV محسوب بشكل صحيح</t>
        </is>
      </c>
      <c r="C6" s="20" t="inlineStr">
        <is>
          <t>☐</t>
        </is>
      </c>
      <c r="D6" s="21" t="inlineStr">
        <is>
          <t>إلزامي</t>
        </is>
      </c>
    </row>
    <row r="7">
      <c r="A7" s="4" t="n">
        <v>4</v>
      </c>
      <c r="B7" s="3" t="inlineStr">
        <is>
          <t>IRR محسوب ومقارن بـ WACC</t>
        </is>
      </c>
      <c r="C7" s="20" t="inlineStr">
        <is>
          <t>☐</t>
        </is>
      </c>
      <c r="D7" s="21" t="inlineStr">
        <is>
          <t>إلزامي</t>
        </is>
      </c>
    </row>
    <row r="8">
      <c r="A8" s="4" t="n">
        <v>5</v>
      </c>
      <c r="B8" s="3" t="inlineStr">
        <is>
          <t>فترة الاسترداد محسوبة ومنطقية</t>
        </is>
      </c>
      <c r="C8" s="20" t="inlineStr">
        <is>
          <t>☐</t>
        </is>
      </c>
      <c r="D8" s="21" t="inlineStr">
        <is>
          <t>إلزامي</t>
        </is>
      </c>
    </row>
    <row r="9">
      <c r="A9" s="4" t="n">
        <v>6</v>
      </c>
      <c r="B9" s="3" t="inlineStr">
        <is>
          <t>معدل الخصم ضمن النطاق المعقول (10-18%)</t>
        </is>
      </c>
      <c r="C9" s="20" t="inlineStr">
        <is>
          <t>☐</t>
        </is>
      </c>
      <c r="D9" s="21" t="inlineStr">
        <is>
          <t>إلزامي</t>
        </is>
      </c>
    </row>
    <row r="10">
      <c r="A10" s="4" t="n">
        <v>7</v>
      </c>
      <c r="B10" s="3" t="inlineStr">
        <is>
          <t>معدلات النمو مبررة ومقارنة بالسوق</t>
        </is>
      </c>
      <c r="C10" s="20" t="inlineStr">
        <is>
          <t>☐</t>
        </is>
      </c>
      <c r="D10" s="21" t="inlineStr">
        <is>
          <t>إلزامي</t>
        </is>
      </c>
    </row>
    <row r="11">
      <c r="A11" s="4" t="n">
        <v>8</v>
      </c>
      <c r="B11" s="3" t="inlineStr">
        <is>
          <t>كل افتراض موثق بمصدره</t>
        </is>
      </c>
      <c r="C11" s="20" t="inlineStr">
        <is>
          <t>☐</t>
        </is>
      </c>
      <c r="D11" s="4" t="inlineStr">
        <is>
          <t>مهم</t>
        </is>
      </c>
    </row>
    <row r="12">
      <c r="A12" s="4" t="n">
        <v>9</v>
      </c>
      <c r="B12" s="3" t="inlineStr">
        <is>
          <t>نسبة الاستثمار/الإيرادات ضمن معايير الصناعة</t>
        </is>
      </c>
      <c r="C12" s="20" t="inlineStr">
        <is>
          <t>☐</t>
        </is>
      </c>
      <c r="D12" s="21" t="inlineStr">
        <is>
          <t>إلزامي</t>
        </is>
      </c>
    </row>
    <row r="13">
      <c r="A13" s="4" t="n">
        <v>10</v>
      </c>
      <c r="B13" s="3" t="inlineStr">
        <is>
          <t>يوجد تحليل حساسية على 3 متغيرات على الأقل</t>
        </is>
      </c>
      <c r="C13" s="20" t="inlineStr">
        <is>
          <t>☐</t>
        </is>
      </c>
      <c r="D13" s="21" t="inlineStr">
        <is>
          <t>إلزامي</t>
        </is>
      </c>
    </row>
    <row r="14">
      <c r="A14" s="4" t="n">
        <v>11</v>
      </c>
      <c r="B14" s="3" t="inlineStr">
        <is>
          <t>يوجد 3 سيناريوهات (متفائل/أساسي/متشائم)</t>
        </is>
      </c>
      <c r="C14" s="20" t="inlineStr">
        <is>
          <t>☐</t>
        </is>
      </c>
      <c r="D14" s="21" t="inlineStr">
        <is>
          <t>إلزامي</t>
        </is>
      </c>
    </row>
    <row r="15">
      <c r="A15" s="4" t="n">
        <v>12</v>
      </c>
      <c r="B15" s="3" t="inlineStr">
        <is>
          <t>التوصية النهائية واضحة (GO/NO-GO)</t>
        </is>
      </c>
      <c r="C15" s="20" t="inlineStr">
        <is>
          <t>☐</t>
        </is>
      </c>
      <c r="D15" s="21" t="inlineStr">
        <is>
          <t>إلزامي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2026-01-24T09:28:33Z</dcterms:created>
  <dcterms:modified xmlns:dcterms="http://purl.org/dc/terms/" xmlns:xsi="http://www.w3.org/2001/XMLSchema-instance" xsi:type="dcterms:W3CDTF">2026-01-24T09:28:33Z</dcterms:modified>
</cp:coreProperties>
</file>