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هرس الجداول" sheetId="1" state="visible" r:id="rId1"/>
    <sheet name="المباني والإنشاءات" sheetId="2" state="visible" r:id="rId2"/>
    <sheet name="المعدات والأجهزة" sheetId="3" state="visible" r:id="rId3"/>
    <sheet name="الأثاث والتجهيزات" sheetId="4" state="visible" r:id="rId4"/>
    <sheet name="الموارد التقنية" sheetId="5" state="visible" r:id="rId5"/>
    <sheet name="التراخيص والرسوم القانونية" sheetId="6" state="visible" r:id="rId6"/>
    <sheet name="الوظائف والرواتب" sheetId="7" state="visible" r:id="rId7"/>
    <sheet name="الموارد اللوجستية" sheetId="8" state="visible" r:id="rId8"/>
    <sheet name="الموارد الإدارية" sheetId="9" state="visible" r:id="rId9"/>
    <sheet name="تحليل المنافسين" sheetId="10" state="visible" r:id="rId10"/>
    <sheet name="الحملات التسويقية" sheetId="11" state="visible" r:id="rId11"/>
    <sheet name="مصادر الإيرادات" sheetId="12" state="visible" r:id="rId12"/>
    <sheet name="الخدمات المفصلة" sheetId="13" state="visible" r:id="rId13"/>
    <sheet name="تحليل PESTEL" sheetId="14" state="visible" r:id="rId14"/>
    <sheet name="التحليل الرباعي (SWOT)" sheetId="15" state="visible" r:id="rId15"/>
    <sheet name="شرائح العملاء" sheetId="16" state="visible" r:id="rId16"/>
    <sheet name="سجل المخاطر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25" customWidth="1" min="4" max="4"/>
  </cols>
  <sheetData>
    <row r="1">
      <c r="A1" s="1" t="inlineStr">
        <is>
          <t>فهرس جداول دراسة الجدوى</t>
        </is>
      </c>
    </row>
    <row r="3">
      <c r="A3" s="2" t="inlineStr">
        <is>
          <t>رقم</t>
        </is>
      </c>
      <c r="B3" s="2" t="inlineStr">
        <is>
          <t>اسم الجدول</t>
        </is>
      </c>
      <c r="C3" s="2" t="inlineStr">
        <is>
          <t>الفئة</t>
        </is>
      </c>
      <c r="D3" s="2" t="inlineStr">
        <is>
          <t>اسم الورقة</t>
        </is>
      </c>
    </row>
    <row r="4">
      <c r="A4" s="3" t="n">
        <v>1</v>
      </c>
      <c r="B4" s="4" t="inlineStr">
        <is>
          <t>المباني والإنشاءات</t>
        </is>
      </c>
      <c r="C4" s="4" t="inlineStr">
        <is>
          <t>CAPEX - الدراسة الفنية</t>
        </is>
      </c>
      <c r="D4" s="4">
        <f>HYPERLINK("#'المباني والإنشاءات'!A1", "المباني والإنشاءات")</f>
        <v/>
      </c>
    </row>
    <row r="5">
      <c r="A5" s="3" t="n">
        <v>2</v>
      </c>
      <c r="B5" s="4" t="inlineStr">
        <is>
          <t>المعدات والأجهزة</t>
        </is>
      </c>
      <c r="C5" s="4" t="inlineStr">
        <is>
          <t>CAPEX - الدراسة الفنية</t>
        </is>
      </c>
      <c r="D5" s="4">
        <f>HYPERLINK("#'المعدات والأجهزة'!A1", "المعدات والأجهزة")</f>
        <v/>
      </c>
    </row>
    <row r="6">
      <c r="A6" s="3" t="n">
        <v>3</v>
      </c>
      <c r="B6" s="4" t="inlineStr">
        <is>
          <t>الأثاث والتجهيزات</t>
        </is>
      </c>
      <c r="C6" s="4" t="inlineStr">
        <is>
          <t>CAPEX - الدراسة الفنية</t>
        </is>
      </c>
      <c r="D6" s="4">
        <f>HYPERLINK("#'الأثاث والتجهيزات'!A1", "الأثاث والتجهيزات")</f>
        <v/>
      </c>
    </row>
    <row r="7">
      <c r="A7" s="3" t="n">
        <v>4</v>
      </c>
      <c r="B7" s="4" t="inlineStr">
        <is>
          <t>الموارد التقنية</t>
        </is>
      </c>
      <c r="C7" s="4" t="inlineStr">
        <is>
          <t>CAPEX - الموارد التقنية</t>
        </is>
      </c>
      <c r="D7" s="4">
        <f>HYPERLINK("#'الموارد التقنية'!A1", "الموارد التقنية")</f>
        <v/>
      </c>
    </row>
    <row r="8">
      <c r="A8" s="3" t="n">
        <v>5</v>
      </c>
      <c r="B8" s="4" t="inlineStr">
        <is>
          <t>التراخيص والرسوم القانونية</t>
        </is>
      </c>
      <c r="C8" s="4" t="inlineStr">
        <is>
          <t>CAPEX - الدراسة القانونية</t>
        </is>
      </c>
      <c r="D8" s="4">
        <f>HYPERLINK("#'التراخيص والرسوم القانونية'!A1", "التراخيص والرسوم القانونية")</f>
        <v/>
      </c>
    </row>
    <row r="9">
      <c r="A9" s="3" t="n">
        <v>6</v>
      </c>
      <c r="B9" s="4" t="inlineStr">
        <is>
          <t>الوظائف والرواتب</t>
        </is>
      </c>
      <c r="C9" s="4" t="inlineStr">
        <is>
          <t>OPEX - الموارد البشرية</t>
        </is>
      </c>
      <c r="D9" s="4">
        <f>HYPERLINK("#'الوظائف والرواتب'!A1", "الوظائف والرواتب")</f>
        <v/>
      </c>
    </row>
    <row r="10">
      <c r="A10" s="3" t="n">
        <v>7</v>
      </c>
      <c r="B10" s="4" t="inlineStr">
        <is>
          <t>الموارد اللوجستية</t>
        </is>
      </c>
      <c r="C10" s="4" t="inlineStr">
        <is>
          <t>OPEX - الموارد اللوجستية</t>
        </is>
      </c>
      <c r="D10" s="4">
        <f>HYPERLINK("#'الموارد اللوجستية'!A1", "الموارد اللوجستية")</f>
        <v/>
      </c>
    </row>
    <row r="11">
      <c r="A11" s="3" t="n">
        <v>8</v>
      </c>
      <c r="B11" s="4" t="inlineStr">
        <is>
          <t>الموارد الإدارية</t>
        </is>
      </c>
      <c r="C11" s="4" t="inlineStr">
        <is>
          <t>OPEX - الموارد الإدارية</t>
        </is>
      </c>
      <c r="D11" s="4">
        <f>HYPERLINK("#'الموارد الإدارية'!A1", "الموارد الإدارية")</f>
        <v/>
      </c>
    </row>
    <row r="12">
      <c r="A12" s="3" t="n">
        <v>9</v>
      </c>
      <c r="B12" s="4" t="inlineStr">
        <is>
          <t>تحليل المنافسين</t>
        </is>
      </c>
      <c r="C12" s="4" t="inlineStr">
        <is>
          <t>الدراسة التسويقية</t>
        </is>
      </c>
      <c r="D12" s="4">
        <f>HYPERLINK("#'تحليل المنافسين'!A1", "تحليل المنافسين")</f>
        <v/>
      </c>
    </row>
    <row r="13">
      <c r="A13" s="3" t="n">
        <v>10</v>
      </c>
      <c r="B13" s="4" t="inlineStr">
        <is>
          <t>الحملات التسويقية</t>
        </is>
      </c>
      <c r="C13" s="4" t="inlineStr">
        <is>
          <t>الدراسة التسويقية</t>
        </is>
      </c>
      <c r="D13" s="4">
        <f>HYPERLINK("#'الحملات التسويقية'!A1", "الحملات التسويقية")</f>
        <v/>
      </c>
    </row>
    <row r="14">
      <c r="A14" s="3" t="n">
        <v>11</v>
      </c>
      <c r="B14" s="4" t="inlineStr">
        <is>
          <t>مصادر الإيرادات</t>
        </is>
      </c>
      <c r="C14" s="4" t="inlineStr">
        <is>
          <t>الإيرادات</t>
        </is>
      </c>
      <c r="D14" s="4">
        <f>HYPERLINK("#'مصادر الإيرادات'!A1", "مصادر الإيرادات")</f>
        <v/>
      </c>
    </row>
    <row r="15">
      <c r="A15" s="3" t="n">
        <v>12</v>
      </c>
      <c r="B15" s="4" t="inlineStr">
        <is>
          <t>الخدمات المفصلة</t>
        </is>
      </c>
      <c r="C15" s="4" t="inlineStr">
        <is>
          <t>الإيرادات</t>
        </is>
      </c>
      <c r="D15" s="4">
        <f>HYPERLINK("#'الخدمات المفصلة'!A1", "الخدمات المفصلة")</f>
        <v/>
      </c>
    </row>
    <row r="16">
      <c r="A16" s="3" t="n">
        <v>13</v>
      </c>
      <c r="B16" s="4" t="inlineStr">
        <is>
          <t>تحليل PESTEL</t>
        </is>
      </c>
      <c r="C16" s="4" t="inlineStr">
        <is>
          <t>التحليل الاستراتيجي</t>
        </is>
      </c>
      <c r="D16" s="4">
        <f>HYPERLINK("#'تحليل PESTEL'!A1", "تحليل PESTEL")</f>
        <v/>
      </c>
    </row>
    <row r="17">
      <c r="A17" s="3" t="n">
        <v>14</v>
      </c>
      <c r="B17" s="4" t="inlineStr">
        <is>
          <t>التحليل الرباعي (SWOT)</t>
        </is>
      </c>
      <c r="C17" s="4" t="inlineStr">
        <is>
          <t>التحليل الاستراتيجي</t>
        </is>
      </c>
      <c r="D17" s="4">
        <f>HYPERLINK("#'التحليل الرباعي (SWOT)'!A1", "التحليل الرباعي (SWOT)")</f>
        <v/>
      </c>
    </row>
    <row r="18">
      <c r="A18" s="3" t="n">
        <v>15</v>
      </c>
      <c r="B18" s="4" t="inlineStr">
        <is>
          <t>شرائح العملاء</t>
        </is>
      </c>
      <c r="C18" s="4" t="inlineStr">
        <is>
          <t>التحليل الاستراتيجي</t>
        </is>
      </c>
      <c r="D18" s="4">
        <f>HYPERLINK("#'شرائح العملاء'!A1", "شرائح العملاء")</f>
        <v/>
      </c>
    </row>
    <row r="19">
      <c r="A19" s="3" t="n">
        <v>16</v>
      </c>
      <c r="B19" s="4" t="inlineStr">
        <is>
          <t>سجل المخاطر</t>
        </is>
      </c>
      <c r="C19" s="4" t="inlineStr">
        <is>
          <t>تحليل المخاطر</t>
        </is>
      </c>
      <c r="D19" s="4">
        <f>HYPERLINK("#'سجل المخاطر'!A1", "سجل المخاطر")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المباني والإنشاءات</t>
        </is>
      </c>
    </row>
    <row r="2">
      <c r="A2" s="6" t="inlineStr">
        <is>
          <t>الفئة: CAPEX - الدراسة الفنية</t>
        </is>
      </c>
    </row>
    <row r="3">
      <c r="A3" s="7" t="inlineStr">
        <is>
          <t>البند</t>
        </is>
      </c>
      <c r="B3" s="7" t="inlineStr">
        <is>
          <t>العدد</t>
        </is>
      </c>
      <c r="C3" s="7" t="inlineStr">
        <is>
          <t>السعر</t>
        </is>
      </c>
      <c r="D3" s="7" t="inlineStr">
        <is>
          <t>الإجمالي</t>
        </is>
      </c>
      <c r="E3" s="7" t="inlineStr">
        <is>
          <t>% استهلاك</t>
        </is>
      </c>
      <c r="F3" s="7" t="inlineStr">
        <is>
          <t>ملاحظات</t>
        </is>
      </c>
    </row>
    <row r="4">
      <c r="A4" s="8" t="n"/>
      <c r="B4" s="8" t="n"/>
      <c r="C4" s="8" t="n"/>
      <c r="D4" s="8" t="n"/>
      <c r="E4" s="8" t="n"/>
      <c r="F4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المعدات والأجهزة</t>
        </is>
      </c>
    </row>
    <row r="2">
      <c r="A2" s="6" t="inlineStr">
        <is>
          <t>الفئة: CAPEX - الدراسة الفنية</t>
        </is>
      </c>
    </row>
    <row r="3">
      <c r="A3" s="7" t="inlineStr">
        <is>
          <t>البند</t>
        </is>
      </c>
      <c r="B3" s="7" t="inlineStr">
        <is>
          <t>العدد</t>
        </is>
      </c>
      <c r="C3" s="7" t="inlineStr">
        <is>
          <t>السعر</t>
        </is>
      </c>
      <c r="D3" s="7" t="inlineStr">
        <is>
          <t>الإجمالي</t>
        </is>
      </c>
      <c r="E3" s="7" t="inlineStr">
        <is>
          <t>% استهلاك</t>
        </is>
      </c>
      <c r="F3" s="7" t="inlineStr">
        <is>
          <t>ملاحظات</t>
        </is>
      </c>
    </row>
    <row r="4">
      <c r="A4" s="8" t="n"/>
      <c r="B4" s="8" t="n"/>
      <c r="C4" s="8" t="n"/>
      <c r="D4" s="8" t="n"/>
      <c r="E4" s="8" t="n"/>
      <c r="F4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الأثاث والتجهيزات</t>
        </is>
      </c>
    </row>
    <row r="2">
      <c r="A2" s="6" t="inlineStr">
        <is>
          <t>الفئة: CAPEX - الدراسة الفنية</t>
        </is>
      </c>
    </row>
    <row r="3">
      <c r="A3" s="7" t="inlineStr">
        <is>
          <t>البند</t>
        </is>
      </c>
      <c r="B3" s="7" t="inlineStr">
        <is>
          <t>العدد</t>
        </is>
      </c>
      <c r="C3" s="7" t="inlineStr">
        <is>
          <t>السعر</t>
        </is>
      </c>
      <c r="D3" s="7" t="inlineStr">
        <is>
          <t>الإجمالي</t>
        </is>
      </c>
      <c r="E3" s="7" t="inlineStr">
        <is>
          <t>% استهلاك</t>
        </is>
      </c>
      <c r="F3" s="7" t="inlineStr">
        <is>
          <t>ملاحظات</t>
        </is>
      </c>
    </row>
    <row r="4">
      <c r="A4" s="8" t="n"/>
      <c r="B4" s="8" t="n"/>
      <c r="C4" s="8" t="n"/>
      <c r="D4" s="8" t="n"/>
      <c r="E4" s="8" t="n"/>
      <c r="F4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الموارد التقنية</t>
        </is>
      </c>
    </row>
    <row r="2">
      <c r="A2" s="6" t="inlineStr">
        <is>
          <t>الفئة: CAPEX - الموارد التقنية</t>
        </is>
      </c>
    </row>
    <row r="3">
      <c r="A3" s="7" t="inlineStr">
        <is>
          <t>البند</t>
        </is>
      </c>
      <c r="B3" s="7" t="inlineStr">
        <is>
          <t>العدد</t>
        </is>
      </c>
      <c r="C3" s="7" t="inlineStr">
        <is>
          <t>القيمة</t>
        </is>
      </c>
      <c r="D3" s="7" t="inlineStr">
        <is>
          <t>الإجمالي</t>
        </is>
      </c>
      <c r="E3" s="7" t="inlineStr">
        <is>
          <t>ملاحظات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التراخيص والرسوم القانونية</t>
        </is>
      </c>
    </row>
    <row r="2">
      <c r="A2" s="6" t="inlineStr">
        <is>
          <t>الفئة: CAPEX - الدراسة القانونية</t>
        </is>
      </c>
    </row>
    <row r="3">
      <c r="A3" s="7" t="inlineStr">
        <is>
          <t>البند</t>
        </is>
      </c>
      <c r="B3" s="7" t="inlineStr">
        <is>
          <t>الكمية</t>
        </is>
      </c>
      <c r="C3" s="7" t="inlineStr">
        <is>
          <t>السعر</t>
        </is>
      </c>
      <c r="D3" s="7" t="inlineStr">
        <is>
          <t>الإجمالي</t>
        </is>
      </c>
      <c r="E3" s="7" t="inlineStr">
        <is>
          <t>ملاحظات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الوظائف والرواتب</t>
        </is>
      </c>
    </row>
    <row r="2">
      <c r="A2" s="6" t="inlineStr">
        <is>
          <t>الفئة: OPEX - الموارد البشرية</t>
        </is>
      </c>
    </row>
    <row r="3">
      <c r="A3" s="7" t="inlineStr">
        <is>
          <t>المسمى الوظيفي</t>
        </is>
      </c>
      <c r="B3" s="7" t="inlineStr">
        <is>
          <t>الجنسية</t>
        </is>
      </c>
      <c r="C3" s="7" t="inlineStr">
        <is>
          <t>العدد</t>
        </is>
      </c>
      <c r="D3" s="7" t="inlineStr">
        <is>
          <t>الراتب الأساسي + السكن</t>
        </is>
      </c>
      <c r="E3" s="7" t="inlineStr">
        <is>
          <t>أشهر العمل/سنة</t>
        </is>
      </c>
      <c r="F3" s="7" t="inlineStr">
        <is>
          <t>إجمالي التكلفة (مع التأمينات)</t>
        </is>
      </c>
      <c r="G3" s="7" t="inlineStr">
        <is>
          <t>متغير؟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الموارد اللوجستية</t>
        </is>
      </c>
    </row>
    <row r="2">
      <c r="A2" s="6" t="inlineStr">
        <is>
          <t>الفئة: OPEX - الموارد اللوجستية</t>
        </is>
      </c>
    </row>
    <row r="3">
      <c r="A3" s="7" t="inlineStr">
        <is>
          <t>البند</t>
        </is>
      </c>
      <c r="B3" s="7" t="inlineStr">
        <is>
          <t>شهري</t>
        </is>
      </c>
      <c r="C3" s="7" t="inlineStr">
        <is>
          <t>سنوي</t>
        </is>
      </c>
      <c r="D3" s="7" t="inlineStr">
        <is>
          <t>% متغير</t>
        </is>
      </c>
      <c r="E3" s="7" t="inlineStr">
        <is>
          <t>ملاحظات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الموارد الإدارية</t>
        </is>
      </c>
    </row>
    <row r="2">
      <c r="A2" s="6" t="inlineStr">
        <is>
          <t>الفئة: OPEX - الموارد الإدارية</t>
        </is>
      </c>
    </row>
    <row r="3">
      <c r="A3" s="7" t="inlineStr">
        <is>
          <t>البند</t>
        </is>
      </c>
      <c r="B3" s="7" t="inlineStr">
        <is>
          <t>شهري</t>
        </is>
      </c>
      <c r="C3" s="7" t="inlineStr">
        <is>
          <t>سنوي</t>
        </is>
      </c>
      <c r="D3" s="7" t="inlineStr">
        <is>
          <t>ملاحظات</t>
        </is>
      </c>
    </row>
    <row r="4">
      <c r="A4" s="8" t="n"/>
      <c r="B4" s="8" t="n"/>
      <c r="C4" s="8" t="n"/>
      <c r="D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تحليل المنافسين</t>
        </is>
      </c>
    </row>
    <row r="2">
      <c r="A2" s="6" t="inlineStr">
        <is>
          <t>الفئة: الدراسة التسويقية</t>
        </is>
      </c>
    </row>
    <row r="3">
      <c r="A3" s="7" t="inlineStr">
        <is>
          <t>المنافس</t>
        </is>
      </c>
      <c r="B3" s="7" t="inlineStr">
        <is>
          <t>نقاط القوة</t>
        </is>
      </c>
      <c r="C3" s="7" t="inlineStr">
        <is>
          <t>نقاط الضعف</t>
        </is>
      </c>
      <c r="D3" s="7" t="inlineStr">
        <is>
          <t>الحصة السوقية %</t>
        </is>
      </c>
    </row>
    <row r="4">
      <c r="A4" s="8" t="n"/>
      <c r="B4" s="8" t="n"/>
      <c r="C4" s="8" t="n"/>
      <c r="D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الحملات التسويقية</t>
        </is>
      </c>
    </row>
    <row r="2">
      <c r="A2" s="6" t="inlineStr">
        <is>
          <t>الفئة: الدراسة التسويقية</t>
        </is>
      </c>
    </row>
    <row r="3">
      <c r="A3" s="7" t="inlineStr">
        <is>
          <t>الحملة</t>
        </is>
      </c>
      <c r="B3" s="7" t="inlineStr">
        <is>
          <t>النوع (رأسمالي/تشغيلي)</t>
        </is>
      </c>
      <c r="C3" s="7" t="inlineStr">
        <is>
          <t>المبلغ</t>
        </is>
      </c>
      <c r="D3" s="7" t="inlineStr">
        <is>
          <t>شهري (للتشغيلي)</t>
        </is>
      </c>
      <c r="E3" s="7" t="inlineStr">
        <is>
          <t>ملاحظات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مصادر الإيرادات</t>
        </is>
      </c>
    </row>
    <row r="2">
      <c r="A2" s="6" t="inlineStr">
        <is>
          <t>الفئة: الإيرادات</t>
        </is>
      </c>
    </row>
    <row r="3">
      <c r="A3" s="7" t="inlineStr">
        <is>
          <t>الخدمة</t>
        </is>
      </c>
      <c r="B3" s="7" t="inlineStr">
        <is>
          <t>العملاء/شهر</t>
        </is>
      </c>
      <c r="C3" s="7" t="inlineStr">
        <is>
          <t>متوسط السعر</t>
        </is>
      </c>
      <c r="D3" s="7" t="inlineStr">
        <is>
          <t>نمو سنوي %</t>
        </is>
      </c>
      <c r="E3" s="7" t="inlineStr">
        <is>
          <t>السنة 1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5" t="inlineStr">
        <is>
          <t>الخدمات المفصلة</t>
        </is>
      </c>
    </row>
    <row r="2">
      <c r="A2" s="6" t="inlineStr">
        <is>
          <t>الفئة: الإيرادات</t>
        </is>
      </c>
    </row>
    <row r="3">
      <c r="A3" s="7" t="inlineStr">
        <is>
          <t>اسم الخدمة</t>
        </is>
      </c>
      <c r="B3" s="7" t="inlineStr">
        <is>
          <t>الرمز</t>
        </is>
      </c>
      <c r="C3" s="7" t="inlineStr">
        <is>
          <t>CAPEX</t>
        </is>
      </c>
      <c r="D3" s="7" t="inlineStr">
        <is>
          <t>تكاليف ثابتة/شهر</t>
        </is>
      </c>
      <c r="E3" s="7" t="inlineStr">
        <is>
          <t>تكلفة/عميل</t>
        </is>
      </c>
      <c r="F3" s="7" t="inlineStr">
        <is>
          <t>سعر الخدمة</t>
        </is>
      </c>
      <c r="G3" s="7" t="inlineStr">
        <is>
          <t>عملاء/شهر</t>
        </is>
      </c>
      <c r="H3" s="7" t="inlineStr">
        <is>
          <t>نمو سنوي %</t>
        </is>
      </c>
      <c r="I3" s="7" t="inlineStr">
        <is>
          <t>الإيراد السنوي</t>
        </is>
      </c>
      <c r="J3" s="7" t="inlineStr">
        <is>
          <t>الربح السنوي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تحليل PESTEL</t>
        </is>
      </c>
    </row>
    <row r="2">
      <c r="A2" s="6" t="inlineStr">
        <is>
          <t>الفئة: التحليل الاستراتيجي</t>
        </is>
      </c>
    </row>
    <row r="3">
      <c r="A3" s="7" t="inlineStr">
        <is>
          <t>العامل</t>
        </is>
      </c>
      <c r="B3" s="7" t="inlineStr">
        <is>
          <t>الوصف</t>
        </is>
      </c>
      <c r="C3" s="7" t="inlineStr">
        <is>
          <t>التأثير</t>
        </is>
      </c>
      <c r="D3" s="7" t="inlineStr">
        <is>
          <t>ملاحظات</t>
        </is>
      </c>
    </row>
    <row r="4">
      <c r="A4" s="8" t="n"/>
      <c r="B4" s="8" t="n"/>
      <c r="C4" s="8" t="n"/>
      <c r="D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5" t="inlineStr">
        <is>
          <t>التحليل الرباعي (SWOT)</t>
        </is>
      </c>
    </row>
    <row r="2">
      <c r="A2" s="6" t="inlineStr">
        <is>
          <t>الفئة: التحليل الاستراتيجي</t>
        </is>
      </c>
    </row>
    <row r="3">
      <c r="A3" s="7" t="inlineStr">
        <is>
          <t>الفئة (قوة/ضعف/فرصة/تهديد)</t>
        </is>
      </c>
      <c r="B3" s="7" t="inlineStr">
        <is>
          <t>البند</t>
        </is>
      </c>
      <c r="C3" s="7" t="inlineStr">
        <is>
          <t>الأولوية</t>
        </is>
      </c>
    </row>
    <row r="4">
      <c r="A4" s="8" t="n"/>
      <c r="B4" s="8" t="n"/>
      <c r="C4" s="8" t="n"/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شرائح العملاء</t>
        </is>
      </c>
    </row>
    <row r="2">
      <c r="A2" s="6" t="inlineStr">
        <is>
          <t>الفئة: التحليل الاستراتيجي</t>
        </is>
      </c>
    </row>
    <row r="3">
      <c r="A3" s="7" t="inlineStr">
        <is>
          <t>الشريحة</t>
        </is>
      </c>
      <c r="B3" s="7" t="inlineStr">
        <is>
          <t>الديموغرافيا</t>
        </is>
      </c>
      <c r="C3" s="7" t="inlineStr">
        <is>
          <t>الاحتياجات</t>
        </is>
      </c>
      <c r="D3" s="7" t="inlineStr">
        <is>
          <t>الحجم (ريال)</t>
        </is>
      </c>
      <c r="E3" s="7" t="inlineStr">
        <is>
          <t>الأولوية</t>
        </is>
      </c>
    </row>
    <row r="4">
      <c r="A4" s="8" t="n"/>
      <c r="B4" s="8" t="n"/>
      <c r="C4" s="8" t="n"/>
      <c r="D4" s="8" t="n"/>
      <c r="E4" s="8" t="n"/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سجل المخاطر</t>
        </is>
      </c>
    </row>
    <row r="2">
      <c r="A2" s="6" t="inlineStr">
        <is>
          <t>الفئة: تحليل المخاطر</t>
        </is>
      </c>
    </row>
    <row r="3">
      <c r="A3" s="7" t="inlineStr">
        <is>
          <t>الخطر</t>
        </is>
      </c>
      <c r="B3" s="7" t="inlineStr">
        <is>
          <t>النوع</t>
        </is>
      </c>
      <c r="C3" s="7" t="inlineStr">
        <is>
          <t>الاحتمالية</t>
        </is>
      </c>
      <c r="D3" s="7" t="inlineStr">
        <is>
          <t>الأثر</t>
        </is>
      </c>
      <c r="E3" s="7" t="inlineStr">
        <is>
          <t>الدرجة (محسوبة)</t>
        </is>
      </c>
      <c r="F3" s="7" t="inlineStr">
        <is>
          <t>خطة المواجهة</t>
        </is>
      </c>
      <c r="G3" s="7" t="inlineStr">
        <is>
          <t>المسؤول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2026-01-26T11:39:05Z</dcterms:created>
  <dcterms:modified xsi:type="dcterms:W3CDTF">2026-01-26T11:39:05Z</dcterms:modified>
</cp:coreProperties>
</file>