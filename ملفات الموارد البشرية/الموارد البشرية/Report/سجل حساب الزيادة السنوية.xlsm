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5" windowWidth="14805" windowHeight="7950" tabRatio="38" firstSheet="3" activeTab="3"/>
  </bookViews>
  <sheets>
    <sheet name="home" sheetId="6" r:id="rId1"/>
    <sheet name="سجل حساب الزيادة السنوية" sheetId="1" r:id="rId2"/>
    <sheet name="الاستعلام لكل قسم" sheetId="4" r:id="rId3"/>
    <sheet name="Settings" sheetId="5" r:id="rId4"/>
  </sheets>
  <definedNames>
    <definedName name="_xlnm._FilterDatabase" localSheetId="2" hidden="1">'الاستعلام لكل قسم'!$A$6:$Q$206</definedName>
    <definedName name="_xlnm.Criteria" localSheetId="2">'الاستعلام لكل قسم'!$D$2:$D$3</definedName>
    <definedName name="_xlnm.Print_Titles" localSheetId="2">'الاستعلام لكل قسم'!$4:$6</definedName>
    <definedName name="_xlnm.Print_Titles" localSheetId="1">'سجل حساب الزيادة السنوية'!$4:$5</definedName>
    <definedName name="الاقسام">Table1[الاقسام]</definedName>
  </definedNames>
  <calcPr calcId="144525"/>
</workbook>
</file>

<file path=xl/calcChain.xml><?xml version="1.0" encoding="utf-8"?>
<calcChain xmlns="http://schemas.openxmlformats.org/spreadsheetml/2006/main">
  <c r="A8" i="4" l="1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7" i="4"/>
  <c r="I2" i="4" l="1"/>
  <c r="L33" i="1" l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32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B8" i="4" l="1"/>
  <c r="C8" i="4" s="1"/>
  <c r="B9" i="4"/>
  <c r="A9" i="4" s="1"/>
  <c r="B10" i="4"/>
  <c r="B11" i="4"/>
  <c r="A11" i="4" s="1"/>
  <c r="B12" i="4"/>
  <c r="B13" i="4"/>
  <c r="A13" i="4" s="1"/>
  <c r="B14" i="4"/>
  <c r="B15" i="4"/>
  <c r="A15" i="4" s="1"/>
  <c r="B16" i="4"/>
  <c r="B17" i="4"/>
  <c r="A17" i="4" s="1"/>
  <c r="B18" i="4"/>
  <c r="A18" i="4" s="1"/>
  <c r="B19" i="4"/>
  <c r="A19" i="4" s="1"/>
  <c r="B20" i="4"/>
  <c r="A20" i="4" s="1"/>
  <c r="B21" i="4"/>
  <c r="A21" i="4" s="1"/>
  <c r="B22" i="4"/>
  <c r="A22" i="4" s="1"/>
  <c r="B23" i="4"/>
  <c r="A23" i="4" s="1"/>
  <c r="B24" i="4"/>
  <c r="A24" i="4" s="1"/>
  <c r="B25" i="4"/>
  <c r="A25" i="4" s="1"/>
  <c r="B26" i="4"/>
  <c r="A26" i="4" s="1"/>
  <c r="B27" i="4"/>
  <c r="A27" i="4" s="1"/>
  <c r="B28" i="4"/>
  <c r="A28" i="4" s="1"/>
  <c r="B29" i="4"/>
  <c r="A29" i="4" s="1"/>
  <c r="B30" i="4"/>
  <c r="A30" i="4" s="1"/>
  <c r="B31" i="4"/>
  <c r="A31" i="4" s="1"/>
  <c r="B32" i="4"/>
  <c r="A32" i="4" s="1"/>
  <c r="B33" i="4"/>
  <c r="A33" i="4" s="1"/>
  <c r="B34" i="4"/>
  <c r="A34" i="4" s="1"/>
  <c r="B35" i="4"/>
  <c r="A35" i="4" s="1"/>
  <c r="B36" i="4"/>
  <c r="A36" i="4" s="1"/>
  <c r="B37" i="4"/>
  <c r="A37" i="4" s="1"/>
  <c r="B38" i="4"/>
  <c r="A38" i="4" s="1"/>
  <c r="B39" i="4"/>
  <c r="A39" i="4" s="1"/>
  <c r="B40" i="4"/>
  <c r="A40" i="4" s="1"/>
  <c r="B41" i="4"/>
  <c r="A41" i="4" s="1"/>
  <c r="B42" i="4"/>
  <c r="A42" i="4" s="1"/>
  <c r="B43" i="4"/>
  <c r="A43" i="4" s="1"/>
  <c r="B44" i="4"/>
  <c r="A44" i="4" s="1"/>
  <c r="B45" i="4"/>
  <c r="A45" i="4" s="1"/>
  <c r="B46" i="4"/>
  <c r="A46" i="4" s="1"/>
  <c r="B47" i="4"/>
  <c r="A47" i="4" s="1"/>
  <c r="B48" i="4"/>
  <c r="A48" i="4" s="1"/>
  <c r="B49" i="4"/>
  <c r="A49" i="4" s="1"/>
  <c r="B50" i="4"/>
  <c r="A50" i="4" s="1"/>
  <c r="B51" i="4"/>
  <c r="A51" i="4" s="1"/>
  <c r="B52" i="4"/>
  <c r="A52" i="4" s="1"/>
  <c r="B53" i="4"/>
  <c r="A53" i="4" s="1"/>
  <c r="B54" i="4"/>
  <c r="A54" i="4" s="1"/>
  <c r="B55" i="4"/>
  <c r="A55" i="4" s="1"/>
  <c r="B56" i="4"/>
  <c r="A56" i="4" s="1"/>
  <c r="B57" i="4"/>
  <c r="A57" i="4" s="1"/>
  <c r="B58" i="4"/>
  <c r="A58" i="4" s="1"/>
  <c r="B59" i="4"/>
  <c r="A59" i="4" s="1"/>
  <c r="B60" i="4"/>
  <c r="A60" i="4" s="1"/>
  <c r="B61" i="4"/>
  <c r="A61" i="4" s="1"/>
  <c r="B62" i="4"/>
  <c r="A62" i="4" s="1"/>
  <c r="B63" i="4"/>
  <c r="A63" i="4" s="1"/>
  <c r="B64" i="4"/>
  <c r="A64" i="4" s="1"/>
  <c r="B65" i="4"/>
  <c r="A65" i="4" s="1"/>
  <c r="B66" i="4"/>
  <c r="A66" i="4" s="1"/>
  <c r="B67" i="4"/>
  <c r="A67" i="4" s="1"/>
  <c r="B68" i="4"/>
  <c r="A68" i="4" s="1"/>
  <c r="B69" i="4"/>
  <c r="A69" i="4" s="1"/>
  <c r="B70" i="4"/>
  <c r="A70" i="4" s="1"/>
  <c r="B71" i="4"/>
  <c r="A71" i="4" s="1"/>
  <c r="B72" i="4"/>
  <c r="A72" i="4" s="1"/>
  <c r="B73" i="4"/>
  <c r="A73" i="4" s="1"/>
  <c r="B74" i="4"/>
  <c r="A74" i="4" s="1"/>
  <c r="B75" i="4"/>
  <c r="A75" i="4" s="1"/>
  <c r="B76" i="4"/>
  <c r="A76" i="4" s="1"/>
  <c r="B77" i="4"/>
  <c r="A77" i="4" s="1"/>
  <c r="B78" i="4"/>
  <c r="A78" i="4" s="1"/>
  <c r="B79" i="4"/>
  <c r="A79" i="4" s="1"/>
  <c r="B80" i="4"/>
  <c r="A80" i="4" s="1"/>
  <c r="B81" i="4"/>
  <c r="A81" i="4" s="1"/>
  <c r="B82" i="4"/>
  <c r="A82" i="4" s="1"/>
  <c r="B83" i="4"/>
  <c r="A83" i="4" s="1"/>
  <c r="B84" i="4"/>
  <c r="A84" i="4" s="1"/>
  <c r="B85" i="4"/>
  <c r="A85" i="4" s="1"/>
  <c r="B86" i="4"/>
  <c r="A86" i="4" s="1"/>
  <c r="B87" i="4"/>
  <c r="A87" i="4" s="1"/>
  <c r="B88" i="4"/>
  <c r="A88" i="4" s="1"/>
  <c r="B89" i="4"/>
  <c r="A89" i="4" s="1"/>
  <c r="B90" i="4"/>
  <c r="A90" i="4" s="1"/>
  <c r="B91" i="4"/>
  <c r="A91" i="4" s="1"/>
  <c r="B92" i="4"/>
  <c r="A92" i="4" s="1"/>
  <c r="B93" i="4"/>
  <c r="A93" i="4" s="1"/>
  <c r="B94" i="4"/>
  <c r="A94" i="4" s="1"/>
  <c r="B95" i="4"/>
  <c r="A95" i="4" s="1"/>
  <c r="B96" i="4"/>
  <c r="A96" i="4" s="1"/>
  <c r="B97" i="4"/>
  <c r="A97" i="4" s="1"/>
  <c r="B98" i="4"/>
  <c r="A98" i="4" s="1"/>
  <c r="B99" i="4"/>
  <c r="A99" i="4" s="1"/>
  <c r="B100" i="4"/>
  <c r="A100" i="4" s="1"/>
  <c r="B101" i="4"/>
  <c r="A101" i="4" s="1"/>
  <c r="B102" i="4"/>
  <c r="A102" i="4" s="1"/>
  <c r="B103" i="4"/>
  <c r="A103" i="4" s="1"/>
  <c r="B104" i="4"/>
  <c r="A104" i="4" s="1"/>
  <c r="B105" i="4"/>
  <c r="A105" i="4" s="1"/>
  <c r="B106" i="4"/>
  <c r="A106" i="4" s="1"/>
  <c r="B107" i="4"/>
  <c r="A107" i="4" s="1"/>
  <c r="B108" i="4"/>
  <c r="A108" i="4" s="1"/>
  <c r="B109" i="4"/>
  <c r="A109" i="4" s="1"/>
  <c r="B110" i="4"/>
  <c r="A110" i="4" s="1"/>
  <c r="B111" i="4"/>
  <c r="A111" i="4" s="1"/>
  <c r="B112" i="4"/>
  <c r="A112" i="4" s="1"/>
  <c r="B113" i="4"/>
  <c r="A113" i="4" s="1"/>
  <c r="B114" i="4"/>
  <c r="A114" i="4" s="1"/>
  <c r="B115" i="4"/>
  <c r="A115" i="4" s="1"/>
  <c r="B116" i="4"/>
  <c r="A116" i="4" s="1"/>
  <c r="B117" i="4"/>
  <c r="A117" i="4" s="1"/>
  <c r="B118" i="4"/>
  <c r="A118" i="4" s="1"/>
  <c r="B119" i="4"/>
  <c r="A119" i="4" s="1"/>
  <c r="B120" i="4"/>
  <c r="A120" i="4" s="1"/>
  <c r="B121" i="4"/>
  <c r="A121" i="4" s="1"/>
  <c r="B122" i="4"/>
  <c r="A122" i="4" s="1"/>
  <c r="B123" i="4"/>
  <c r="A123" i="4" s="1"/>
  <c r="B124" i="4"/>
  <c r="A124" i="4" s="1"/>
  <c r="B125" i="4"/>
  <c r="A125" i="4" s="1"/>
  <c r="B126" i="4"/>
  <c r="A126" i="4" s="1"/>
  <c r="B127" i="4"/>
  <c r="A127" i="4" s="1"/>
  <c r="B128" i="4"/>
  <c r="A128" i="4" s="1"/>
  <c r="B129" i="4"/>
  <c r="A129" i="4" s="1"/>
  <c r="B130" i="4"/>
  <c r="A130" i="4" s="1"/>
  <c r="B131" i="4"/>
  <c r="A131" i="4" s="1"/>
  <c r="B132" i="4"/>
  <c r="B133" i="4"/>
  <c r="B134" i="4"/>
  <c r="B135" i="4"/>
  <c r="B136" i="4"/>
  <c r="B137" i="4"/>
  <c r="B138" i="4"/>
  <c r="B139" i="4"/>
  <c r="A139" i="4" s="1"/>
  <c r="B140" i="4"/>
  <c r="B141" i="4"/>
  <c r="A141" i="4" s="1"/>
  <c r="B142" i="4"/>
  <c r="B143" i="4"/>
  <c r="A143" i="4" s="1"/>
  <c r="B144" i="4"/>
  <c r="B145" i="4"/>
  <c r="A145" i="4" s="1"/>
  <c r="B146" i="4"/>
  <c r="B147" i="4"/>
  <c r="A147" i="4" s="1"/>
  <c r="B148" i="4"/>
  <c r="B149" i="4"/>
  <c r="A149" i="4" s="1"/>
  <c r="B150" i="4"/>
  <c r="B151" i="4"/>
  <c r="A151" i="4" s="1"/>
  <c r="B152" i="4"/>
  <c r="B153" i="4"/>
  <c r="A153" i="4" s="1"/>
  <c r="B154" i="4"/>
  <c r="B155" i="4"/>
  <c r="A155" i="4" s="1"/>
  <c r="B156" i="4"/>
  <c r="B157" i="4"/>
  <c r="A157" i="4" s="1"/>
  <c r="B158" i="4"/>
  <c r="B159" i="4"/>
  <c r="A159" i="4" s="1"/>
  <c r="B160" i="4"/>
  <c r="B161" i="4"/>
  <c r="A161" i="4" s="1"/>
  <c r="B162" i="4"/>
  <c r="B163" i="4"/>
  <c r="A163" i="4" s="1"/>
  <c r="B164" i="4"/>
  <c r="B165" i="4"/>
  <c r="A165" i="4" s="1"/>
  <c r="B166" i="4"/>
  <c r="B167" i="4"/>
  <c r="A167" i="4" s="1"/>
  <c r="B168" i="4"/>
  <c r="B169" i="4"/>
  <c r="A169" i="4" s="1"/>
  <c r="B170" i="4"/>
  <c r="B171" i="4"/>
  <c r="A171" i="4" s="1"/>
  <c r="B172" i="4"/>
  <c r="B173" i="4"/>
  <c r="A173" i="4" s="1"/>
  <c r="B174" i="4"/>
  <c r="B175" i="4"/>
  <c r="A175" i="4" s="1"/>
  <c r="B176" i="4"/>
  <c r="B177" i="4"/>
  <c r="A177" i="4" s="1"/>
  <c r="B178" i="4"/>
  <c r="B179" i="4"/>
  <c r="A179" i="4" s="1"/>
  <c r="B180" i="4"/>
  <c r="B181" i="4"/>
  <c r="A181" i="4" s="1"/>
  <c r="B182" i="4"/>
  <c r="B183" i="4"/>
  <c r="A183" i="4" s="1"/>
  <c r="B184" i="4"/>
  <c r="B185" i="4"/>
  <c r="A185" i="4" s="1"/>
  <c r="B186" i="4"/>
  <c r="B187" i="4"/>
  <c r="A187" i="4" s="1"/>
  <c r="B188" i="4"/>
  <c r="B189" i="4"/>
  <c r="A189" i="4" s="1"/>
  <c r="B190" i="4"/>
  <c r="B191" i="4"/>
  <c r="A191" i="4" s="1"/>
  <c r="B192" i="4"/>
  <c r="D192" i="4" s="1"/>
  <c r="B193" i="4"/>
  <c r="B194" i="4"/>
  <c r="D194" i="4" s="1"/>
  <c r="B195" i="4"/>
  <c r="B196" i="4"/>
  <c r="D196" i="4" s="1"/>
  <c r="B197" i="4"/>
  <c r="B198" i="4"/>
  <c r="D198" i="4" s="1"/>
  <c r="B199" i="4"/>
  <c r="B200" i="4"/>
  <c r="D200" i="4" s="1"/>
  <c r="B201" i="4"/>
  <c r="B202" i="4"/>
  <c r="D202" i="4" s="1"/>
  <c r="B203" i="4"/>
  <c r="B204" i="4"/>
  <c r="D204" i="4" s="1"/>
  <c r="B205" i="4"/>
  <c r="B206" i="4"/>
  <c r="D206" i="4" s="1"/>
  <c r="B7" i="4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6" i="1"/>
  <c r="L6" i="1"/>
  <c r="L3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6" i="1"/>
  <c r="H6" i="1" s="1"/>
  <c r="N137" i="4" l="1"/>
  <c r="A137" i="4"/>
  <c r="N135" i="4"/>
  <c r="A135" i="4"/>
  <c r="N133" i="4"/>
  <c r="A133" i="4"/>
  <c r="D190" i="4"/>
  <c r="A190" i="4"/>
  <c r="D188" i="4"/>
  <c r="A188" i="4"/>
  <c r="D186" i="4"/>
  <c r="A186" i="4"/>
  <c r="D184" i="4"/>
  <c r="A184" i="4"/>
  <c r="D182" i="4"/>
  <c r="A182" i="4"/>
  <c r="D180" i="4"/>
  <c r="A180" i="4"/>
  <c r="D178" i="4"/>
  <c r="A178" i="4"/>
  <c r="D176" i="4"/>
  <c r="A176" i="4"/>
  <c r="D174" i="4"/>
  <c r="A174" i="4"/>
  <c r="D172" i="4"/>
  <c r="A172" i="4"/>
  <c r="D170" i="4"/>
  <c r="A170" i="4"/>
  <c r="D168" i="4"/>
  <c r="A168" i="4"/>
  <c r="D166" i="4"/>
  <c r="A166" i="4"/>
  <c r="D164" i="4"/>
  <c r="A164" i="4"/>
  <c r="D162" i="4"/>
  <c r="A162" i="4"/>
  <c r="D160" i="4"/>
  <c r="A160" i="4"/>
  <c r="D158" i="4"/>
  <c r="A158" i="4"/>
  <c r="D156" i="4"/>
  <c r="A156" i="4"/>
  <c r="D154" i="4"/>
  <c r="A154" i="4"/>
  <c r="D152" i="4"/>
  <c r="A152" i="4"/>
  <c r="D150" i="4"/>
  <c r="A150" i="4"/>
  <c r="D148" i="4"/>
  <c r="A148" i="4"/>
  <c r="D146" i="4"/>
  <c r="A146" i="4"/>
  <c r="D144" i="4"/>
  <c r="A144" i="4"/>
  <c r="D142" i="4"/>
  <c r="A142" i="4"/>
  <c r="D140" i="4"/>
  <c r="A140" i="4"/>
  <c r="N138" i="4"/>
  <c r="A138" i="4"/>
  <c r="N136" i="4"/>
  <c r="A136" i="4"/>
  <c r="N134" i="4"/>
  <c r="A134" i="4"/>
  <c r="N132" i="4"/>
  <c r="A132" i="4"/>
  <c r="C16" i="4"/>
  <c r="A16" i="4"/>
  <c r="C14" i="4"/>
  <c r="A14" i="4"/>
  <c r="C12" i="4"/>
  <c r="A12" i="4"/>
  <c r="C10" i="4"/>
  <c r="A10" i="4"/>
  <c r="I204" i="1"/>
  <c r="O204" i="1" s="1"/>
  <c r="I200" i="1"/>
  <c r="O200" i="1" s="1"/>
  <c r="I196" i="1"/>
  <c r="O196" i="1" s="1"/>
  <c r="I192" i="1"/>
  <c r="O192" i="1" s="1"/>
  <c r="I188" i="1"/>
  <c r="O188" i="1" s="1"/>
  <c r="I184" i="1"/>
  <c r="O184" i="1" s="1"/>
  <c r="I180" i="1"/>
  <c r="O180" i="1" s="1"/>
  <c r="I176" i="1"/>
  <c r="P176" i="1" s="1"/>
  <c r="I174" i="1"/>
  <c r="P174" i="1" s="1"/>
  <c r="I172" i="1"/>
  <c r="P172" i="1" s="1"/>
  <c r="I170" i="1"/>
  <c r="P170" i="1" s="1"/>
  <c r="I168" i="1"/>
  <c r="P168" i="1" s="1"/>
  <c r="I166" i="1"/>
  <c r="P166" i="1" s="1"/>
  <c r="I164" i="1"/>
  <c r="P164" i="1" s="1"/>
  <c r="I162" i="1"/>
  <c r="P162" i="1" s="1"/>
  <c r="I160" i="1"/>
  <c r="P160" i="1" s="1"/>
  <c r="I158" i="1"/>
  <c r="P158" i="1" s="1"/>
  <c r="I156" i="1"/>
  <c r="P156" i="1" s="1"/>
  <c r="I154" i="1"/>
  <c r="P154" i="1" s="1"/>
  <c r="I152" i="1"/>
  <c r="P152" i="1" s="1"/>
  <c r="I150" i="1"/>
  <c r="P150" i="1" s="1"/>
  <c r="I148" i="1"/>
  <c r="P148" i="1" s="1"/>
  <c r="I146" i="1"/>
  <c r="P146" i="1" s="1"/>
  <c r="I144" i="1"/>
  <c r="P144" i="1" s="1"/>
  <c r="I142" i="1"/>
  <c r="P142" i="1" s="1"/>
  <c r="I140" i="1"/>
  <c r="P140" i="1" s="1"/>
  <c r="I138" i="1"/>
  <c r="P138" i="1" s="1"/>
  <c r="I136" i="1"/>
  <c r="P136" i="1" s="1"/>
  <c r="I134" i="1"/>
  <c r="P134" i="1" s="1"/>
  <c r="I132" i="1"/>
  <c r="P132" i="1" s="1"/>
  <c r="I130" i="1"/>
  <c r="I131" i="4" s="1"/>
  <c r="I128" i="1"/>
  <c r="I129" i="4" s="1"/>
  <c r="I126" i="1"/>
  <c r="I127" i="4" s="1"/>
  <c r="I124" i="1"/>
  <c r="I125" i="4" s="1"/>
  <c r="I122" i="1"/>
  <c r="I123" i="4" s="1"/>
  <c r="I120" i="1"/>
  <c r="I121" i="4" s="1"/>
  <c r="I118" i="1"/>
  <c r="I119" i="4" s="1"/>
  <c r="I116" i="1"/>
  <c r="I117" i="4" s="1"/>
  <c r="I114" i="1"/>
  <c r="I115" i="4" s="1"/>
  <c r="I112" i="1"/>
  <c r="I113" i="4" s="1"/>
  <c r="I110" i="1"/>
  <c r="I111" i="4" s="1"/>
  <c r="I108" i="1"/>
  <c r="I109" i="4" s="1"/>
  <c r="I106" i="1"/>
  <c r="I107" i="4" s="1"/>
  <c r="I104" i="1"/>
  <c r="I105" i="4" s="1"/>
  <c r="I102" i="1"/>
  <c r="Q102" i="1" s="1"/>
  <c r="I100" i="1"/>
  <c r="Q100" i="1" s="1"/>
  <c r="I98" i="1"/>
  <c r="Q98" i="1" s="1"/>
  <c r="I96" i="1"/>
  <c r="Q96" i="1" s="1"/>
  <c r="I94" i="1"/>
  <c r="Q94" i="1" s="1"/>
  <c r="I92" i="1"/>
  <c r="Q92" i="1" s="1"/>
  <c r="I90" i="1"/>
  <c r="Q90" i="1" s="1"/>
  <c r="I88" i="1"/>
  <c r="Q88" i="1" s="1"/>
  <c r="I86" i="1"/>
  <c r="Q86" i="1" s="1"/>
  <c r="I84" i="1"/>
  <c r="Q84" i="1" s="1"/>
  <c r="I82" i="1"/>
  <c r="Q82" i="1" s="1"/>
  <c r="I80" i="1"/>
  <c r="Q80" i="1" s="1"/>
  <c r="I78" i="1"/>
  <c r="Q78" i="1" s="1"/>
  <c r="I76" i="1"/>
  <c r="Q76" i="1" s="1"/>
  <c r="I74" i="1"/>
  <c r="Q74" i="1" s="1"/>
  <c r="I72" i="1"/>
  <c r="Q72" i="1" s="1"/>
  <c r="I70" i="1"/>
  <c r="I71" i="4" s="1"/>
  <c r="I68" i="1"/>
  <c r="Q68" i="1" s="1"/>
  <c r="I66" i="1"/>
  <c r="Q66" i="1" s="1"/>
  <c r="I64" i="1"/>
  <c r="Q64" i="1" s="1"/>
  <c r="I62" i="1"/>
  <c r="Q62" i="1" s="1"/>
  <c r="I60" i="1"/>
  <c r="I61" i="4" s="1"/>
  <c r="I58" i="1"/>
  <c r="Q58" i="1" s="1"/>
  <c r="I56" i="1"/>
  <c r="Q56" i="1" s="1"/>
  <c r="Q57" i="4" s="1"/>
  <c r="I54" i="1"/>
  <c r="Q54" i="1" s="1"/>
  <c r="I52" i="1"/>
  <c r="Q52" i="1" s="1"/>
  <c r="I50" i="1"/>
  <c r="Q50" i="1" s="1"/>
  <c r="I48" i="1"/>
  <c r="Q48" i="1" s="1"/>
  <c r="I46" i="1"/>
  <c r="P46" i="1" s="1"/>
  <c r="I44" i="1"/>
  <c r="I45" i="4" s="1"/>
  <c r="I42" i="1"/>
  <c r="P42" i="1" s="1"/>
  <c r="I40" i="1"/>
  <c r="Q40" i="1" s="1"/>
  <c r="I38" i="1"/>
  <c r="Q38" i="1" s="1"/>
  <c r="I36" i="1"/>
  <c r="P36" i="1" s="1"/>
  <c r="I34" i="1"/>
  <c r="Q34" i="1" s="1"/>
  <c r="I32" i="1"/>
  <c r="I33" i="4" s="1"/>
  <c r="I30" i="1"/>
  <c r="Q30" i="1" s="1"/>
  <c r="I28" i="1"/>
  <c r="P28" i="1" s="1"/>
  <c r="I26" i="1"/>
  <c r="Q26" i="1" s="1"/>
  <c r="I24" i="1"/>
  <c r="Q24" i="1" s="1"/>
  <c r="I22" i="1"/>
  <c r="Q22" i="1" s="1"/>
  <c r="I20" i="1"/>
  <c r="P20" i="1" s="1"/>
  <c r="I18" i="1"/>
  <c r="Q18" i="1" s="1"/>
  <c r="I16" i="1"/>
  <c r="Q16" i="1" s="1"/>
  <c r="I14" i="1"/>
  <c r="Q14" i="1" s="1"/>
  <c r="I12" i="1"/>
  <c r="Q12" i="1" s="1"/>
  <c r="I10" i="1"/>
  <c r="Q10" i="1" s="1"/>
  <c r="I8" i="1"/>
  <c r="Q8" i="1" s="1"/>
  <c r="I202" i="1"/>
  <c r="Q202" i="1" s="1"/>
  <c r="I198" i="1"/>
  <c r="Q198" i="1" s="1"/>
  <c r="I194" i="1"/>
  <c r="Q194" i="1" s="1"/>
  <c r="I190" i="1"/>
  <c r="Q190" i="1" s="1"/>
  <c r="I186" i="1"/>
  <c r="Q186" i="1" s="1"/>
  <c r="I182" i="1"/>
  <c r="Q182" i="1" s="1"/>
  <c r="I178" i="1"/>
  <c r="Q178" i="1" s="1"/>
  <c r="I205" i="1"/>
  <c r="Q205" i="1" s="1"/>
  <c r="I203" i="1"/>
  <c r="Q203" i="1" s="1"/>
  <c r="I201" i="1"/>
  <c r="Q201" i="1" s="1"/>
  <c r="I199" i="1"/>
  <c r="Q199" i="1" s="1"/>
  <c r="I197" i="1"/>
  <c r="Q197" i="1" s="1"/>
  <c r="I195" i="1"/>
  <c r="Q195" i="1" s="1"/>
  <c r="I193" i="1"/>
  <c r="Q193" i="1" s="1"/>
  <c r="I191" i="1"/>
  <c r="Q191" i="1" s="1"/>
  <c r="I189" i="1"/>
  <c r="Q189" i="1" s="1"/>
  <c r="I187" i="1"/>
  <c r="Q187" i="1" s="1"/>
  <c r="I185" i="1"/>
  <c r="Q185" i="1" s="1"/>
  <c r="I183" i="1"/>
  <c r="Q183" i="1" s="1"/>
  <c r="I181" i="1"/>
  <c r="Q181" i="1" s="1"/>
  <c r="I179" i="1"/>
  <c r="Q179" i="1" s="1"/>
  <c r="I177" i="1"/>
  <c r="Q177" i="1" s="1"/>
  <c r="I175" i="1"/>
  <c r="Q175" i="1" s="1"/>
  <c r="I173" i="1"/>
  <c r="Q173" i="1" s="1"/>
  <c r="I171" i="1"/>
  <c r="Q171" i="1" s="1"/>
  <c r="I169" i="1"/>
  <c r="Q169" i="1" s="1"/>
  <c r="I167" i="1"/>
  <c r="Q167" i="1" s="1"/>
  <c r="I165" i="1"/>
  <c r="Q165" i="1" s="1"/>
  <c r="I163" i="1"/>
  <c r="Q163" i="1" s="1"/>
  <c r="I161" i="1"/>
  <c r="Q161" i="1" s="1"/>
  <c r="I159" i="1"/>
  <c r="Q159" i="1" s="1"/>
  <c r="I157" i="1"/>
  <c r="Q157" i="1" s="1"/>
  <c r="I155" i="1"/>
  <c r="Q155" i="1" s="1"/>
  <c r="I153" i="1"/>
  <c r="Q153" i="1" s="1"/>
  <c r="I151" i="1"/>
  <c r="Q151" i="1" s="1"/>
  <c r="I149" i="1"/>
  <c r="P149" i="1" s="1"/>
  <c r="I147" i="1"/>
  <c r="P147" i="1" s="1"/>
  <c r="I145" i="1"/>
  <c r="P145" i="1" s="1"/>
  <c r="I143" i="1"/>
  <c r="P143" i="1" s="1"/>
  <c r="I141" i="1"/>
  <c r="P141" i="1" s="1"/>
  <c r="I139" i="1"/>
  <c r="P139" i="1" s="1"/>
  <c r="I137" i="1"/>
  <c r="Q137" i="1" s="1"/>
  <c r="I135" i="1"/>
  <c r="Q135" i="1" s="1"/>
  <c r="I133" i="1"/>
  <c r="Q133" i="1" s="1"/>
  <c r="I131" i="1"/>
  <c r="Q131" i="1" s="1"/>
  <c r="I129" i="1"/>
  <c r="Q129" i="1" s="1"/>
  <c r="I127" i="1"/>
  <c r="Q127" i="1" s="1"/>
  <c r="I125" i="1"/>
  <c r="Q125" i="1" s="1"/>
  <c r="I123" i="1"/>
  <c r="Q123" i="1" s="1"/>
  <c r="I121" i="1"/>
  <c r="Q121" i="1" s="1"/>
  <c r="I119" i="1"/>
  <c r="I120" i="4" s="1"/>
  <c r="I117" i="1"/>
  <c r="Q117" i="1" s="1"/>
  <c r="I115" i="1"/>
  <c r="Q115" i="1" s="1"/>
  <c r="I113" i="1"/>
  <c r="Q113" i="1" s="1"/>
  <c r="I111" i="1"/>
  <c r="Q111" i="1" s="1"/>
  <c r="I109" i="1"/>
  <c r="Q109" i="1" s="1"/>
  <c r="I107" i="1"/>
  <c r="Q107" i="1" s="1"/>
  <c r="I105" i="1"/>
  <c r="Q105" i="1" s="1"/>
  <c r="I103" i="1"/>
  <c r="Q103" i="1" s="1"/>
  <c r="I101" i="1"/>
  <c r="Q101" i="1" s="1"/>
  <c r="I99" i="1"/>
  <c r="Q99" i="1" s="1"/>
  <c r="I97" i="1"/>
  <c r="Q97" i="1" s="1"/>
  <c r="I95" i="1"/>
  <c r="Q95" i="1" s="1"/>
  <c r="I93" i="1"/>
  <c r="Q93" i="1" s="1"/>
  <c r="I91" i="1"/>
  <c r="Q91" i="1" s="1"/>
  <c r="I89" i="1"/>
  <c r="Q89" i="1" s="1"/>
  <c r="I87" i="1"/>
  <c r="Q87" i="1" s="1"/>
  <c r="I85" i="1"/>
  <c r="Q85" i="1" s="1"/>
  <c r="I83" i="1"/>
  <c r="Q83" i="1" s="1"/>
  <c r="I81" i="1"/>
  <c r="I82" i="4" s="1"/>
  <c r="I79" i="1"/>
  <c r="Q79" i="1" s="1"/>
  <c r="I77" i="1"/>
  <c r="Q77" i="1" s="1"/>
  <c r="I75" i="1"/>
  <c r="Q75" i="1" s="1"/>
  <c r="I73" i="1"/>
  <c r="Q73" i="1" s="1"/>
  <c r="I71" i="1"/>
  <c r="Q71" i="1" s="1"/>
  <c r="I69" i="1"/>
  <c r="I70" i="4" s="1"/>
  <c r="I67" i="1"/>
  <c r="Q67" i="1" s="1"/>
  <c r="I65" i="1"/>
  <c r="Q65" i="1" s="1"/>
  <c r="I63" i="1"/>
  <c r="I64" i="4" s="1"/>
  <c r="I61" i="1"/>
  <c r="Q61" i="1" s="1"/>
  <c r="I59" i="1"/>
  <c r="I60" i="4" s="1"/>
  <c r="I57" i="1"/>
  <c r="Q57" i="1" s="1"/>
  <c r="I55" i="1"/>
  <c r="Q55" i="1" s="1"/>
  <c r="I53" i="1"/>
  <c r="Q53" i="1" s="1"/>
  <c r="I51" i="1"/>
  <c r="Q51" i="1" s="1"/>
  <c r="I49" i="1"/>
  <c r="Q49" i="1" s="1"/>
  <c r="I47" i="1"/>
  <c r="P47" i="1" s="1"/>
  <c r="I45" i="1"/>
  <c r="I46" i="4" s="1"/>
  <c r="I43" i="1"/>
  <c r="P43" i="1" s="1"/>
  <c r="I41" i="1"/>
  <c r="P41" i="1" s="1"/>
  <c r="I39" i="1"/>
  <c r="I40" i="4" s="1"/>
  <c r="I37" i="1"/>
  <c r="I38" i="4" s="1"/>
  <c r="I35" i="1"/>
  <c r="I36" i="4" s="1"/>
  <c r="I33" i="1"/>
  <c r="I34" i="4" s="1"/>
  <c r="I31" i="1"/>
  <c r="I32" i="4" s="1"/>
  <c r="I29" i="1"/>
  <c r="I30" i="4" s="1"/>
  <c r="I27" i="1"/>
  <c r="I28" i="4" s="1"/>
  <c r="I25" i="1"/>
  <c r="P25" i="1" s="1"/>
  <c r="I23" i="1"/>
  <c r="P23" i="1" s="1"/>
  <c r="I21" i="1"/>
  <c r="I22" i="4" s="1"/>
  <c r="I19" i="1"/>
  <c r="I20" i="4" s="1"/>
  <c r="I17" i="1"/>
  <c r="I18" i="4" s="1"/>
  <c r="I15" i="1"/>
  <c r="I16" i="4" s="1"/>
  <c r="I13" i="1"/>
  <c r="I14" i="4" s="1"/>
  <c r="I11" i="1"/>
  <c r="I12" i="4" s="1"/>
  <c r="I9" i="1"/>
  <c r="I10" i="4" s="1"/>
  <c r="I7" i="1"/>
  <c r="I8" i="4" s="1"/>
  <c r="I6" i="1"/>
  <c r="P6" i="1" s="1"/>
  <c r="M6" i="1" s="1"/>
  <c r="M7" i="4" s="1"/>
  <c r="L7" i="4"/>
  <c r="N7" i="4"/>
  <c r="K7" i="4"/>
  <c r="J7" i="4"/>
  <c r="F7" i="4"/>
  <c r="Q205" i="4"/>
  <c r="P205" i="4"/>
  <c r="O205" i="4"/>
  <c r="M205" i="4"/>
  <c r="L205" i="4"/>
  <c r="N205" i="4"/>
  <c r="K205" i="4"/>
  <c r="J205" i="4"/>
  <c r="I205" i="4"/>
  <c r="H205" i="4"/>
  <c r="G205" i="4"/>
  <c r="F205" i="4"/>
  <c r="O203" i="4"/>
  <c r="Q203" i="4"/>
  <c r="P203" i="4"/>
  <c r="M203" i="4"/>
  <c r="L203" i="4"/>
  <c r="N203" i="4"/>
  <c r="K203" i="4"/>
  <c r="J203" i="4"/>
  <c r="I203" i="4"/>
  <c r="H203" i="4"/>
  <c r="G203" i="4"/>
  <c r="F203" i="4"/>
  <c r="Q201" i="4"/>
  <c r="P201" i="4"/>
  <c r="O201" i="4"/>
  <c r="M201" i="4"/>
  <c r="L201" i="4"/>
  <c r="N201" i="4"/>
  <c r="K201" i="4"/>
  <c r="J201" i="4"/>
  <c r="I201" i="4"/>
  <c r="H201" i="4"/>
  <c r="G201" i="4"/>
  <c r="F201" i="4"/>
  <c r="O199" i="4"/>
  <c r="Q199" i="4"/>
  <c r="P199" i="4"/>
  <c r="M199" i="4"/>
  <c r="L199" i="4"/>
  <c r="N199" i="4"/>
  <c r="K199" i="4"/>
  <c r="J199" i="4"/>
  <c r="I199" i="4"/>
  <c r="H199" i="4"/>
  <c r="G199" i="4"/>
  <c r="F199" i="4"/>
  <c r="Q197" i="4"/>
  <c r="P197" i="4"/>
  <c r="O197" i="4"/>
  <c r="M197" i="4"/>
  <c r="L197" i="4"/>
  <c r="N197" i="4"/>
  <c r="K197" i="4"/>
  <c r="J197" i="4"/>
  <c r="I197" i="4"/>
  <c r="H197" i="4"/>
  <c r="G197" i="4"/>
  <c r="F197" i="4"/>
  <c r="O195" i="4"/>
  <c r="Q195" i="4"/>
  <c r="P195" i="4"/>
  <c r="M195" i="4"/>
  <c r="L195" i="4"/>
  <c r="N195" i="4"/>
  <c r="K195" i="4"/>
  <c r="J195" i="4"/>
  <c r="I195" i="4"/>
  <c r="H195" i="4"/>
  <c r="G195" i="4"/>
  <c r="F195" i="4"/>
  <c r="Q193" i="4"/>
  <c r="P193" i="4"/>
  <c r="O193" i="4"/>
  <c r="M193" i="4"/>
  <c r="L193" i="4"/>
  <c r="N193" i="4"/>
  <c r="K193" i="4"/>
  <c r="J193" i="4"/>
  <c r="I193" i="4"/>
  <c r="H193" i="4"/>
  <c r="G193" i="4"/>
  <c r="F193" i="4"/>
  <c r="O191" i="4"/>
  <c r="Q191" i="4"/>
  <c r="P191" i="4"/>
  <c r="M191" i="4"/>
  <c r="L191" i="4"/>
  <c r="N191" i="4"/>
  <c r="K191" i="4"/>
  <c r="J191" i="4"/>
  <c r="I191" i="4"/>
  <c r="H191" i="4"/>
  <c r="G191" i="4"/>
  <c r="F191" i="4"/>
  <c r="Q189" i="4"/>
  <c r="P189" i="4"/>
  <c r="O189" i="4"/>
  <c r="M189" i="4"/>
  <c r="L189" i="4"/>
  <c r="N189" i="4"/>
  <c r="K189" i="4"/>
  <c r="J189" i="4"/>
  <c r="I189" i="4"/>
  <c r="H189" i="4"/>
  <c r="G189" i="4"/>
  <c r="F189" i="4"/>
  <c r="O187" i="4"/>
  <c r="Q187" i="4"/>
  <c r="P187" i="4"/>
  <c r="M187" i="4"/>
  <c r="L187" i="4"/>
  <c r="N187" i="4"/>
  <c r="K187" i="4"/>
  <c r="J187" i="4"/>
  <c r="I187" i="4"/>
  <c r="H187" i="4"/>
  <c r="G187" i="4"/>
  <c r="F187" i="4"/>
  <c r="Q185" i="4"/>
  <c r="P185" i="4"/>
  <c r="O185" i="4"/>
  <c r="M185" i="4"/>
  <c r="L185" i="4"/>
  <c r="N185" i="4"/>
  <c r="K185" i="4"/>
  <c r="J185" i="4"/>
  <c r="I185" i="4"/>
  <c r="H185" i="4"/>
  <c r="G185" i="4"/>
  <c r="F185" i="4"/>
  <c r="O183" i="4"/>
  <c r="Q183" i="4"/>
  <c r="P183" i="4"/>
  <c r="M183" i="4"/>
  <c r="L183" i="4"/>
  <c r="N183" i="4"/>
  <c r="K183" i="4"/>
  <c r="J183" i="4"/>
  <c r="I183" i="4"/>
  <c r="H183" i="4"/>
  <c r="G183" i="4"/>
  <c r="F183" i="4"/>
  <c r="Q181" i="4"/>
  <c r="P181" i="4"/>
  <c r="O181" i="4"/>
  <c r="N181" i="4"/>
  <c r="M181" i="4"/>
  <c r="L181" i="4"/>
  <c r="K181" i="4"/>
  <c r="J181" i="4"/>
  <c r="I181" i="4"/>
  <c r="H181" i="4"/>
  <c r="G181" i="4"/>
  <c r="F181" i="4"/>
  <c r="O179" i="4"/>
  <c r="N179" i="4"/>
  <c r="Q179" i="4"/>
  <c r="P179" i="4"/>
  <c r="M179" i="4"/>
  <c r="L179" i="4"/>
  <c r="K179" i="4"/>
  <c r="J179" i="4"/>
  <c r="I179" i="4"/>
  <c r="H179" i="4"/>
  <c r="G179" i="4"/>
  <c r="F179" i="4"/>
  <c r="Q177" i="4"/>
  <c r="P177" i="4"/>
  <c r="O177" i="4"/>
  <c r="N177" i="4"/>
  <c r="M177" i="4"/>
  <c r="L177" i="4"/>
  <c r="K177" i="4"/>
  <c r="J177" i="4"/>
  <c r="I177" i="4"/>
  <c r="H177" i="4"/>
  <c r="G177" i="4"/>
  <c r="F177" i="4"/>
  <c r="O175" i="4"/>
  <c r="N175" i="4"/>
  <c r="Q175" i="4"/>
  <c r="P175" i="4"/>
  <c r="M175" i="4"/>
  <c r="L175" i="4"/>
  <c r="K175" i="4"/>
  <c r="J175" i="4"/>
  <c r="I175" i="4"/>
  <c r="H175" i="4"/>
  <c r="G175" i="4"/>
  <c r="F175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N171" i="4"/>
  <c r="Q171" i="4"/>
  <c r="P171" i="4"/>
  <c r="O171" i="4"/>
  <c r="M171" i="4"/>
  <c r="L171" i="4"/>
  <c r="K171" i="4"/>
  <c r="J171" i="4"/>
  <c r="I171" i="4"/>
  <c r="H171" i="4"/>
  <c r="G171" i="4"/>
  <c r="F171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N167" i="4"/>
  <c r="Q167" i="4"/>
  <c r="P167" i="4"/>
  <c r="O167" i="4"/>
  <c r="M167" i="4"/>
  <c r="L167" i="4"/>
  <c r="K167" i="4"/>
  <c r="J167" i="4"/>
  <c r="I167" i="4"/>
  <c r="H167" i="4"/>
  <c r="G167" i="4"/>
  <c r="F167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N163" i="4"/>
  <c r="Q163" i="4"/>
  <c r="P163" i="4"/>
  <c r="O163" i="4"/>
  <c r="M163" i="4"/>
  <c r="L163" i="4"/>
  <c r="K163" i="4"/>
  <c r="J163" i="4"/>
  <c r="I163" i="4"/>
  <c r="H163" i="4"/>
  <c r="G163" i="4"/>
  <c r="F163" i="4"/>
  <c r="Q161" i="4"/>
  <c r="P161" i="4"/>
  <c r="O161" i="4"/>
  <c r="N161" i="4"/>
  <c r="M161" i="4"/>
  <c r="L161" i="4"/>
  <c r="K161" i="4"/>
  <c r="J161" i="4"/>
  <c r="I161" i="4"/>
  <c r="H161" i="4"/>
  <c r="G161" i="4"/>
  <c r="F161" i="4"/>
  <c r="N159" i="4"/>
  <c r="Q159" i="4"/>
  <c r="P159" i="4"/>
  <c r="O159" i="4"/>
  <c r="M159" i="4"/>
  <c r="L159" i="4"/>
  <c r="K159" i="4"/>
  <c r="J159" i="4"/>
  <c r="I159" i="4"/>
  <c r="H159" i="4"/>
  <c r="G159" i="4"/>
  <c r="F159" i="4"/>
  <c r="Q157" i="4"/>
  <c r="P157" i="4"/>
  <c r="O157" i="4"/>
  <c r="N157" i="4"/>
  <c r="M157" i="4"/>
  <c r="L157" i="4"/>
  <c r="K157" i="4"/>
  <c r="E157" i="4"/>
  <c r="J157" i="4"/>
  <c r="I157" i="4"/>
  <c r="H157" i="4"/>
  <c r="G157" i="4"/>
  <c r="F157" i="4"/>
  <c r="N155" i="4"/>
  <c r="Q155" i="4"/>
  <c r="P155" i="4"/>
  <c r="O155" i="4"/>
  <c r="M155" i="4"/>
  <c r="L155" i="4"/>
  <c r="K155" i="4"/>
  <c r="J155" i="4"/>
  <c r="E155" i="4"/>
  <c r="I155" i="4"/>
  <c r="H155" i="4"/>
  <c r="G155" i="4"/>
  <c r="F155" i="4"/>
  <c r="Q153" i="4"/>
  <c r="P153" i="4"/>
  <c r="O153" i="4"/>
  <c r="N153" i="4"/>
  <c r="M153" i="4"/>
  <c r="L153" i="4"/>
  <c r="K153" i="4"/>
  <c r="E153" i="4"/>
  <c r="J153" i="4"/>
  <c r="I153" i="4"/>
  <c r="H153" i="4"/>
  <c r="G153" i="4"/>
  <c r="F153" i="4"/>
  <c r="N151" i="4"/>
  <c r="Q151" i="4"/>
  <c r="P151" i="4"/>
  <c r="O151" i="4"/>
  <c r="M151" i="4"/>
  <c r="L151" i="4"/>
  <c r="K151" i="4"/>
  <c r="J151" i="4"/>
  <c r="E151" i="4"/>
  <c r="I151" i="4"/>
  <c r="H151" i="4"/>
  <c r="G151" i="4"/>
  <c r="F151" i="4"/>
  <c r="Q149" i="4"/>
  <c r="P149" i="4"/>
  <c r="O149" i="4"/>
  <c r="N149" i="4"/>
  <c r="M149" i="4"/>
  <c r="L149" i="4"/>
  <c r="K149" i="4"/>
  <c r="E149" i="4"/>
  <c r="J149" i="4"/>
  <c r="I149" i="4"/>
  <c r="H149" i="4"/>
  <c r="G149" i="4"/>
  <c r="F149" i="4"/>
  <c r="N147" i="4"/>
  <c r="Q147" i="4"/>
  <c r="P147" i="4"/>
  <c r="O147" i="4"/>
  <c r="M147" i="4"/>
  <c r="L147" i="4"/>
  <c r="K147" i="4"/>
  <c r="J147" i="4"/>
  <c r="E147" i="4"/>
  <c r="I147" i="4"/>
  <c r="H147" i="4"/>
  <c r="G147" i="4"/>
  <c r="F147" i="4"/>
  <c r="Q145" i="4"/>
  <c r="P145" i="4"/>
  <c r="O145" i="4"/>
  <c r="N145" i="4"/>
  <c r="M145" i="4"/>
  <c r="L145" i="4"/>
  <c r="K145" i="4"/>
  <c r="I145" i="4"/>
  <c r="E145" i="4"/>
  <c r="J145" i="4"/>
  <c r="H145" i="4"/>
  <c r="G145" i="4"/>
  <c r="F145" i="4"/>
  <c r="N143" i="4"/>
  <c r="Q143" i="4"/>
  <c r="P143" i="4"/>
  <c r="O143" i="4"/>
  <c r="M143" i="4"/>
  <c r="L143" i="4"/>
  <c r="J143" i="4"/>
  <c r="K143" i="4"/>
  <c r="I143" i="4"/>
  <c r="E143" i="4"/>
  <c r="H143" i="4"/>
  <c r="G143" i="4"/>
  <c r="F143" i="4"/>
  <c r="Q141" i="4"/>
  <c r="P141" i="4"/>
  <c r="O141" i="4"/>
  <c r="N141" i="4"/>
  <c r="M141" i="4"/>
  <c r="L141" i="4"/>
  <c r="J141" i="4"/>
  <c r="K141" i="4"/>
  <c r="I141" i="4"/>
  <c r="E141" i="4"/>
  <c r="H141" i="4"/>
  <c r="G141" i="4"/>
  <c r="F141" i="4"/>
  <c r="N139" i="4"/>
  <c r="Q139" i="4"/>
  <c r="P139" i="4"/>
  <c r="O139" i="4"/>
  <c r="M139" i="4"/>
  <c r="L139" i="4"/>
  <c r="J139" i="4"/>
  <c r="K139" i="4"/>
  <c r="I139" i="4"/>
  <c r="E139" i="4"/>
  <c r="H139" i="4"/>
  <c r="G139" i="4"/>
  <c r="F139" i="4"/>
  <c r="N17" i="4"/>
  <c r="K17" i="4"/>
  <c r="L17" i="4"/>
  <c r="J17" i="4"/>
  <c r="F17" i="4"/>
  <c r="E17" i="4"/>
  <c r="N15" i="4"/>
  <c r="K15" i="4"/>
  <c r="L15" i="4"/>
  <c r="J15" i="4"/>
  <c r="F15" i="4"/>
  <c r="E15" i="4"/>
  <c r="N13" i="4"/>
  <c r="K13" i="4"/>
  <c r="L13" i="4"/>
  <c r="J13" i="4"/>
  <c r="F13" i="4"/>
  <c r="E13" i="4"/>
  <c r="N11" i="4"/>
  <c r="K11" i="4"/>
  <c r="L11" i="4"/>
  <c r="J11" i="4"/>
  <c r="F11" i="4"/>
  <c r="E11" i="4"/>
  <c r="N9" i="4"/>
  <c r="K9" i="4"/>
  <c r="L9" i="4"/>
  <c r="J9" i="4"/>
  <c r="F9" i="4"/>
  <c r="E9" i="4"/>
  <c r="C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C151" i="4"/>
  <c r="C149" i="4"/>
  <c r="C147" i="4"/>
  <c r="C145" i="4"/>
  <c r="C143" i="4"/>
  <c r="C141" i="4"/>
  <c r="C139" i="4"/>
  <c r="D17" i="4"/>
  <c r="D15" i="4"/>
  <c r="D13" i="4"/>
  <c r="D11" i="4"/>
  <c r="D9" i="4"/>
  <c r="E7" i="4"/>
  <c r="E205" i="4"/>
  <c r="E203" i="4"/>
  <c r="E201" i="4"/>
  <c r="E199" i="4"/>
  <c r="E197" i="4"/>
  <c r="E195" i="4"/>
  <c r="E193" i="4"/>
  <c r="E191" i="4"/>
  <c r="E189" i="4"/>
  <c r="E187" i="4"/>
  <c r="E185" i="4"/>
  <c r="E183" i="4"/>
  <c r="E181" i="4"/>
  <c r="E179" i="4"/>
  <c r="E177" i="4"/>
  <c r="E175" i="4"/>
  <c r="E173" i="4"/>
  <c r="E171" i="4"/>
  <c r="E169" i="4"/>
  <c r="E167" i="4"/>
  <c r="E165" i="4"/>
  <c r="E163" i="4"/>
  <c r="E161" i="4"/>
  <c r="E159" i="4"/>
  <c r="Q206" i="4"/>
  <c r="P206" i="4"/>
  <c r="O206" i="4"/>
  <c r="N206" i="4"/>
  <c r="K206" i="4"/>
  <c r="M206" i="4"/>
  <c r="L206" i="4"/>
  <c r="J206" i="4"/>
  <c r="I206" i="4"/>
  <c r="H206" i="4"/>
  <c r="G206" i="4"/>
  <c r="F206" i="4"/>
  <c r="Q204" i="4"/>
  <c r="P204" i="4"/>
  <c r="O204" i="4"/>
  <c r="N204" i="4"/>
  <c r="K204" i="4"/>
  <c r="M204" i="4"/>
  <c r="L204" i="4"/>
  <c r="J204" i="4"/>
  <c r="I204" i="4"/>
  <c r="H204" i="4"/>
  <c r="G204" i="4"/>
  <c r="F204" i="4"/>
  <c r="Q202" i="4"/>
  <c r="P202" i="4"/>
  <c r="O202" i="4"/>
  <c r="N202" i="4"/>
  <c r="K202" i="4"/>
  <c r="M202" i="4"/>
  <c r="L202" i="4"/>
  <c r="J202" i="4"/>
  <c r="I202" i="4"/>
  <c r="H202" i="4"/>
  <c r="G202" i="4"/>
  <c r="F202" i="4"/>
  <c r="Q200" i="4"/>
  <c r="P200" i="4"/>
  <c r="O200" i="4"/>
  <c r="N200" i="4"/>
  <c r="K200" i="4"/>
  <c r="M200" i="4"/>
  <c r="L200" i="4"/>
  <c r="J200" i="4"/>
  <c r="I200" i="4"/>
  <c r="H200" i="4"/>
  <c r="G200" i="4"/>
  <c r="F200" i="4"/>
  <c r="Q198" i="4"/>
  <c r="P198" i="4"/>
  <c r="O198" i="4"/>
  <c r="N198" i="4"/>
  <c r="K198" i="4"/>
  <c r="M198" i="4"/>
  <c r="L198" i="4"/>
  <c r="J198" i="4"/>
  <c r="I198" i="4"/>
  <c r="H198" i="4"/>
  <c r="G198" i="4"/>
  <c r="F198" i="4"/>
  <c r="Q196" i="4"/>
  <c r="P196" i="4"/>
  <c r="O196" i="4"/>
  <c r="N196" i="4"/>
  <c r="K196" i="4"/>
  <c r="M196" i="4"/>
  <c r="L196" i="4"/>
  <c r="J196" i="4"/>
  <c r="I196" i="4"/>
  <c r="H196" i="4"/>
  <c r="G196" i="4"/>
  <c r="F196" i="4"/>
  <c r="Q194" i="4"/>
  <c r="P194" i="4"/>
  <c r="O194" i="4"/>
  <c r="N194" i="4"/>
  <c r="K194" i="4"/>
  <c r="M194" i="4"/>
  <c r="L194" i="4"/>
  <c r="J194" i="4"/>
  <c r="I194" i="4"/>
  <c r="H194" i="4"/>
  <c r="G194" i="4"/>
  <c r="F194" i="4"/>
  <c r="Q192" i="4"/>
  <c r="P192" i="4"/>
  <c r="O192" i="4"/>
  <c r="N192" i="4"/>
  <c r="K192" i="4"/>
  <c r="M192" i="4"/>
  <c r="L192" i="4"/>
  <c r="J192" i="4"/>
  <c r="I192" i="4"/>
  <c r="H192" i="4"/>
  <c r="G192" i="4"/>
  <c r="F192" i="4"/>
  <c r="Q190" i="4"/>
  <c r="P190" i="4"/>
  <c r="O190" i="4"/>
  <c r="N190" i="4"/>
  <c r="K190" i="4"/>
  <c r="M190" i="4"/>
  <c r="L190" i="4"/>
  <c r="J190" i="4"/>
  <c r="I190" i="4"/>
  <c r="H190" i="4"/>
  <c r="G190" i="4"/>
  <c r="F190" i="4"/>
  <c r="Q188" i="4"/>
  <c r="P188" i="4"/>
  <c r="O188" i="4"/>
  <c r="N188" i="4"/>
  <c r="K188" i="4"/>
  <c r="M188" i="4"/>
  <c r="L188" i="4"/>
  <c r="J188" i="4"/>
  <c r="I188" i="4"/>
  <c r="H188" i="4"/>
  <c r="G188" i="4"/>
  <c r="F188" i="4"/>
  <c r="Q186" i="4"/>
  <c r="P186" i="4"/>
  <c r="O186" i="4"/>
  <c r="N186" i="4"/>
  <c r="K186" i="4"/>
  <c r="M186" i="4"/>
  <c r="L186" i="4"/>
  <c r="J186" i="4"/>
  <c r="I186" i="4"/>
  <c r="H186" i="4"/>
  <c r="G186" i="4"/>
  <c r="F186" i="4"/>
  <c r="Q184" i="4"/>
  <c r="P184" i="4"/>
  <c r="O184" i="4"/>
  <c r="N184" i="4"/>
  <c r="K184" i="4"/>
  <c r="M184" i="4"/>
  <c r="L184" i="4"/>
  <c r="J184" i="4"/>
  <c r="I184" i="4"/>
  <c r="H184" i="4"/>
  <c r="G184" i="4"/>
  <c r="F184" i="4"/>
  <c r="Q182" i="4"/>
  <c r="P182" i="4"/>
  <c r="O182" i="4"/>
  <c r="N182" i="4"/>
  <c r="K182" i="4"/>
  <c r="M182" i="4"/>
  <c r="L182" i="4"/>
  <c r="J182" i="4"/>
  <c r="I182" i="4"/>
  <c r="H182" i="4"/>
  <c r="G182" i="4"/>
  <c r="F182" i="4"/>
  <c r="Q180" i="4"/>
  <c r="P180" i="4"/>
  <c r="O180" i="4"/>
  <c r="K180" i="4"/>
  <c r="N180" i="4"/>
  <c r="M180" i="4"/>
  <c r="L180" i="4"/>
  <c r="J180" i="4"/>
  <c r="I180" i="4"/>
  <c r="H180" i="4"/>
  <c r="G180" i="4"/>
  <c r="F180" i="4"/>
  <c r="Q178" i="4"/>
  <c r="P178" i="4"/>
  <c r="O178" i="4"/>
  <c r="N178" i="4"/>
  <c r="K178" i="4"/>
  <c r="M178" i="4"/>
  <c r="L178" i="4"/>
  <c r="J178" i="4"/>
  <c r="I178" i="4"/>
  <c r="H178" i="4"/>
  <c r="G178" i="4"/>
  <c r="F178" i="4"/>
  <c r="Q176" i="4"/>
  <c r="P176" i="4"/>
  <c r="O176" i="4"/>
  <c r="N176" i="4"/>
  <c r="K176" i="4"/>
  <c r="M176" i="4"/>
  <c r="L176" i="4"/>
  <c r="J176" i="4"/>
  <c r="I176" i="4"/>
  <c r="H176" i="4"/>
  <c r="G176" i="4"/>
  <c r="F176" i="4"/>
  <c r="Q174" i="4"/>
  <c r="P174" i="4"/>
  <c r="O174" i="4"/>
  <c r="N174" i="4"/>
  <c r="K174" i="4"/>
  <c r="M174" i="4"/>
  <c r="L174" i="4"/>
  <c r="J174" i="4"/>
  <c r="I174" i="4"/>
  <c r="H174" i="4"/>
  <c r="G174" i="4"/>
  <c r="F174" i="4"/>
  <c r="Q172" i="4"/>
  <c r="P172" i="4"/>
  <c r="O172" i="4"/>
  <c r="N172" i="4"/>
  <c r="K172" i="4"/>
  <c r="M172" i="4"/>
  <c r="L172" i="4"/>
  <c r="J172" i="4"/>
  <c r="I172" i="4"/>
  <c r="H172" i="4"/>
  <c r="G172" i="4"/>
  <c r="F172" i="4"/>
  <c r="Q170" i="4"/>
  <c r="P170" i="4"/>
  <c r="O170" i="4"/>
  <c r="N170" i="4"/>
  <c r="K170" i="4"/>
  <c r="M170" i="4"/>
  <c r="L170" i="4"/>
  <c r="J170" i="4"/>
  <c r="I170" i="4"/>
  <c r="H170" i="4"/>
  <c r="G170" i="4"/>
  <c r="F170" i="4"/>
  <c r="Q168" i="4"/>
  <c r="P168" i="4"/>
  <c r="O168" i="4"/>
  <c r="N168" i="4"/>
  <c r="K168" i="4"/>
  <c r="M168" i="4"/>
  <c r="L168" i="4"/>
  <c r="J168" i="4"/>
  <c r="I168" i="4"/>
  <c r="H168" i="4"/>
  <c r="G168" i="4"/>
  <c r="F168" i="4"/>
  <c r="Q166" i="4"/>
  <c r="P166" i="4"/>
  <c r="O166" i="4"/>
  <c r="N166" i="4"/>
  <c r="K166" i="4"/>
  <c r="M166" i="4"/>
  <c r="L166" i="4"/>
  <c r="J166" i="4"/>
  <c r="I166" i="4"/>
  <c r="H166" i="4"/>
  <c r="G166" i="4"/>
  <c r="F166" i="4"/>
  <c r="Q164" i="4"/>
  <c r="P164" i="4"/>
  <c r="O164" i="4"/>
  <c r="N164" i="4"/>
  <c r="K164" i="4"/>
  <c r="M164" i="4"/>
  <c r="L164" i="4"/>
  <c r="J164" i="4"/>
  <c r="I164" i="4"/>
  <c r="H164" i="4"/>
  <c r="G164" i="4"/>
  <c r="F164" i="4"/>
  <c r="Q162" i="4"/>
  <c r="P162" i="4"/>
  <c r="O162" i="4"/>
  <c r="N162" i="4"/>
  <c r="K162" i="4"/>
  <c r="M162" i="4"/>
  <c r="L162" i="4"/>
  <c r="J162" i="4"/>
  <c r="I162" i="4"/>
  <c r="H162" i="4"/>
  <c r="G162" i="4"/>
  <c r="F162" i="4"/>
  <c r="Q160" i="4"/>
  <c r="P160" i="4"/>
  <c r="O160" i="4"/>
  <c r="N160" i="4"/>
  <c r="K160" i="4"/>
  <c r="M160" i="4"/>
  <c r="L160" i="4"/>
  <c r="J160" i="4"/>
  <c r="I160" i="4"/>
  <c r="H160" i="4"/>
  <c r="G160" i="4"/>
  <c r="F160" i="4"/>
  <c r="Q158" i="4"/>
  <c r="P158" i="4"/>
  <c r="O158" i="4"/>
  <c r="N158" i="4"/>
  <c r="K158" i="4"/>
  <c r="M158" i="4"/>
  <c r="L158" i="4"/>
  <c r="J158" i="4"/>
  <c r="I158" i="4"/>
  <c r="H158" i="4"/>
  <c r="G158" i="4"/>
  <c r="F158" i="4"/>
  <c r="E158" i="4"/>
  <c r="Q156" i="4"/>
  <c r="P156" i="4"/>
  <c r="O156" i="4"/>
  <c r="N156" i="4"/>
  <c r="K156" i="4"/>
  <c r="M156" i="4"/>
  <c r="L156" i="4"/>
  <c r="J156" i="4"/>
  <c r="I156" i="4"/>
  <c r="H156" i="4"/>
  <c r="G156" i="4"/>
  <c r="F156" i="4"/>
  <c r="E156" i="4"/>
  <c r="Q154" i="4"/>
  <c r="P154" i="4"/>
  <c r="O154" i="4"/>
  <c r="N154" i="4"/>
  <c r="K154" i="4"/>
  <c r="M154" i="4"/>
  <c r="L154" i="4"/>
  <c r="J154" i="4"/>
  <c r="I154" i="4"/>
  <c r="H154" i="4"/>
  <c r="G154" i="4"/>
  <c r="F154" i="4"/>
  <c r="E154" i="4"/>
  <c r="Q152" i="4"/>
  <c r="P152" i="4"/>
  <c r="O152" i="4"/>
  <c r="N152" i="4"/>
  <c r="K152" i="4"/>
  <c r="M152" i="4"/>
  <c r="L152" i="4"/>
  <c r="J152" i="4"/>
  <c r="I152" i="4"/>
  <c r="H152" i="4"/>
  <c r="G152" i="4"/>
  <c r="F152" i="4"/>
  <c r="E152" i="4"/>
  <c r="Q150" i="4"/>
  <c r="P150" i="4"/>
  <c r="O150" i="4"/>
  <c r="N150" i="4"/>
  <c r="K150" i="4"/>
  <c r="M150" i="4"/>
  <c r="L150" i="4"/>
  <c r="J150" i="4"/>
  <c r="I150" i="4"/>
  <c r="H150" i="4"/>
  <c r="G150" i="4"/>
  <c r="F150" i="4"/>
  <c r="E150" i="4"/>
  <c r="Q148" i="4"/>
  <c r="P148" i="4"/>
  <c r="O148" i="4"/>
  <c r="N148" i="4"/>
  <c r="K148" i="4"/>
  <c r="M148" i="4"/>
  <c r="L148" i="4"/>
  <c r="J148" i="4"/>
  <c r="I148" i="4"/>
  <c r="H148" i="4"/>
  <c r="G148" i="4"/>
  <c r="F148" i="4"/>
  <c r="E148" i="4"/>
  <c r="Q146" i="4"/>
  <c r="P146" i="4"/>
  <c r="O146" i="4"/>
  <c r="N146" i="4"/>
  <c r="K146" i="4"/>
  <c r="M146" i="4"/>
  <c r="L146" i="4"/>
  <c r="J146" i="4"/>
  <c r="I146" i="4"/>
  <c r="H146" i="4"/>
  <c r="G146" i="4"/>
  <c r="F146" i="4"/>
  <c r="E146" i="4"/>
  <c r="Q144" i="4"/>
  <c r="P144" i="4"/>
  <c r="O144" i="4"/>
  <c r="N144" i="4"/>
  <c r="K144" i="4"/>
  <c r="M144" i="4"/>
  <c r="L144" i="4"/>
  <c r="J144" i="4"/>
  <c r="H144" i="4"/>
  <c r="G144" i="4"/>
  <c r="F144" i="4"/>
  <c r="I144" i="4"/>
  <c r="E144" i="4"/>
  <c r="Q142" i="4"/>
  <c r="P142" i="4"/>
  <c r="O142" i="4"/>
  <c r="N142" i="4"/>
  <c r="K142" i="4"/>
  <c r="M142" i="4"/>
  <c r="L142" i="4"/>
  <c r="J142" i="4"/>
  <c r="I142" i="4"/>
  <c r="H142" i="4"/>
  <c r="G142" i="4"/>
  <c r="F142" i="4"/>
  <c r="E142" i="4"/>
  <c r="Q140" i="4"/>
  <c r="P140" i="4"/>
  <c r="O140" i="4"/>
  <c r="N140" i="4"/>
  <c r="K140" i="4"/>
  <c r="M140" i="4"/>
  <c r="L140" i="4"/>
  <c r="J140" i="4"/>
  <c r="H140" i="4"/>
  <c r="G140" i="4"/>
  <c r="F140" i="4"/>
  <c r="I140" i="4"/>
  <c r="E140" i="4"/>
  <c r="N16" i="4"/>
  <c r="L16" i="4"/>
  <c r="J16" i="4"/>
  <c r="K16" i="4"/>
  <c r="E16" i="4"/>
  <c r="F16" i="4"/>
  <c r="N14" i="4"/>
  <c r="L14" i="4"/>
  <c r="J14" i="4"/>
  <c r="K14" i="4"/>
  <c r="E14" i="4"/>
  <c r="F14" i="4"/>
  <c r="N12" i="4"/>
  <c r="L12" i="4"/>
  <c r="J12" i="4"/>
  <c r="K12" i="4"/>
  <c r="E12" i="4"/>
  <c r="F12" i="4"/>
  <c r="N10" i="4"/>
  <c r="L10" i="4"/>
  <c r="J10" i="4"/>
  <c r="K10" i="4"/>
  <c r="E10" i="4"/>
  <c r="F10" i="4"/>
  <c r="N8" i="4"/>
  <c r="L8" i="4"/>
  <c r="J8" i="4"/>
  <c r="K8" i="4"/>
  <c r="E8" i="4"/>
  <c r="F8" i="4"/>
  <c r="C206" i="4"/>
  <c r="C204" i="4"/>
  <c r="C202" i="4"/>
  <c r="C200" i="4"/>
  <c r="C198" i="4"/>
  <c r="C196" i="4"/>
  <c r="C194" i="4"/>
  <c r="C192" i="4"/>
  <c r="C190" i="4"/>
  <c r="C188" i="4"/>
  <c r="C186" i="4"/>
  <c r="C184" i="4"/>
  <c r="C182" i="4"/>
  <c r="C180" i="4"/>
  <c r="C178" i="4"/>
  <c r="C176" i="4"/>
  <c r="C174" i="4"/>
  <c r="C172" i="4"/>
  <c r="C170" i="4"/>
  <c r="C168" i="4"/>
  <c r="C166" i="4"/>
  <c r="C164" i="4"/>
  <c r="C162" i="4"/>
  <c r="C160" i="4"/>
  <c r="C158" i="4"/>
  <c r="C156" i="4"/>
  <c r="C154" i="4"/>
  <c r="C152" i="4"/>
  <c r="C150" i="4"/>
  <c r="C148" i="4"/>
  <c r="C146" i="4"/>
  <c r="C144" i="4"/>
  <c r="C142" i="4"/>
  <c r="C140" i="4"/>
  <c r="C17" i="4"/>
  <c r="C15" i="4"/>
  <c r="C13" i="4"/>
  <c r="C11" i="4"/>
  <c r="C9" i="4"/>
  <c r="D7" i="4"/>
  <c r="D205" i="4"/>
  <c r="D203" i="4"/>
  <c r="D201" i="4"/>
  <c r="D199" i="4"/>
  <c r="D197" i="4"/>
  <c r="D195" i="4"/>
  <c r="D193" i="4"/>
  <c r="D191" i="4"/>
  <c r="D189" i="4"/>
  <c r="D187" i="4"/>
  <c r="D185" i="4"/>
  <c r="D183" i="4"/>
  <c r="D181" i="4"/>
  <c r="D179" i="4"/>
  <c r="D177" i="4"/>
  <c r="D175" i="4"/>
  <c r="D173" i="4"/>
  <c r="D171" i="4"/>
  <c r="D169" i="4"/>
  <c r="D167" i="4"/>
  <c r="D165" i="4"/>
  <c r="D163" i="4"/>
  <c r="D161" i="4"/>
  <c r="D159" i="4"/>
  <c r="D157" i="4"/>
  <c r="D155" i="4"/>
  <c r="D153" i="4"/>
  <c r="D151" i="4"/>
  <c r="D149" i="4"/>
  <c r="D147" i="4"/>
  <c r="D145" i="4"/>
  <c r="D143" i="4"/>
  <c r="D141" i="4"/>
  <c r="D139" i="4"/>
  <c r="D16" i="4"/>
  <c r="D14" i="4"/>
  <c r="D12" i="4"/>
  <c r="D10" i="4"/>
  <c r="D8" i="4"/>
  <c r="E206" i="4"/>
  <c r="E204" i="4"/>
  <c r="E202" i="4"/>
  <c r="E200" i="4"/>
  <c r="E198" i="4"/>
  <c r="E196" i="4"/>
  <c r="E194" i="4"/>
  <c r="E192" i="4"/>
  <c r="E190" i="4"/>
  <c r="E188" i="4"/>
  <c r="E186" i="4"/>
  <c r="E184" i="4"/>
  <c r="E182" i="4"/>
  <c r="E180" i="4"/>
  <c r="E178" i="4"/>
  <c r="E176" i="4"/>
  <c r="E174" i="4"/>
  <c r="E172" i="4"/>
  <c r="E170" i="4"/>
  <c r="E168" i="4"/>
  <c r="E166" i="4"/>
  <c r="E164" i="4"/>
  <c r="E162" i="4"/>
  <c r="E160" i="4"/>
  <c r="L36" i="4"/>
  <c r="L34" i="4"/>
  <c r="N32" i="4"/>
  <c r="N37" i="4"/>
  <c r="N35" i="4"/>
  <c r="N33" i="4"/>
  <c r="N31" i="4"/>
  <c r="C137" i="4"/>
  <c r="C135" i="4"/>
  <c r="C133" i="4"/>
  <c r="D137" i="4"/>
  <c r="F135" i="4"/>
  <c r="F133" i="4"/>
  <c r="I137" i="4"/>
  <c r="I135" i="4"/>
  <c r="I133" i="4"/>
  <c r="C138" i="4"/>
  <c r="C136" i="4"/>
  <c r="C134" i="4"/>
  <c r="C132" i="4"/>
  <c r="D138" i="4"/>
  <c r="D136" i="4"/>
  <c r="D134" i="4"/>
  <c r="D132" i="4"/>
  <c r="E138" i="4"/>
  <c r="E136" i="4"/>
  <c r="E134" i="4"/>
  <c r="E132" i="4"/>
  <c r="F138" i="4"/>
  <c r="F136" i="4"/>
  <c r="F134" i="4"/>
  <c r="F132" i="4"/>
  <c r="J138" i="4"/>
  <c r="J136" i="4"/>
  <c r="J134" i="4"/>
  <c r="J132" i="4"/>
  <c r="K138" i="4"/>
  <c r="K136" i="4"/>
  <c r="K134" i="4"/>
  <c r="K132" i="4"/>
  <c r="L138" i="4"/>
  <c r="L136" i="4"/>
  <c r="L134" i="4"/>
  <c r="L132" i="4"/>
  <c r="D135" i="4"/>
  <c r="D133" i="4"/>
  <c r="E137" i="4"/>
  <c r="E135" i="4"/>
  <c r="E133" i="4"/>
  <c r="F137" i="4"/>
  <c r="J137" i="4"/>
  <c r="J135" i="4"/>
  <c r="J133" i="4"/>
  <c r="K137" i="4"/>
  <c r="K135" i="4"/>
  <c r="K133" i="4"/>
  <c r="L137" i="4"/>
  <c r="L135" i="4"/>
  <c r="L133" i="4"/>
  <c r="N130" i="4"/>
  <c r="L130" i="4"/>
  <c r="K130" i="4"/>
  <c r="J130" i="4"/>
  <c r="F130" i="4"/>
  <c r="E130" i="4"/>
  <c r="N128" i="4"/>
  <c r="L128" i="4"/>
  <c r="K128" i="4"/>
  <c r="J128" i="4"/>
  <c r="F128" i="4"/>
  <c r="E128" i="4"/>
  <c r="N126" i="4"/>
  <c r="L126" i="4"/>
  <c r="K126" i="4"/>
  <c r="J126" i="4"/>
  <c r="F126" i="4"/>
  <c r="E126" i="4"/>
  <c r="N124" i="4"/>
  <c r="L124" i="4"/>
  <c r="K124" i="4"/>
  <c r="J124" i="4"/>
  <c r="F124" i="4"/>
  <c r="E124" i="4"/>
  <c r="N122" i="4"/>
  <c r="L122" i="4"/>
  <c r="K122" i="4"/>
  <c r="J122" i="4"/>
  <c r="F122" i="4"/>
  <c r="E122" i="4"/>
  <c r="D122" i="4"/>
  <c r="N120" i="4"/>
  <c r="L120" i="4"/>
  <c r="K120" i="4"/>
  <c r="J120" i="4"/>
  <c r="F120" i="4"/>
  <c r="E120" i="4"/>
  <c r="D120" i="4"/>
  <c r="N118" i="4"/>
  <c r="L118" i="4"/>
  <c r="K118" i="4"/>
  <c r="J118" i="4"/>
  <c r="F118" i="4"/>
  <c r="E118" i="4"/>
  <c r="D118" i="4"/>
  <c r="N116" i="4"/>
  <c r="L116" i="4"/>
  <c r="K116" i="4"/>
  <c r="J116" i="4"/>
  <c r="F116" i="4"/>
  <c r="E116" i="4"/>
  <c r="D116" i="4"/>
  <c r="N114" i="4"/>
  <c r="L114" i="4"/>
  <c r="K114" i="4"/>
  <c r="J114" i="4"/>
  <c r="F114" i="4"/>
  <c r="E114" i="4"/>
  <c r="D114" i="4"/>
  <c r="N112" i="4"/>
  <c r="L112" i="4"/>
  <c r="K112" i="4"/>
  <c r="J112" i="4"/>
  <c r="F112" i="4"/>
  <c r="E112" i="4"/>
  <c r="D112" i="4"/>
  <c r="N110" i="4"/>
  <c r="L110" i="4"/>
  <c r="K110" i="4"/>
  <c r="J110" i="4"/>
  <c r="F110" i="4"/>
  <c r="E110" i="4"/>
  <c r="D110" i="4"/>
  <c r="N108" i="4"/>
  <c r="L108" i="4"/>
  <c r="K108" i="4"/>
  <c r="J108" i="4"/>
  <c r="F108" i="4"/>
  <c r="E108" i="4"/>
  <c r="D108" i="4"/>
  <c r="N106" i="4"/>
  <c r="L106" i="4"/>
  <c r="K106" i="4"/>
  <c r="J106" i="4"/>
  <c r="F106" i="4"/>
  <c r="E106" i="4"/>
  <c r="D106" i="4"/>
  <c r="N104" i="4"/>
  <c r="L104" i="4"/>
  <c r="K104" i="4"/>
  <c r="J104" i="4"/>
  <c r="F104" i="4"/>
  <c r="E104" i="4"/>
  <c r="D104" i="4"/>
  <c r="N102" i="4"/>
  <c r="L102" i="4"/>
  <c r="K102" i="4"/>
  <c r="J102" i="4"/>
  <c r="F102" i="4"/>
  <c r="E102" i="4"/>
  <c r="D102" i="4"/>
  <c r="N100" i="4"/>
  <c r="L100" i="4"/>
  <c r="K100" i="4"/>
  <c r="J100" i="4"/>
  <c r="F100" i="4"/>
  <c r="E100" i="4"/>
  <c r="D100" i="4"/>
  <c r="N98" i="4"/>
  <c r="L98" i="4"/>
  <c r="K98" i="4"/>
  <c r="J98" i="4"/>
  <c r="F98" i="4"/>
  <c r="E98" i="4"/>
  <c r="D98" i="4"/>
  <c r="N96" i="4"/>
  <c r="L96" i="4"/>
  <c r="K96" i="4"/>
  <c r="J96" i="4"/>
  <c r="F96" i="4"/>
  <c r="E96" i="4"/>
  <c r="D96" i="4"/>
  <c r="N94" i="4"/>
  <c r="L94" i="4"/>
  <c r="K94" i="4"/>
  <c r="J94" i="4"/>
  <c r="F94" i="4"/>
  <c r="E94" i="4"/>
  <c r="D94" i="4"/>
  <c r="N92" i="4"/>
  <c r="L92" i="4"/>
  <c r="K92" i="4"/>
  <c r="J92" i="4"/>
  <c r="F92" i="4"/>
  <c r="E92" i="4"/>
  <c r="D92" i="4"/>
  <c r="N90" i="4"/>
  <c r="L90" i="4"/>
  <c r="K90" i="4"/>
  <c r="J90" i="4"/>
  <c r="F90" i="4"/>
  <c r="E90" i="4"/>
  <c r="D90" i="4"/>
  <c r="N88" i="4"/>
  <c r="L88" i="4"/>
  <c r="K88" i="4"/>
  <c r="J88" i="4"/>
  <c r="F88" i="4"/>
  <c r="E88" i="4"/>
  <c r="D88" i="4"/>
  <c r="N86" i="4"/>
  <c r="L86" i="4"/>
  <c r="K86" i="4"/>
  <c r="J86" i="4"/>
  <c r="F86" i="4"/>
  <c r="E86" i="4"/>
  <c r="D86" i="4"/>
  <c r="N84" i="4"/>
  <c r="L84" i="4"/>
  <c r="K84" i="4"/>
  <c r="J84" i="4"/>
  <c r="F84" i="4"/>
  <c r="E84" i="4"/>
  <c r="D84" i="4"/>
  <c r="N82" i="4"/>
  <c r="L82" i="4"/>
  <c r="K82" i="4"/>
  <c r="J82" i="4"/>
  <c r="F82" i="4"/>
  <c r="E82" i="4"/>
  <c r="D82" i="4"/>
  <c r="N80" i="4"/>
  <c r="L80" i="4"/>
  <c r="K80" i="4"/>
  <c r="J80" i="4"/>
  <c r="F80" i="4"/>
  <c r="E80" i="4"/>
  <c r="D80" i="4"/>
  <c r="N78" i="4"/>
  <c r="L78" i="4"/>
  <c r="K78" i="4"/>
  <c r="J78" i="4"/>
  <c r="F78" i="4"/>
  <c r="E78" i="4"/>
  <c r="D78" i="4"/>
  <c r="N76" i="4"/>
  <c r="L76" i="4"/>
  <c r="K76" i="4"/>
  <c r="J76" i="4"/>
  <c r="F76" i="4"/>
  <c r="E76" i="4"/>
  <c r="D76" i="4"/>
  <c r="N74" i="4"/>
  <c r="L74" i="4"/>
  <c r="K74" i="4"/>
  <c r="J74" i="4"/>
  <c r="F74" i="4"/>
  <c r="E74" i="4"/>
  <c r="D74" i="4"/>
  <c r="N72" i="4"/>
  <c r="L72" i="4"/>
  <c r="K72" i="4"/>
  <c r="J72" i="4"/>
  <c r="F72" i="4"/>
  <c r="E72" i="4"/>
  <c r="D72" i="4"/>
  <c r="N70" i="4"/>
  <c r="L70" i="4"/>
  <c r="K70" i="4"/>
  <c r="J70" i="4"/>
  <c r="F70" i="4"/>
  <c r="E70" i="4"/>
  <c r="D70" i="4"/>
  <c r="N68" i="4"/>
  <c r="L68" i="4"/>
  <c r="K68" i="4"/>
  <c r="J68" i="4"/>
  <c r="F68" i="4"/>
  <c r="E68" i="4"/>
  <c r="D68" i="4"/>
  <c r="N66" i="4"/>
  <c r="L66" i="4"/>
  <c r="K66" i="4"/>
  <c r="J66" i="4"/>
  <c r="F66" i="4"/>
  <c r="E66" i="4"/>
  <c r="D66" i="4"/>
  <c r="N64" i="4"/>
  <c r="L64" i="4"/>
  <c r="K64" i="4"/>
  <c r="J64" i="4"/>
  <c r="F64" i="4"/>
  <c r="E64" i="4"/>
  <c r="D64" i="4"/>
  <c r="N62" i="4"/>
  <c r="L62" i="4"/>
  <c r="K62" i="4"/>
  <c r="J62" i="4"/>
  <c r="F62" i="4"/>
  <c r="E62" i="4"/>
  <c r="D62" i="4"/>
  <c r="N60" i="4"/>
  <c r="L60" i="4"/>
  <c r="K60" i="4"/>
  <c r="J60" i="4"/>
  <c r="F60" i="4"/>
  <c r="E60" i="4"/>
  <c r="D60" i="4"/>
  <c r="N58" i="4"/>
  <c r="L58" i="4"/>
  <c r="K58" i="4"/>
  <c r="J58" i="4"/>
  <c r="F58" i="4"/>
  <c r="E58" i="4"/>
  <c r="D58" i="4"/>
  <c r="N56" i="4"/>
  <c r="L56" i="4"/>
  <c r="K56" i="4"/>
  <c r="J56" i="4"/>
  <c r="F56" i="4"/>
  <c r="E56" i="4"/>
  <c r="D56" i="4"/>
  <c r="N54" i="4"/>
  <c r="L54" i="4"/>
  <c r="K54" i="4"/>
  <c r="J54" i="4"/>
  <c r="F54" i="4"/>
  <c r="E54" i="4"/>
  <c r="D54" i="4"/>
  <c r="N52" i="4"/>
  <c r="L52" i="4"/>
  <c r="K52" i="4"/>
  <c r="J52" i="4"/>
  <c r="F52" i="4"/>
  <c r="E52" i="4"/>
  <c r="D52" i="4"/>
  <c r="N50" i="4"/>
  <c r="L50" i="4"/>
  <c r="K50" i="4"/>
  <c r="J50" i="4"/>
  <c r="F50" i="4"/>
  <c r="E50" i="4"/>
  <c r="D50" i="4"/>
  <c r="N48" i="4"/>
  <c r="L48" i="4"/>
  <c r="K48" i="4"/>
  <c r="J48" i="4"/>
  <c r="F48" i="4"/>
  <c r="E48" i="4"/>
  <c r="D48" i="4"/>
  <c r="N46" i="4"/>
  <c r="L46" i="4"/>
  <c r="K46" i="4"/>
  <c r="J46" i="4"/>
  <c r="F46" i="4"/>
  <c r="E46" i="4"/>
  <c r="D46" i="4"/>
  <c r="N44" i="4"/>
  <c r="L44" i="4"/>
  <c r="K44" i="4"/>
  <c r="J44" i="4"/>
  <c r="F44" i="4"/>
  <c r="E44" i="4"/>
  <c r="D44" i="4"/>
  <c r="N42" i="4"/>
  <c r="L42" i="4"/>
  <c r="K42" i="4"/>
  <c r="J42" i="4"/>
  <c r="F42" i="4"/>
  <c r="E42" i="4"/>
  <c r="D42" i="4"/>
  <c r="N40" i="4"/>
  <c r="L40" i="4"/>
  <c r="K40" i="4"/>
  <c r="J40" i="4"/>
  <c r="F40" i="4"/>
  <c r="E40" i="4"/>
  <c r="D40" i="4"/>
  <c r="N38" i="4"/>
  <c r="L38" i="4"/>
  <c r="K38" i="4"/>
  <c r="J38" i="4"/>
  <c r="F38" i="4"/>
  <c r="E38" i="4"/>
  <c r="D38" i="4"/>
  <c r="C130" i="4"/>
  <c r="C128" i="4"/>
  <c r="C126" i="4"/>
  <c r="C124" i="4"/>
  <c r="C122" i="4"/>
  <c r="C120" i="4"/>
  <c r="C118" i="4"/>
  <c r="C116" i="4"/>
  <c r="C114" i="4"/>
  <c r="C112" i="4"/>
  <c r="C110" i="4"/>
  <c r="C108" i="4"/>
  <c r="C106" i="4"/>
  <c r="C104" i="4"/>
  <c r="C102" i="4"/>
  <c r="C100" i="4"/>
  <c r="C98" i="4"/>
  <c r="C96" i="4"/>
  <c r="C94" i="4"/>
  <c r="C92" i="4"/>
  <c r="C90" i="4"/>
  <c r="C88" i="4"/>
  <c r="C86" i="4"/>
  <c r="C84" i="4"/>
  <c r="C82" i="4"/>
  <c r="C80" i="4"/>
  <c r="C78" i="4"/>
  <c r="C76" i="4"/>
  <c r="C74" i="4"/>
  <c r="C72" i="4"/>
  <c r="C70" i="4"/>
  <c r="C68" i="4"/>
  <c r="C66" i="4"/>
  <c r="C64" i="4"/>
  <c r="C62" i="4"/>
  <c r="C60" i="4"/>
  <c r="C58" i="4"/>
  <c r="C56" i="4"/>
  <c r="C54" i="4"/>
  <c r="C52" i="4"/>
  <c r="C50" i="4"/>
  <c r="C48" i="4"/>
  <c r="C46" i="4"/>
  <c r="C44" i="4"/>
  <c r="C42" i="4"/>
  <c r="C40" i="4"/>
  <c r="C38" i="4"/>
  <c r="D130" i="4"/>
  <c r="D128" i="4"/>
  <c r="D126" i="4"/>
  <c r="D124" i="4"/>
  <c r="N131" i="4"/>
  <c r="L131" i="4"/>
  <c r="K131" i="4"/>
  <c r="J131" i="4"/>
  <c r="F131" i="4"/>
  <c r="E131" i="4"/>
  <c r="N129" i="4"/>
  <c r="L129" i="4"/>
  <c r="K129" i="4"/>
  <c r="J129" i="4"/>
  <c r="F129" i="4"/>
  <c r="E129" i="4"/>
  <c r="N127" i="4"/>
  <c r="L127" i="4"/>
  <c r="K127" i="4"/>
  <c r="J127" i="4"/>
  <c r="F127" i="4"/>
  <c r="E127" i="4"/>
  <c r="N125" i="4"/>
  <c r="L125" i="4"/>
  <c r="K125" i="4"/>
  <c r="J125" i="4"/>
  <c r="F125" i="4"/>
  <c r="E125" i="4"/>
  <c r="N123" i="4"/>
  <c r="L123" i="4"/>
  <c r="K123" i="4"/>
  <c r="J123" i="4"/>
  <c r="F123" i="4"/>
  <c r="E123" i="4"/>
  <c r="D123" i="4"/>
  <c r="N121" i="4"/>
  <c r="L121" i="4"/>
  <c r="K121" i="4"/>
  <c r="J121" i="4"/>
  <c r="F121" i="4"/>
  <c r="E121" i="4"/>
  <c r="D121" i="4"/>
  <c r="N119" i="4"/>
  <c r="L119" i="4"/>
  <c r="K119" i="4"/>
  <c r="J119" i="4"/>
  <c r="F119" i="4"/>
  <c r="E119" i="4"/>
  <c r="D119" i="4"/>
  <c r="N117" i="4"/>
  <c r="L117" i="4"/>
  <c r="K117" i="4"/>
  <c r="J117" i="4"/>
  <c r="F117" i="4"/>
  <c r="E117" i="4"/>
  <c r="D117" i="4"/>
  <c r="N115" i="4"/>
  <c r="L115" i="4"/>
  <c r="K115" i="4"/>
  <c r="J115" i="4"/>
  <c r="F115" i="4"/>
  <c r="E115" i="4"/>
  <c r="D115" i="4"/>
  <c r="N113" i="4"/>
  <c r="L113" i="4"/>
  <c r="K113" i="4"/>
  <c r="J113" i="4"/>
  <c r="F113" i="4"/>
  <c r="E113" i="4"/>
  <c r="D113" i="4"/>
  <c r="N111" i="4"/>
  <c r="L111" i="4"/>
  <c r="K111" i="4"/>
  <c r="J111" i="4"/>
  <c r="F111" i="4"/>
  <c r="E111" i="4"/>
  <c r="D111" i="4"/>
  <c r="N109" i="4"/>
  <c r="L109" i="4"/>
  <c r="K109" i="4"/>
  <c r="J109" i="4"/>
  <c r="F109" i="4"/>
  <c r="E109" i="4"/>
  <c r="D109" i="4"/>
  <c r="N107" i="4"/>
  <c r="L107" i="4"/>
  <c r="K107" i="4"/>
  <c r="J107" i="4"/>
  <c r="F107" i="4"/>
  <c r="E107" i="4"/>
  <c r="D107" i="4"/>
  <c r="N105" i="4"/>
  <c r="L105" i="4"/>
  <c r="K105" i="4"/>
  <c r="J105" i="4"/>
  <c r="F105" i="4"/>
  <c r="E105" i="4"/>
  <c r="D105" i="4"/>
  <c r="N103" i="4"/>
  <c r="L103" i="4"/>
  <c r="K103" i="4"/>
  <c r="J103" i="4"/>
  <c r="F103" i="4"/>
  <c r="E103" i="4"/>
  <c r="D103" i="4"/>
  <c r="N101" i="4"/>
  <c r="L101" i="4"/>
  <c r="K101" i="4"/>
  <c r="J101" i="4"/>
  <c r="F101" i="4"/>
  <c r="E101" i="4"/>
  <c r="D101" i="4"/>
  <c r="N99" i="4"/>
  <c r="L99" i="4"/>
  <c r="K99" i="4"/>
  <c r="J99" i="4"/>
  <c r="F99" i="4"/>
  <c r="E99" i="4"/>
  <c r="D99" i="4"/>
  <c r="N97" i="4"/>
  <c r="L97" i="4"/>
  <c r="K97" i="4"/>
  <c r="J97" i="4"/>
  <c r="F97" i="4"/>
  <c r="E97" i="4"/>
  <c r="D97" i="4"/>
  <c r="N95" i="4"/>
  <c r="L95" i="4"/>
  <c r="K95" i="4"/>
  <c r="J95" i="4"/>
  <c r="F95" i="4"/>
  <c r="E95" i="4"/>
  <c r="D95" i="4"/>
  <c r="N93" i="4"/>
  <c r="L93" i="4"/>
  <c r="K93" i="4"/>
  <c r="J93" i="4"/>
  <c r="F93" i="4"/>
  <c r="E93" i="4"/>
  <c r="D93" i="4"/>
  <c r="N91" i="4"/>
  <c r="L91" i="4"/>
  <c r="K91" i="4"/>
  <c r="J91" i="4"/>
  <c r="F91" i="4"/>
  <c r="E91" i="4"/>
  <c r="D91" i="4"/>
  <c r="N89" i="4"/>
  <c r="L89" i="4"/>
  <c r="K89" i="4"/>
  <c r="J89" i="4"/>
  <c r="F89" i="4"/>
  <c r="E89" i="4"/>
  <c r="D89" i="4"/>
  <c r="N87" i="4"/>
  <c r="L87" i="4"/>
  <c r="K87" i="4"/>
  <c r="J87" i="4"/>
  <c r="F87" i="4"/>
  <c r="E87" i="4"/>
  <c r="D87" i="4"/>
  <c r="N85" i="4"/>
  <c r="L85" i="4"/>
  <c r="K85" i="4"/>
  <c r="J85" i="4"/>
  <c r="F85" i="4"/>
  <c r="E85" i="4"/>
  <c r="D85" i="4"/>
  <c r="N83" i="4"/>
  <c r="L83" i="4"/>
  <c r="K83" i="4"/>
  <c r="J83" i="4"/>
  <c r="F83" i="4"/>
  <c r="E83" i="4"/>
  <c r="D83" i="4"/>
  <c r="N81" i="4"/>
  <c r="L81" i="4"/>
  <c r="K81" i="4"/>
  <c r="J81" i="4"/>
  <c r="F81" i="4"/>
  <c r="E81" i="4"/>
  <c r="D81" i="4"/>
  <c r="N79" i="4"/>
  <c r="L79" i="4"/>
  <c r="K79" i="4"/>
  <c r="J79" i="4"/>
  <c r="F79" i="4"/>
  <c r="E79" i="4"/>
  <c r="D79" i="4"/>
  <c r="N77" i="4"/>
  <c r="L77" i="4"/>
  <c r="K77" i="4"/>
  <c r="J77" i="4"/>
  <c r="F77" i="4"/>
  <c r="E77" i="4"/>
  <c r="D77" i="4"/>
  <c r="N75" i="4"/>
  <c r="L75" i="4"/>
  <c r="K75" i="4"/>
  <c r="J75" i="4"/>
  <c r="F75" i="4"/>
  <c r="E75" i="4"/>
  <c r="D75" i="4"/>
  <c r="N73" i="4"/>
  <c r="L73" i="4"/>
  <c r="K73" i="4"/>
  <c r="J73" i="4"/>
  <c r="F73" i="4"/>
  <c r="E73" i="4"/>
  <c r="D73" i="4"/>
  <c r="N71" i="4"/>
  <c r="L71" i="4"/>
  <c r="K71" i="4"/>
  <c r="J71" i="4"/>
  <c r="F71" i="4"/>
  <c r="E71" i="4"/>
  <c r="D71" i="4"/>
  <c r="N69" i="4"/>
  <c r="L69" i="4"/>
  <c r="K69" i="4"/>
  <c r="J69" i="4"/>
  <c r="F69" i="4"/>
  <c r="E69" i="4"/>
  <c r="D69" i="4"/>
  <c r="N67" i="4"/>
  <c r="L67" i="4"/>
  <c r="K67" i="4"/>
  <c r="J67" i="4"/>
  <c r="F67" i="4"/>
  <c r="E67" i="4"/>
  <c r="D67" i="4"/>
  <c r="N65" i="4"/>
  <c r="L65" i="4"/>
  <c r="K65" i="4"/>
  <c r="J65" i="4"/>
  <c r="F65" i="4"/>
  <c r="E65" i="4"/>
  <c r="D65" i="4"/>
  <c r="N63" i="4"/>
  <c r="L63" i="4"/>
  <c r="K63" i="4"/>
  <c r="J63" i="4"/>
  <c r="F63" i="4"/>
  <c r="E63" i="4"/>
  <c r="D63" i="4"/>
  <c r="N61" i="4"/>
  <c r="L61" i="4"/>
  <c r="K61" i="4"/>
  <c r="J61" i="4"/>
  <c r="F61" i="4"/>
  <c r="E61" i="4"/>
  <c r="D61" i="4"/>
  <c r="N59" i="4"/>
  <c r="L59" i="4"/>
  <c r="K59" i="4"/>
  <c r="J59" i="4"/>
  <c r="F59" i="4"/>
  <c r="E59" i="4"/>
  <c r="D59" i="4"/>
  <c r="N57" i="4"/>
  <c r="L57" i="4"/>
  <c r="K57" i="4"/>
  <c r="J57" i="4"/>
  <c r="F57" i="4"/>
  <c r="E57" i="4"/>
  <c r="D57" i="4"/>
  <c r="N55" i="4"/>
  <c r="L55" i="4"/>
  <c r="K55" i="4"/>
  <c r="J55" i="4"/>
  <c r="F55" i="4"/>
  <c r="E55" i="4"/>
  <c r="D55" i="4"/>
  <c r="N53" i="4"/>
  <c r="L53" i="4"/>
  <c r="K53" i="4"/>
  <c r="J53" i="4"/>
  <c r="F53" i="4"/>
  <c r="E53" i="4"/>
  <c r="D53" i="4"/>
  <c r="N51" i="4"/>
  <c r="L51" i="4"/>
  <c r="K51" i="4"/>
  <c r="J51" i="4"/>
  <c r="F51" i="4"/>
  <c r="E51" i="4"/>
  <c r="D51" i="4"/>
  <c r="N49" i="4"/>
  <c r="L49" i="4"/>
  <c r="K49" i="4"/>
  <c r="J49" i="4"/>
  <c r="F49" i="4"/>
  <c r="E49" i="4"/>
  <c r="D49" i="4"/>
  <c r="N47" i="4"/>
  <c r="L47" i="4"/>
  <c r="K47" i="4"/>
  <c r="J47" i="4"/>
  <c r="F47" i="4"/>
  <c r="E47" i="4"/>
  <c r="D47" i="4"/>
  <c r="N45" i="4"/>
  <c r="L45" i="4"/>
  <c r="K45" i="4"/>
  <c r="J45" i="4"/>
  <c r="F45" i="4"/>
  <c r="E45" i="4"/>
  <c r="D45" i="4"/>
  <c r="N43" i="4"/>
  <c r="L43" i="4"/>
  <c r="K43" i="4"/>
  <c r="J43" i="4"/>
  <c r="F43" i="4"/>
  <c r="E43" i="4"/>
  <c r="D43" i="4"/>
  <c r="N41" i="4"/>
  <c r="L41" i="4"/>
  <c r="K41" i="4"/>
  <c r="J41" i="4"/>
  <c r="F41" i="4"/>
  <c r="E41" i="4"/>
  <c r="D41" i="4"/>
  <c r="N39" i="4"/>
  <c r="L39" i="4"/>
  <c r="K39" i="4"/>
  <c r="J39" i="4"/>
  <c r="F39" i="4"/>
  <c r="E39" i="4"/>
  <c r="D39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C41" i="4"/>
  <c r="C39" i="4"/>
  <c r="D131" i="4"/>
  <c r="D129" i="4"/>
  <c r="D127" i="4"/>
  <c r="D125" i="4"/>
  <c r="N30" i="4"/>
  <c r="L28" i="4"/>
  <c r="N29" i="4"/>
  <c r="C35" i="4"/>
  <c r="D36" i="4"/>
  <c r="D34" i="4"/>
  <c r="E35" i="4"/>
  <c r="F36" i="4"/>
  <c r="F34" i="4"/>
  <c r="J35" i="4"/>
  <c r="K36" i="4"/>
  <c r="K34" i="4"/>
  <c r="L35" i="4"/>
  <c r="N36" i="4"/>
  <c r="N34" i="4"/>
  <c r="C36" i="4"/>
  <c r="C34" i="4"/>
  <c r="D35" i="4"/>
  <c r="E36" i="4"/>
  <c r="E34" i="4"/>
  <c r="F35" i="4"/>
  <c r="J36" i="4"/>
  <c r="J34" i="4"/>
  <c r="K35" i="4"/>
  <c r="N26" i="4"/>
  <c r="N27" i="4"/>
  <c r="N25" i="4"/>
  <c r="C32" i="4"/>
  <c r="C30" i="4"/>
  <c r="D32" i="4"/>
  <c r="D30" i="4"/>
  <c r="E32" i="4"/>
  <c r="E30" i="4"/>
  <c r="F32" i="4"/>
  <c r="F30" i="4"/>
  <c r="J32" i="4"/>
  <c r="J30" i="4"/>
  <c r="K32" i="4"/>
  <c r="K30" i="4"/>
  <c r="L32" i="4"/>
  <c r="L30" i="4"/>
  <c r="C31" i="4"/>
  <c r="D31" i="4"/>
  <c r="E31" i="4"/>
  <c r="F31" i="4"/>
  <c r="J31" i="4"/>
  <c r="K31" i="4"/>
  <c r="L31" i="4"/>
  <c r="N24" i="4"/>
  <c r="D28" i="4"/>
  <c r="F28" i="4"/>
  <c r="K28" i="4"/>
  <c r="N28" i="4"/>
  <c r="C28" i="4"/>
  <c r="E28" i="4"/>
  <c r="J28" i="4"/>
  <c r="N3" i="1"/>
  <c r="N22" i="4"/>
  <c r="N20" i="4"/>
  <c r="N23" i="4"/>
  <c r="N21" i="4"/>
  <c r="N19" i="4"/>
  <c r="I24" i="4"/>
  <c r="C25" i="4"/>
  <c r="D25" i="4"/>
  <c r="E25" i="4"/>
  <c r="F25" i="4"/>
  <c r="J25" i="4"/>
  <c r="K25" i="4"/>
  <c r="L25" i="4"/>
  <c r="C26" i="4"/>
  <c r="C24" i="4"/>
  <c r="D26" i="4"/>
  <c r="D24" i="4"/>
  <c r="E26" i="4"/>
  <c r="E24" i="4"/>
  <c r="F26" i="4"/>
  <c r="F24" i="4"/>
  <c r="J26" i="4"/>
  <c r="J24" i="4"/>
  <c r="K26" i="4"/>
  <c r="K24" i="4"/>
  <c r="L26" i="4"/>
  <c r="L24" i="4"/>
  <c r="C23" i="4"/>
  <c r="D23" i="4"/>
  <c r="E23" i="4"/>
  <c r="F23" i="4"/>
  <c r="J23" i="4"/>
  <c r="K23" i="4"/>
  <c r="L23" i="4"/>
  <c r="C22" i="4"/>
  <c r="D22" i="4"/>
  <c r="E22" i="4"/>
  <c r="F22" i="4"/>
  <c r="J22" i="4"/>
  <c r="K22" i="4"/>
  <c r="L22" i="4"/>
  <c r="N18" i="4"/>
  <c r="C20" i="4"/>
  <c r="E20" i="4"/>
  <c r="J20" i="4"/>
  <c r="L20" i="4"/>
  <c r="D20" i="4"/>
  <c r="F20" i="4"/>
  <c r="K20" i="4"/>
  <c r="C37" i="4"/>
  <c r="D37" i="4"/>
  <c r="E37" i="4"/>
  <c r="F37" i="4"/>
  <c r="J37" i="4"/>
  <c r="K37" i="4"/>
  <c r="L37" i="4"/>
  <c r="C33" i="4"/>
  <c r="E33" i="4"/>
  <c r="J33" i="4"/>
  <c r="L33" i="4"/>
  <c r="D33" i="4"/>
  <c r="F33" i="4"/>
  <c r="K33" i="4"/>
  <c r="C29" i="4"/>
  <c r="D29" i="4"/>
  <c r="E29" i="4"/>
  <c r="F29" i="4"/>
  <c r="J29" i="4"/>
  <c r="K29" i="4"/>
  <c r="L29" i="4"/>
  <c r="C27" i="4"/>
  <c r="E27" i="4"/>
  <c r="J27" i="4"/>
  <c r="L27" i="4"/>
  <c r="D27" i="4"/>
  <c r="F27" i="4"/>
  <c r="K27" i="4"/>
  <c r="C21" i="4"/>
  <c r="D21" i="4"/>
  <c r="E21" i="4"/>
  <c r="F21" i="4"/>
  <c r="J21" i="4"/>
  <c r="K21" i="4"/>
  <c r="L21" i="4"/>
  <c r="C19" i="4"/>
  <c r="D19" i="4"/>
  <c r="E19" i="4"/>
  <c r="F19" i="4"/>
  <c r="J19" i="4"/>
  <c r="K19" i="4"/>
  <c r="L19" i="4"/>
  <c r="C18" i="4"/>
  <c r="D18" i="4"/>
  <c r="E18" i="4"/>
  <c r="F18" i="4"/>
  <c r="J18" i="4"/>
  <c r="K18" i="4"/>
  <c r="L18" i="4"/>
  <c r="I47" i="4"/>
  <c r="I29" i="4"/>
  <c r="H137" i="4"/>
  <c r="H135" i="4"/>
  <c r="H133" i="4"/>
  <c r="H131" i="4"/>
  <c r="H129" i="4"/>
  <c r="H127" i="4"/>
  <c r="H125" i="4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H71" i="4"/>
  <c r="H69" i="4"/>
  <c r="H67" i="4"/>
  <c r="H65" i="4"/>
  <c r="H63" i="4"/>
  <c r="H61" i="4"/>
  <c r="H59" i="4"/>
  <c r="H57" i="4"/>
  <c r="H55" i="4"/>
  <c r="H53" i="4"/>
  <c r="H51" i="4"/>
  <c r="H49" i="4"/>
  <c r="H47" i="4"/>
  <c r="H45" i="4"/>
  <c r="H43" i="4"/>
  <c r="H41" i="4"/>
  <c r="H39" i="4"/>
  <c r="H37" i="4"/>
  <c r="H35" i="4"/>
  <c r="H33" i="4"/>
  <c r="H31" i="4"/>
  <c r="H29" i="4"/>
  <c r="H27" i="4"/>
  <c r="H25" i="4"/>
  <c r="H23" i="4"/>
  <c r="H21" i="4"/>
  <c r="H19" i="4"/>
  <c r="H17" i="4"/>
  <c r="H15" i="4"/>
  <c r="H13" i="4"/>
  <c r="H11" i="4"/>
  <c r="H9" i="4"/>
  <c r="H138" i="4"/>
  <c r="H136" i="4"/>
  <c r="H134" i="4"/>
  <c r="H132" i="4"/>
  <c r="H130" i="4"/>
  <c r="H128" i="4"/>
  <c r="H126" i="4"/>
  <c r="H124" i="4"/>
  <c r="H122" i="4"/>
  <c r="H120" i="4"/>
  <c r="H118" i="4"/>
  <c r="H116" i="4"/>
  <c r="H114" i="4"/>
  <c r="H112" i="4"/>
  <c r="H110" i="4"/>
  <c r="H108" i="4"/>
  <c r="H106" i="4"/>
  <c r="H104" i="4"/>
  <c r="H102" i="4"/>
  <c r="H100" i="4"/>
  <c r="H98" i="4"/>
  <c r="H96" i="4"/>
  <c r="H94" i="4"/>
  <c r="H92" i="4"/>
  <c r="H90" i="4"/>
  <c r="H88" i="4"/>
  <c r="H86" i="4"/>
  <c r="H84" i="4"/>
  <c r="H82" i="4"/>
  <c r="H80" i="4"/>
  <c r="H78" i="4"/>
  <c r="H76" i="4"/>
  <c r="H74" i="4"/>
  <c r="H72" i="4"/>
  <c r="H70" i="4"/>
  <c r="H68" i="4"/>
  <c r="H66" i="4"/>
  <c r="H64" i="4"/>
  <c r="H62" i="4"/>
  <c r="H60" i="4"/>
  <c r="H58" i="4"/>
  <c r="H56" i="4"/>
  <c r="H54" i="4"/>
  <c r="H52" i="4"/>
  <c r="H50" i="4"/>
  <c r="H48" i="4"/>
  <c r="H46" i="4"/>
  <c r="H44" i="4"/>
  <c r="H42" i="4"/>
  <c r="H40" i="4"/>
  <c r="H38" i="4"/>
  <c r="H36" i="4"/>
  <c r="H34" i="4"/>
  <c r="H32" i="4"/>
  <c r="H30" i="4"/>
  <c r="H28" i="4"/>
  <c r="H26" i="4"/>
  <c r="H24" i="4"/>
  <c r="H22" i="4"/>
  <c r="H20" i="4"/>
  <c r="H18" i="4"/>
  <c r="H16" i="4"/>
  <c r="H14" i="4"/>
  <c r="H12" i="4"/>
  <c r="H10" i="4"/>
  <c r="H8" i="4"/>
  <c r="H7" i="4"/>
  <c r="G137" i="4"/>
  <c r="G135" i="4"/>
  <c r="G133" i="4"/>
  <c r="G131" i="4"/>
  <c r="G129" i="4"/>
  <c r="G127" i="4"/>
  <c r="G125" i="4"/>
  <c r="G123" i="4"/>
  <c r="G121" i="4"/>
  <c r="G119" i="4"/>
  <c r="G117" i="4"/>
  <c r="G115" i="4"/>
  <c r="G113" i="4"/>
  <c r="G111" i="4"/>
  <c r="G109" i="4"/>
  <c r="G107" i="4"/>
  <c r="G105" i="4"/>
  <c r="G103" i="4"/>
  <c r="G101" i="4"/>
  <c r="G99" i="4"/>
  <c r="G97" i="4"/>
  <c r="G95" i="4"/>
  <c r="G93" i="4"/>
  <c r="G91" i="4"/>
  <c r="G89" i="4"/>
  <c r="G87" i="4"/>
  <c r="G85" i="4"/>
  <c r="G83" i="4"/>
  <c r="G81" i="4"/>
  <c r="G79" i="4"/>
  <c r="G77" i="4"/>
  <c r="G75" i="4"/>
  <c r="G73" i="4"/>
  <c r="G71" i="4"/>
  <c r="G69" i="4"/>
  <c r="G67" i="4"/>
  <c r="G65" i="4"/>
  <c r="G63" i="4"/>
  <c r="G61" i="4"/>
  <c r="G59" i="4"/>
  <c r="G57" i="4"/>
  <c r="G55" i="4"/>
  <c r="G53" i="4"/>
  <c r="G51" i="4"/>
  <c r="G49" i="4"/>
  <c r="G47" i="4"/>
  <c r="G45" i="4"/>
  <c r="G43" i="4"/>
  <c r="G41" i="4"/>
  <c r="G39" i="4"/>
  <c r="G37" i="4"/>
  <c r="G35" i="4"/>
  <c r="G33" i="4"/>
  <c r="G31" i="4"/>
  <c r="G29" i="4"/>
  <c r="G27" i="4"/>
  <c r="G25" i="4"/>
  <c r="G23" i="4"/>
  <c r="G21" i="4"/>
  <c r="G19" i="4"/>
  <c r="G17" i="4"/>
  <c r="G15" i="4"/>
  <c r="G13" i="4"/>
  <c r="G11" i="4"/>
  <c r="G9" i="4"/>
  <c r="G138" i="4"/>
  <c r="G136" i="4"/>
  <c r="G134" i="4"/>
  <c r="G132" i="4"/>
  <c r="G130" i="4"/>
  <c r="G128" i="4"/>
  <c r="G126" i="4"/>
  <c r="G124" i="4"/>
  <c r="G122" i="4"/>
  <c r="G120" i="4"/>
  <c r="G118" i="4"/>
  <c r="G116" i="4"/>
  <c r="G114" i="4"/>
  <c r="G112" i="4"/>
  <c r="G110" i="4"/>
  <c r="G108" i="4"/>
  <c r="G106" i="4"/>
  <c r="G104" i="4"/>
  <c r="G102" i="4"/>
  <c r="G100" i="4"/>
  <c r="G98" i="4"/>
  <c r="G96" i="4"/>
  <c r="G94" i="4"/>
  <c r="G92" i="4"/>
  <c r="G90" i="4"/>
  <c r="G88" i="4"/>
  <c r="G86" i="4"/>
  <c r="G84" i="4"/>
  <c r="G82" i="4"/>
  <c r="G80" i="4"/>
  <c r="G78" i="4"/>
  <c r="G76" i="4"/>
  <c r="G74" i="4"/>
  <c r="G72" i="4"/>
  <c r="G70" i="4"/>
  <c r="G68" i="4"/>
  <c r="G66" i="4"/>
  <c r="G64" i="4"/>
  <c r="G62" i="4"/>
  <c r="G60" i="4"/>
  <c r="G58" i="4"/>
  <c r="G56" i="4"/>
  <c r="G54" i="4"/>
  <c r="G52" i="4"/>
  <c r="G50" i="4"/>
  <c r="G48" i="4"/>
  <c r="G46" i="4"/>
  <c r="G44" i="4"/>
  <c r="G42" i="4"/>
  <c r="G40" i="4"/>
  <c r="G38" i="4"/>
  <c r="G36" i="4"/>
  <c r="G34" i="4"/>
  <c r="G32" i="4"/>
  <c r="G30" i="4"/>
  <c r="G28" i="4"/>
  <c r="G26" i="4"/>
  <c r="G24" i="4"/>
  <c r="G22" i="4"/>
  <c r="G20" i="4"/>
  <c r="G18" i="4"/>
  <c r="G16" i="4"/>
  <c r="G14" i="4"/>
  <c r="G12" i="4"/>
  <c r="G10" i="4"/>
  <c r="G8" i="4"/>
  <c r="G7" i="4"/>
  <c r="L207" i="1"/>
  <c r="N207" i="1"/>
  <c r="O176" i="1"/>
  <c r="M174" i="1"/>
  <c r="M170" i="1"/>
  <c r="O166" i="1"/>
  <c r="O162" i="1"/>
  <c r="M158" i="1"/>
  <c r="M154" i="1"/>
  <c r="O150" i="1"/>
  <c r="O146" i="1"/>
  <c r="O144" i="1"/>
  <c r="M142" i="1"/>
  <c r="M138" i="1"/>
  <c r="O147" i="1"/>
  <c r="O143" i="1"/>
  <c r="M139" i="1"/>
  <c r="M204" i="1"/>
  <c r="M196" i="1"/>
  <c r="M186" i="1"/>
  <c r="M178" i="1"/>
  <c r="M199" i="1"/>
  <c r="M191" i="1"/>
  <c r="M183" i="1"/>
  <c r="M175" i="1"/>
  <c r="M167" i="1"/>
  <c r="M159" i="1"/>
  <c r="M151" i="1"/>
  <c r="M42" i="1"/>
  <c r="M43" i="1"/>
  <c r="M190" i="1" l="1"/>
  <c r="O141" i="1"/>
  <c r="O160" i="1"/>
  <c r="O45" i="1"/>
  <c r="O149" i="1"/>
  <c r="O152" i="1"/>
  <c r="O168" i="1"/>
  <c r="M46" i="1"/>
  <c r="M155" i="1"/>
  <c r="M163" i="1"/>
  <c r="M171" i="1"/>
  <c r="M179" i="1"/>
  <c r="M187" i="1"/>
  <c r="M195" i="1"/>
  <c r="M203" i="1"/>
  <c r="M180" i="1"/>
  <c r="M188" i="1"/>
  <c r="M194" i="1"/>
  <c r="M202" i="1"/>
  <c r="O139" i="1"/>
  <c r="M143" i="1"/>
  <c r="M147" i="1"/>
  <c r="O138" i="1"/>
  <c r="O142" i="1"/>
  <c r="M146" i="1"/>
  <c r="M150" i="1"/>
  <c r="O154" i="1"/>
  <c r="O158" i="1"/>
  <c r="M162" i="1"/>
  <c r="M166" i="1"/>
  <c r="O170" i="1"/>
  <c r="O174" i="1"/>
  <c r="P45" i="1"/>
  <c r="P59" i="1"/>
  <c r="P81" i="1"/>
  <c r="P119" i="1"/>
  <c r="P32" i="1"/>
  <c r="P60" i="1"/>
  <c r="P70" i="1"/>
  <c r="P33" i="1"/>
  <c r="P63" i="1"/>
  <c r="P69" i="1"/>
  <c r="P44" i="1"/>
  <c r="P118" i="1"/>
  <c r="P120" i="1"/>
  <c r="Q44" i="1"/>
  <c r="Q70" i="1"/>
  <c r="Q120" i="1"/>
  <c r="Q45" i="1"/>
  <c r="Q63" i="1"/>
  <c r="Q81" i="1"/>
  <c r="Q32" i="1"/>
  <c r="Q60" i="1"/>
  <c r="Q118" i="1"/>
  <c r="Q33" i="1"/>
  <c r="Q59" i="1"/>
  <c r="Q69" i="1"/>
  <c r="Q119" i="1"/>
  <c r="I44" i="4"/>
  <c r="O44" i="1"/>
  <c r="M182" i="1"/>
  <c r="M198" i="1"/>
  <c r="O145" i="1"/>
  <c r="O140" i="1"/>
  <c r="O148" i="1"/>
  <c r="O156" i="1"/>
  <c r="O164" i="1"/>
  <c r="O172" i="1"/>
  <c r="I42" i="4"/>
  <c r="M45" i="1"/>
  <c r="M44" i="1"/>
  <c r="M41" i="1"/>
  <c r="M47" i="1"/>
  <c r="M153" i="1"/>
  <c r="M157" i="1"/>
  <c r="M161" i="1"/>
  <c r="M165" i="1"/>
  <c r="M169" i="1"/>
  <c r="M173" i="1"/>
  <c r="M177" i="1"/>
  <c r="M181" i="1"/>
  <c r="M185" i="1"/>
  <c r="M189" i="1"/>
  <c r="M193" i="1"/>
  <c r="M197" i="1"/>
  <c r="M201" i="1"/>
  <c r="M205" i="1"/>
  <c r="M184" i="1"/>
  <c r="M192" i="1"/>
  <c r="M200" i="1"/>
  <c r="M141" i="1"/>
  <c r="M145" i="1"/>
  <c r="M149" i="1"/>
  <c r="M140" i="1"/>
  <c r="M144" i="1"/>
  <c r="M148" i="1"/>
  <c r="M152" i="1"/>
  <c r="M156" i="1"/>
  <c r="M160" i="1"/>
  <c r="M164" i="1"/>
  <c r="M168" i="1"/>
  <c r="M172" i="1"/>
  <c r="M176" i="1"/>
  <c r="I21" i="4"/>
  <c r="I43" i="4"/>
  <c r="I48" i="4"/>
  <c r="I7" i="4"/>
  <c r="I37" i="4"/>
  <c r="I26" i="4"/>
  <c r="Q7" i="1"/>
  <c r="Q11" i="1"/>
  <c r="Q12" i="4" s="1"/>
  <c r="Q15" i="1"/>
  <c r="Q19" i="1"/>
  <c r="Q20" i="4" s="1"/>
  <c r="Q23" i="1"/>
  <c r="Q27" i="1"/>
  <c r="Q28" i="4" s="1"/>
  <c r="Q31" i="1"/>
  <c r="Q37" i="1"/>
  <c r="Q38" i="4" s="1"/>
  <c r="Q41" i="1"/>
  <c r="O41" i="1" s="1"/>
  <c r="Q47" i="1"/>
  <c r="O47" i="1" s="1"/>
  <c r="O48" i="4" s="1"/>
  <c r="Q141" i="1"/>
  <c r="Q145" i="1"/>
  <c r="Q149" i="1"/>
  <c r="Q36" i="1"/>
  <c r="O36" i="1" s="1"/>
  <c r="O37" i="4" s="1"/>
  <c r="Q46" i="1"/>
  <c r="Q106" i="1"/>
  <c r="Q107" i="4" s="1"/>
  <c r="Q110" i="1"/>
  <c r="O110" i="1" s="1"/>
  <c r="O111" i="4" s="1"/>
  <c r="Q114" i="1"/>
  <c r="O114" i="1" s="1"/>
  <c r="O115" i="4" s="1"/>
  <c r="Q122" i="1"/>
  <c r="O122" i="1" s="1"/>
  <c r="O123" i="4" s="1"/>
  <c r="Q126" i="1"/>
  <c r="Q127" i="4" s="1"/>
  <c r="Q130" i="1"/>
  <c r="O130" i="1" s="1"/>
  <c r="O131" i="4" s="1"/>
  <c r="Q134" i="1"/>
  <c r="Q138" i="1"/>
  <c r="Q142" i="1"/>
  <c r="Q146" i="1"/>
  <c r="Q150" i="1"/>
  <c r="Q184" i="1"/>
  <c r="Q192" i="1"/>
  <c r="Q200" i="1"/>
  <c r="Q152" i="1"/>
  <c r="Q156" i="1"/>
  <c r="Q160" i="1"/>
  <c r="Q164" i="1"/>
  <c r="Q168" i="1"/>
  <c r="Q172" i="1"/>
  <c r="Q176" i="1"/>
  <c r="Q9" i="1"/>
  <c r="O9" i="1" s="1"/>
  <c r="O10" i="4" s="1"/>
  <c r="Q13" i="1"/>
  <c r="Q14" i="4" s="1"/>
  <c r="Q17" i="1"/>
  <c r="O17" i="1" s="1"/>
  <c r="O18" i="4" s="1"/>
  <c r="Q21" i="1"/>
  <c r="Q22" i="4" s="1"/>
  <c r="Q25" i="1"/>
  <c r="Q26" i="4" s="1"/>
  <c r="Q29" i="1"/>
  <c r="Q30" i="4" s="1"/>
  <c r="Q35" i="1"/>
  <c r="Q36" i="4" s="1"/>
  <c r="Q39" i="1"/>
  <c r="Q40" i="4" s="1"/>
  <c r="Q43" i="1"/>
  <c r="Q139" i="1"/>
  <c r="Q143" i="1"/>
  <c r="Q147" i="1"/>
  <c r="Q20" i="1"/>
  <c r="O20" i="1" s="1"/>
  <c r="O21" i="4" s="1"/>
  <c r="Q28" i="1"/>
  <c r="Q42" i="1"/>
  <c r="Q104" i="1"/>
  <c r="Q105" i="4" s="1"/>
  <c r="Q108" i="1"/>
  <c r="O108" i="1" s="1"/>
  <c r="O109" i="4" s="1"/>
  <c r="Q112" i="1"/>
  <c r="O112" i="1" s="1"/>
  <c r="O113" i="4" s="1"/>
  <c r="Q116" i="1"/>
  <c r="O116" i="1" s="1"/>
  <c r="O117" i="4" s="1"/>
  <c r="Q124" i="1"/>
  <c r="Q125" i="4" s="1"/>
  <c r="Q128" i="1"/>
  <c r="O128" i="1" s="1"/>
  <c r="O129" i="4" s="1"/>
  <c r="Q132" i="1"/>
  <c r="Q136" i="1"/>
  <c r="Q140" i="1"/>
  <c r="Q144" i="1"/>
  <c r="Q148" i="1"/>
  <c r="Q180" i="1"/>
  <c r="Q188" i="1"/>
  <c r="Q196" i="1"/>
  <c r="Q204" i="1"/>
  <c r="Q154" i="1"/>
  <c r="Q158" i="1"/>
  <c r="Q162" i="1"/>
  <c r="Q166" i="1"/>
  <c r="Q170" i="1"/>
  <c r="Q174" i="1"/>
  <c r="Q6" i="1"/>
  <c r="Q7" i="4" s="1"/>
  <c r="P7" i="1"/>
  <c r="P8" i="4" s="1"/>
  <c r="P9" i="1"/>
  <c r="M9" i="1" s="1"/>
  <c r="M10" i="4" s="1"/>
  <c r="P11" i="1"/>
  <c r="M11" i="1" s="1"/>
  <c r="M12" i="4" s="1"/>
  <c r="P13" i="1"/>
  <c r="M13" i="1" s="1"/>
  <c r="M14" i="4" s="1"/>
  <c r="P15" i="1"/>
  <c r="M15" i="1" s="1"/>
  <c r="M16" i="4" s="1"/>
  <c r="P17" i="1"/>
  <c r="M17" i="1" s="1"/>
  <c r="M18" i="4" s="1"/>
  <c r="P19" i="1"/>
  <c r="M19" i="1" s="1"/>
  <c r="P21" i="1"/>
  <c r="P22" i="4" s="1"/>
  <c r="P27" i="1"/>
  <c r="P28" i="4" s="1"/>
  <c r="P29" i="1"/>
  <c r="P30" i="4" s="1"/>
  <c r="P31" i="1"/>
  <c r="P32" i="4" s="1"/>
  <c r="P35" i="1"/>
  <c r="P36" i="4" s="1"/>
  <c r="P37" i="1"/>
  <c r="M37" i="1" s="1"/>
  <c r="M38" i="4" s="1"/>
  <c r="P39" i="1"/>
  <c r="P40" i="4" s="1"/>
  <c r="I52" i="4"/>
  <c r="P51" i="1"/>
  <c r="P52" i="4" s="1"/>
  <c r="I56" i="4"/>
  <c r="P55" i="1"/>
  <c r="P56" i="4" s="1"/>
  <c r="I62" i="4"/>
  <c r="P61" i="1"/>
  <c r="P62" i="4" s="1"/>
  <c r="I68" i="4"/>
  <c r="P67" i="1"/>
  <c r="P68" i="4" s="1"/>
  <c r="I74" i="4"/>
  <c r="P73" i="1"/>
  <c r="P74" i="4" s="1"/>
  <c r="I78" i="4"/>
  <c r="P77" i="1"/>
  <c r="P78" i="4" s="1"/>
  <c r="I84" i="4"/>
  <c r="P83" i="1"/>
  <c r="P84" i="4" s="1"/>
  <c r="I88" i="4"/>
  <c r="P87" i="1"/>
  <c r="P88" i="4" s="1"/>
  <c r="I92" i="4"/>
  <c r="P91" i="1"/>
  <c r="P92" i="4" s="1"/>
  <c r="I96" i="4"/>
  <c r="P95" i="1"/>
  <c r="P96" i="4" s="1"/>
  <c r="I100" i="4"/>
  <c r="P99" i="1"/>
  <c r="M99" i="1" s="1"/>
  <c r="M100" i="4" s="1"/>
  <c r="I104" i="4"/>
  <c r="P103" i="1"/>
  <c r="P104" i="4" s="1"/>
  <c r="I108" i="4"/>
  <c r="P107" i="1"/>
  <c r="P108" i="4" s="1"/>
  <c r="I112" i="4"/>
  <c r="P111" i="1"/>
  <c r="P112" i="4" s="1"/>
  <c r="I116" i="4"/>
  <c r="P115" i="1"/>
  <c r="P116" i="4" s="1"/>
  <c r="I122" i="4"/>
  <c r="P121" i="1"/>
  <c r="P122" i="4" s="1"/>
  <c r="I126" i="4"/>
  <c r="P125" i="1"/>
  <c r="P126" i="4" s="1"/>
  <c r="I130" i="4"/>
  <c r="P129" i="1"/>
  <c r="P130" i="4" s="1"/>
  <c r="I134" i="4"/>
  <c r="P133" i="1"/>
  <c r="I138" i="4"/>
  <c r="P137" i="1"/>
  <c r="O153" i="1"/>
  <c r="P153" i="1"/>
  <c r="O157" i="1"/>
  <c r="P157" i="1"/>
  <c r="O161" i="1"/>
  <c r="P161" i="1"/>
  <c r="O165" i="1"/>
  <c r="P165" i="1"/>
  <c r="O169" i="1"/>
  <c r="P169" i="1"/>
  <c r="O173" i="1"/>
  <c r="P173" i="1"/>
  <c r="O177" i="1"/>
  <c r="P177" i="1"/>
  <c r="O181" i="1"/>
  <c r="P181" i="1"/>
  <c r="O185" i="1"/>
  <c r="P185" i="1"/>
  <c r="O189" i="1"/>
  <c r="P189" i="1"/>
  <c r="O193" i="1"/>
  <c r="P193" i="1"/>
  <c r="O197" i="1"/>
  <c r="P197" i="1"/>
  <c r="O201" i="1"/>
  <c r="P201" i="1"/>
  <c r="O205" i="1"/>
  <c r="P205" i="1"/>
  <c r="O182" i="1"/>
  <c r="P182" i="1"/>
  <c r="O190" i="1"/>
  <c r="P190" i="1"/>
  <c r="O198" i="1"/>
  <c r="P198" i="1"/>
  <c r="I9" i="4"/>
  <c r="P8" i="1"/>
  <c r="M8" i="1" s="1"/>
  <c r="M9" i="4" s="1"/>
  <c r="I13" i="4"/>
  <c r="P12" i="1"/>
  <c r="M12" i="1" s="1"/>
  <c r="M13" i="4" s="1"/>
  <c r="I17" i="4"/>
  <c r="P16" i="1"/>
  <c r="M16" i="1" s="1"/>
  <c r="M17" i="4" s="1"/>
  <c r="I25" i="4"/>
  <c r="P24" i="1"/>
  <c r="M24" i="1" s="1"/>
  <c r="I35" i="4"/>
  <c r="P34" i="1"/>
  <c r="P35" i="4" s="1"/>
  <c r="I39" i="4"/>
  <c r="P38" i="1"/>
  <c r="M38" i="1" s="1"/>
  <c r="M39" i="4" s="1"/>
  <c r="I49" i="4"/>
  <c r="P48" i="1"/>
  <c r="M48" i="1" s="1"/>
  <c r="M49" i="4" s="1"/>
  <c r="I53" i="4"/>
  <c r="P52" i="1"/>
  <c r="M52" i="1" s="1"/>
  <c r="M53" i="4" s="1"/>
  <c r="I57" i="4"/>
  <c r="P56" i="1"/>
  <c r="P57" i="4" s="1"/>
  <c r="I63" i="4"/>
  <c r="P62" i="1"/>
  <c r="M62" i="1" s="1"/>
  <c r="M63" i="4" s="1"/>
  <c r="I67" i="4"/>
  <c r="P66" i="1"/>
  <c r="M66" i="1" s="1"/>
  <c r="M67" i="4" s="1"/>
  <c r="I73" i="4"/>
  <c r="P72" i="1"/>
  <c r="M72" i="1" s="1"/>
  <c r="M73" i="4" s="1"/>
  <c r="I77" i="4"/>
  <c r="P76" i="1"/>
  <c r="M76" i="1" s="1"/>
  <c r="M77" i="4" s="1"/>
  <c r="I81" i="4"/>
  <c r="P80" i="1"/>
  <c r="M80" i="1" s="1"/>
  <c r="M81" i="4" s="1"/>
  <c r="I85" i="4"/>
  <c r="P84" i="1"/>
  <c r="M84" i="1" s="1"/>
  <c r="M85" i="4" s="1"/>
  <c r="I89" i="4"/>
  <c r="P88" i="1"/>
  <c r="M88" i="1" s="1"/>
  <c r="M89" i="4" s="1"/>
  <c r="I93" i="4"/>
  <c r="P92" i="1"/>
  <c r="M92" i="1" s="1"/>
  <c r="M93" i="4" s="1"/>
  <c r="I97" i="4"/>
  <c r="P96" i="1"/>
  <c r="M96" i="1" s="1"/>
  <c r="M97" i="4" s="1"/>
  <c r="I101" i="4"/>
  <c r="P100" i="1"/>
  <c r="M100" i="1" s="1"/>
  <c r="M101" i="4" s="1"/>
  <c r="I50" i="4"/>
  <c r="P49" i="1"/>
  <c r="P50" i="4" s="1"/>
  <c r="I54" i="4"/>
  <c r="P53" i="1"/>
  <c r="P54" i="4" s="1"/>
  <c r="I58" i="4"/>
  <c r="P57" i="1"/>
  <c r="P58" i="4" s="1"/>
  <c r="I66" i="4"/>
  <c r="P65" i="1"/>
  <c r="P66" i="4" s="1"/>
  <c r="I72" i="4"/>
  <c r="P71" i="1"/>
  <c r="P72" i="4" s="1"/>
  <c r="I76" i="4"/>
  <c r="P75" i="1"/>
  <c r="P76" i="4" s="1"/>
  <c r="I80" i="4"/>
  <c r="P79" i="1"/>
  <c r="P80" i="4" s="1"/>
  <c r="I86" i="4"/>
  <c r="P85" i="1"/>
  <c r="P86" i="4" s="1"/>
  <c r="I90" i="4"/>
  <c r="P89" i="1"/>
  <c r="P90" i="4" s="1"/>
  <c r="I94" i="4"/>
  <c r="P93" i="1"/>
  <c r="P94" i="4" s="1"/>
  <c r="I98" i="4"/>
  <c r="P97" i="1"/>
  <c r="P98" i="4" s="1"/>
  <c r="I102" i="4"/>
  <c r="P101" i="1"/>
  <c r="M101" i="1" s="1"/>
  <c r="M102" i="4" s="1"/>
  <c r="I106" i="4"/>
  <c r="P105" i="1"/>
  <c r="P106" i="4" s="1"/>
  <c r="I110" i="4"/>
  <c r="P109" i="1"/>
  <c r="P110" i="4" s="1"/>
  <c r="I114" i="4"/>
  <c r="P113" i="1"/>
  <c r="P114" i="4" s="1"/>
  <c r="I118" i="4"/>
  <c r="P117" i="1"/>
  <c r="P118" i="4" s="1"/>
  <c r="I124" i="4"/>
  <c r="P123" i="1"/>
  <c r="P124" i="4" s="1"/>
  <c r="I128" i="4"/>
  <c r="P127" i="1"/>
  <c r="P128" i="4" s="1"/>
  <c r="I132" i="4"/>
  <c r="P131" i="1"/>
  <c r="I136" i="4"/>
  <c r="P135" i="1"/>
  <c r="O151" i="1"/>
  <c r="P151" i="1"/>
  <c r="O155" i="1"/>
  <c r="P155" i="1"/>
  <c r="O159" i="1"/>
  <c r="P159" i="1"/>
  <c r="O163" i="1"/>
  <c r="P163" i="1"/>
  <c r="O167" i="1"/>
  <c r="P167" i="1"/>
  <c r="O171" i="1"/>
  <c r="P171" i="1"/>
  <c r="O175" i="1"/>
  <c r="P175" i="1"/>
  <c r="O179" i="1"/>
  <c r="P179" i="1"/>
  <c r="O183" i="1"/>
  <c r="P183" i="1"/>
  <c r="O187" i="1"/>
  <c r="P187" i="1"/>
  <c r="O191" i="1"/>
  <c r="P191" i="1"/>
  <c r="O195" i="1"/>
  <c r="P195" i="1"/>
  <c r="O199" i="1"/>
  <c r="P199" i="1"/>
  <c r="O203" i="1"/>
  <c r="P203" i="1"/>
  <c r="O178" i="1"/>
  <c r="P178" i="1"/>
  <c r="O186" i="1"/>
  <c r="P186" i="1"/>
  <c r="O194" i="1"/>
  <c r="P194" i="1"/>
  <c r="O202" i="1"/>
  <c r="P202" i="1"/>
  <c r="I11" i="4"/>
  <c r="P10" i="1"/>
  <c r="M10" i="1" s="1"/>
  <c r="M11" i="4" s="1"/>
  <c r="I15" i="4"/>
  <c r="P14" i="1"/>
  <c r="M14" i="1" s="1"/>
  <c r="M15" i="4" s="1"/>
  <c r="I19" i="4"/>
  <c r="P18" i="1"/>
  <c r="M18" i="1" s="1"/>
  <c r="M19" i="4" s="1"/>
  <c r="I23" i="4"/>
  <c r="P22" i="1"/>
  <c r="M22" i="1" s="1"/>
  <c r="M23" i="4" s="1"/>
  <c r="I27" i="4"/>
  <c r="P26" i="1"/>
  <c r="M26" i="1" s="1"/>
  <c r="I31" i="4"/>
  <c r="P30" i="1"/>
  <c r="M30" i="1" s="1"/>
  <c r="I41" i="4"/>
  <c r="P40" i="1"/>
  <c r="M40" i="1" s="1"/>
  <c r="M41" i="4" s="1"/>
  <c r="I51" i="4"/>
  <c r="P50" i="1"/>
  <c r="M50" i="1" s="1"/>
  <c r="M51" i="4" s="1"/>
  <c r="I55" i="4"/>
  <c r="P54" i="1"/>
  <c r="M54" i="1" s="1"/>
  <c r="M55" i="4" s="1"/>
  <c r="I59" i="4"/>
  <c r="P58" i="1"/>
  <c r="M58" i="1" s="1"/>
  <c r="M59" i="4" s="1"/>
  <c r="I65" i="4"/>
  <c r="P64" i="1"/>
  <c r="M64" i="1" s="1"/>
  <c r="M65" i="4" s="1"/>
  <c r="I69" i="4"/>
  <c r="P68" i="1"/>
  <c r="M68" i="1" s="1"/>
  <c r="M69" i="4" s="1"/>
  <c r="I75" i="4"/>
  <c r="P74" i="1"/>
  <c r="M74" i="1" s="1"/>
  <c r="M75" i="4" s="1"/>
  <c r="I79" i="4"/>
  <c r="P78" i="1"/>
  <c r="M78" i="1" s="1"/>
  <c r="M79" i="4" s="1"/>
  <c r="I83" i="4"/>
  <c r="P82" i="1"/>
  <c r="M82" i="1" s="1"/>
  <c r="M83" i="4" s="1"/>
  <c r="I87" i="4"/>
  <c r="P86" i="1"/>
  <c r="M86" i="1" s="1"/>
  <c r="M87" i="4" s="1"/>
  <c r="I91" i="4"/>
  <c r="P90" i="1"/>
  <c r="M90" i="1" s="1"/>
  <c r="M91" i="4" s="1"/>
  <c r="I95" i="4"/>
  <c r="P94" i="1"/>
  <c r="M94" i="1" s="1"/>
  <c r="M95" i="4" s="1"/>
  <c r="I99" i="4"/>
  <c r="P98" i="1"/>
  <c r="M98" i="1" s="1"/>
  <c r="M99" i="4" s="1"/>
  <c r="I103" i="4"/>
  <c r="P102" i="1"/>
  <c r="M102" i="1" s="1"/>
  <c r="M103" i="4" s="1"/>
  <c r="P104" i="1"/>
  <c r="P105" i="4" s="1"/>
  <c r="P106" i="1"/>
  <c r="M106" i="1" s="1"/>
  <c r="M107" i="4" s="1"/>
  <c r="P108" i="1"/>
  <c r="P109" i="4" s="1"/>
  <c r="P110" i="1"/>
  <c r="M110" i="1" s="1"/>
  <c r="M111" i="4" s="1"/>
  <c r="P112" i="1"/>
  <c r="P113" i="4" s="1"/>
  <c r="P114" i="1"/>
  <c r="M114" i="1" s="1"/>
  <c r="M115" i="4" s="1"/>
  <c r="P116" i="1"/>
  <c r="P117" i="4" s="1"/>
  <c r="P122" i="1"/>
  <c r="M122" i="1" s="1"/>
  <c r="M123" i="4" s="1"/>
  <c r="P124" i="1"/>
  <c r="P125" i="4" s="1"/>
  <c r="P126" i="1"/>
  <c r="M126" i="1" s="1"/>
  <c r="M127" i="4" s="1"/>
  <c r="P128" i="1"/>
  <c r="P129" i="4" s="1"/>
  <c r="P130" i="1"/>
  <c r="M130" i="1" s="1"/>
  <c r="M131" i="4" s="1"/>
  <c r="P180" i="1"/>
  <c r="P184" i="1"/>
  <c r="P188" i="1"/>
  <c r="P192" i="1"/>
  <c r="P196" i="1"/>
  <c r="P200" i="1"/>
  <c r="P204" i="1"/>
  <c r="P7" i="4"/>
  <c r="N208" i="4"/>
  <c r="L208" i="4"/>
  <c r="O11" i="1"/>
  <c r="O12" i="4" s="1"/>
  <c r="O13" i="1"/>
  <c r="O14" i="4" s="1"/>
  <c r="O19" i="1"/>
  <c r="O20" i="4" s="1"/>
  <c r="O21" i="1"/>
  <c r="O22" i="4" s="1"/>
  <c r="O27" i="1"/>
  <c r="O28" i="4" s="1"/>
  <c r="O29" i="1"/>
  <c r="O33" i="1"/>
  <c r="O34" i="4" s="1"/>
  <c r="Q34" i="4"/>
  <c r="O37" i="1"/>
  <c r="O38" i="4" s="1"/>
  <c r="O39" i="1"/>
  <c r="O40" i="4" s="1"/>
  <c r="O49" i="1"/>
  <c r="O50" i="4" s="1"/>
  <c r="Q50" i="4"/>
  <c r="O51" i="1"/>
  <c r="O52" i="4" s="1"/>
  <c r="Q52" i="4"/>
  <c r="O53" i="1"/>
  <c r="O54" i="4" s="1"/>
  <c r="Q54" i="4"/>
  <c r="O55" i="1"/>
  <c r="O56" i="4" s="1"/>
  <c r="Q56" i="4"/>
  <c r="O57" i="1"/>
  <c r="O58" i="4" s="1"/>
  <c r="Q58" i="4"/>
  <c r="O59" i="1"/>
  <c r="O60" i="4" s="1"/>
  <c r="Q60" i="4"/>
  <c r="O61" i="1"/>
  <c r="O62" i="4" s="1"/>
  <c r="Q62" i="4"/>
  <c r="O63" i="1"/>
  <c r="O64" i="4" s="1"/>
  <c r="Q64" i="4"/>
  <c r="O65" i="1"/>
  <c r="O66" i="4" s="1"/>
  <c r="Q66" i="4"/>
  <c r="O67" i="1"/>
  <c r="O68" i="4" s="1"/>
  <c r="Q68" i="4"/>
  <c r="O69" i="1"/>
  <c r="O70" i="4" s="1"/>
  <c r="Q70" i="4"/>
  <c r="O71" i="1"/>
  <c r="O72" i="4" s="1"/>
  <c r="Q72" i="4"/>
  <c r="O73" i="1"/>
  <c r="O74" i="4" s="1"/>
  <c r="Q74" i="4"/>
  <c r="O75" i="1"/>
  <c r="O76" i="4" s="1"/>
  <c r="Q76" i="4"/>
  <c r="O77" i="1"/>
  <c r="O78" i="4" s="1"/>
  <c r="Q78" i="4"/>
  <c r="O79" i="1"/>
  <c r="O80" i="4" s="1"/>
  <c r="Q80" i="4"/>
  <c r="O81" i="1"/>
  <c r="O82" i="4" s="1"/>
  <c r="Q82" i="4"/>
  <c r="O83" i="1"/>
  <c r="O84" i="4" s="1"/>
  <c r="Q84" i="4"/>
  <c r="O85" i="1"/>
  <c r="O86" i="4" s="1"/>
  <c r="Q86" i="4"/>
  <c r="O87" i="1"/>
  <c r="O88" i="4" s="1"/>
  <c r="Q88" i="4"/>
  <c r="O89" i="1"/>
  <c r="O90" i="4" s="1"/>
  <c r="Q90" i="4"/>
  <c r="O91" i="1"/>
  <c r="O92" i="4" s="1"/>
  <c r="Q92" i="4"/>
  <c r="O93" i="1"/>
  <c r="O94" i="4" s="1"/>
  <c r="Q94" i="4"/>
  <c r="O95" i="1"/>
  <c r="O96" i="4" s="1"/>
  <c r="Q96" i="4"/>
  <c r="O97" i="1"/>
  <c r="O98" i="4" s="1"/>
  <c r="Q98" i="4"/>
  <c r="O99" i="1"/>
  <c r="O100" i="4" s="1"/>
  <c r="Q100" i="4"/>
  <c r="O101" i="1"/>
  <c r="O102" i="4" s="1"/>
  <c r="Q102" i="4"/>
  <c r="O103" i="1"/>
  <c r="O104" i="4" s="1"/>
  <c r="Q104" i="4"/>
  <c r="O105" i="1"/>
  <c r="O106" i="4" s="1"/>
  <c r="Q106" i="4"/>
  <c r="O107" i="1"/>
  <c r="O108" i="4" s="1"/>
  <c r="Q108" i="4"/>
  <c r="O109" i="1"/>
  <c r="O110" i="4" s="1"/>
  <c r="Q110" i="4"/>
  <c r="O111" i="1"/>
  <c r="O112" i="4" s="1"/>
  <c r="Q112" i="4"/>
  <c r="O113" i="1"/>
  <c r="O114" i="4" s="1"/>
  <c r="Q114" i="4"/>
  <c r="O115" i="1"/>
  <c r="O116" i="4" s="1"/>
  <c r="Q116" i="4"/>
  <c r="O117" i="1"/>
  <c r="O118" i="4" s="1"/>
  <c r="Q118" i="4"/>
  <c r="O119" i="1"/>
  <c r="O120" i="4" s="1"/>
  <c r="Q120" i="4"/>
  <c r="O121" i="1"/>
  <c r="O122" i="4" s="1"/>
  <c r="Q122" i="4"/>
  <c r="O123" i="1"/>
  <c r="O124" i="4" s="1"/>
  <c r="Q124" i="4"/>
  <c r="O125" i="1"/>
  <c r="O126" i="4" s="1"/>
  <c r="Q126" i="4"/>
  <c r="O127" i="1"/>
  <c r="O128" i="4" s="1"/>
  <c r="Q128" i="4"/>
  <c r="O129" i="1"/>
  <c r="O130" i="4" s="1"/>
  <c r="Q130" i="4"/>
  <c r="O131" i="1"/>
  <c r="Q132" i="4"/>
  <c r="O133" i="1"/>
  <c r="Q134" i="4"/>
  <c r="O135" i="1"/>
  <c r="Q136" i="4"/>
  <c r="O137" i="1"/>
  <c r="Q138" i="4"/>
  <c r="O8" i="1"/>
  <c r="O9" i="4" s="1"/>
  <c r="Q9" i="4"/>
  <c r="O10" i="1"/>
  <c r="O11" i="4" s="1"/>
  <c r="Q11" i="4"/>
  <c r="O12" i="1"/>
  <c r="O13" i="4" s="1"/>
  <c r="Q13" i="4"/>
  <c r="O14" i="1"/>
  <c r="O15" i="4" s="1"/>
  <c r="Q15" i="4"/>
  <c r="O16" i="1"/>
  <c r="O17" i="4" s="1"/>
  <c r="Q17" i="4"/>
  <c r="O18" i="1"/>
  <c r="O19" i="4" s="1"/>
  <c r="Q19" i="4"/>
  <c r="Q21" i="4"/>
  <c r="O22" i="1"/>
  <c r="O23" i="4" s="1"/>
  <c r="Q23" i="4"/>
  <c r="O24" i="1"/>
  <c r="O25" i="4" s="1"/>
  <c r="Q25" i="4"/>
  <c r="O26" i="1"/>
  <c r="O27" i="4" s="1"/>
  <c r="Q27" i="4"/>
  <c r="Q45" i="4"/>
  <c r="O28" i="1"/>
  <c r="O29" i="4" s="1"/>
  <c r="Q46" i="4"/>
  <c r="Q29" i="4"/>
  <c r="O30" i="1"/>
  <c r="O31" i="4" s="1"/>
  <c r="Q31" i="4"/>
  <c r="O32" i="1"/>
  <c r="O33" i="4" s="1"/>
  <c r="Q33" i="4"/>
  <c r="O34" i="1"/>
  <c r="O35" i="4" s="1"/>
  <c r="Q35" i="4"/>
  <c r="Q48" i="4"/>
  <c r="O38" i="1"/>
  <c r="O39" i="4" s="1"/>
  <c r="Q39" i="4"/>
  <c r="O40" i="1"/>
  <c r="O41" i="4" s="1"/>
  <c r="Q41" i="4"/>
  <c r="O48" i="1"/>
  <c r="O49" i="4" s="1"/>
  <c r="Q49" i="4"/>
  <c r="O50" i="1"/>
  <c r="O51" i="4" s="1"/>
  <c r="Q51" i="4"/>
  <c r="O52" i="1"/>
  <c r="O53" i="4" s="1"/>
  <c r="Q53" i="4"/>
  <c r="O54" i="1"/>
  <c r="O55" i="4" s="1"/>
  <c r="Q55" i="4"/>
  <c r="O58" i="1"/>
  <c r="O59" i="4" s="1"/>
  <c r="Q59" i="4"/>
  <c r="O60" i="1"/>
  <c r="O61" i="4" s="1"/>
  <c r="Q61" i="4"/>
  <c r="O62" i="1"/>
  <c r="O63" i="4" s="1"/>
  <c r="Q63" i="4"/>
  <c r="O64" i="1"/>
  <c r="O65" i="4" s="1"/>
  <c r="Q65" i="4"/>
  <c r="O66" i="1"/>
  <c r="O67" i="4" s="1"/>
  <c r="Q67" i="4"/>
  <c r="O68" i="1"/>
  <c r="O69" i="4" s="1"/>
  <c r="Q69" i="4"/>
  <c r="O70" i="1"/>
  <c r="O71" i="4" s="1"/>
  <c r="Q71" i="4"/>
  <c r="O72" i="1"/>
  <c r="O73" i="4" s="1"/>
  <c r="Q73" i="4"/>
  <c r="O74" i="1"/>
  <c r="O75" i="4" s="1"/>
  <c r="Q75" i="4"/>
  <c r="O76" i="1"/>
  <c r="O77" i="4" s="1"/>
  <c r="Q77" i="4"/>
  <c r="O78" i="1"/>
  <c r="O79" i="4" s="1"/>
  <c r="Q79" i="4"/>
  <c r="O80" i="1"/>
  <c r="O81" i="4" s="1"/>
  <c r="Q81" i="4"/>
  <c r="O82" i="1"/>
  <c r="O83" i="4" s="1"/>
  <c r="Q83" i="4"/>
  <c r="O84" i="1"/>
  <c r="O85" i="4" s="1"/>
  <c r="Q85" i="4"/>
  <c r="O86" i="1"/>
  <c r="O87" i="4" s="1"/>
  <c r="Q87" i="4"/>
  <c r="O88" i="1"/>
  <c r="O89" i="4" s="1"/>
  <c r="Q89" i="4"/>
  <c r="O90" i="1"/>
  <c r="O91" i="4" s="1"/>
  <c r="Q91" i="4"/>
  <c r="O92" i="1"/>
  <c r="O93" i="4" s="1"/>
  <c r="Q93" i="4"/>
  <c r="O94" i="1"/>
  <c r="O95" i="4" s="1"/>
  <c r="Q95" i="4"/>
  <c r="O96" i="1"/>
  <c r="O97" i="4" s="1"/>
  <c r="Q97" i="4"/>
  <c r="O98" i="1"/>
  <c r="O99" i="4" s="1"/>
  <c r="Q99" i="4"/>
  <c r="O100" i="1"/>
  <c r="O101" i="4" s="1"/>
  <c r="Q101" i="4"/>
  <c r="O102" i="1"/>
  <c r="O103" i="4" s="1"/>
  <c r="Q103" i="4"/>
  <c r="O104" i="1"/>
  <c r="O105" i="4" s="1"/>
  <c r="O106" i="1"/>
  <c r="O107" i="4" s="1"/>
  <c r="Q109" i="4"/>
  <c r="Q113" i="4"/>
  <c r="Q115" i="4"/>
  <c r="Q117" i="4"/>
  <c r="O118" i="1"/>
  <c r="O119" i="4" s="1"/>
  <c r="Q119" i="4"/>
  <c r="O120" i="1"/>
  <c r="O121" i="4" s="1"/>
  <c r="Q121" i="4"/>
  <c r="O124" i="1"/>
  <c r="O125" i="4" s="1"/>
  <c r="O126" i="1"/>
  <c r="O127" i="4" s="1"/>
  <c r="Q129" i="4"/>
  <c r="O132" i="1"/>
  <c r="O133" i="4" s="1"/>
  <c r="Q133" i="4"/>
  <c r="O134" i="1"/>
  <c r="O135" i="4" s="1"/>
  <c r="Q135" i="4"/>
  <c r="O136" i="1"/>
  <c r="O137" i="4" s="1"/>
  <c r="Q137" i="4"/>
  <c r="P9" i="4"/>
  <c r="P17" i="4"/>
  <c r="P43" i="4"/>
  <c r="M20" i="1"/>
  <c r="M21" i="4" s="1"/>
  <c r="P44" i="4"/>
  <c r="P21" i="4"/>
  <c r="P27" i="4"/>
  <c r="P45" i="4"/>
  <c r="M28" i="1"/>
  <c r="M29" i="4" s="1"/>
  <c r="P46" i="4"/>
  <c r="P29" i="4"/>
  <c r="M32" i="1"/>
  <c r="M33" i="4" s="1"/>
  <c r="P33" i="4"/>
  <c r="P47" i="4"/>
  <c r="M36" i="1"/>
  <c r="M37" i="4" s="1"/>
  <c r="P48" i="4"/>
  <c r="P37" i="4"/>
  <c r="P51" i="4"/>
  <c r="M60" i="1"/>
  <c r="M61" i="4" s="1"/>
  <c r="P61" i="4"/>
  <c r="P63" i="4"/>
  <c r="M70" i="1"/>
  <c r="M71" i="4" s="1"/>
  <c r="P71" i="4"/>
  <c r="P73" i="4"/>
  <c r="P81" i="4"/>
  <c r="P89" i="4"/>
  <c r="P97" i="4"/>
  <c r="M104" i="1"/>
  <c r="M105" i="4" s="1"/>
  <c r="M112" i="1"/>
  <c r="M113" i="4" s="1"/>
  <c r="M118" i="1"/>
  <c r="M119" i="4" s="1"/>
  <c r="P119" i="4"/>
  <c r="M120" i="1"/>
  <c r="M121" i="4" s="1"/>
  <c r="P121" i="4"/>
  <c r="M124" i="1"/>
  <c r="M125" i="4" s="1"/>
  <c r="M132" i="1"/>
  <c r="P133" i="4"/>
  <c r="M134" i="1"/>
  <c r="P135" i="4"/>
  <c r="M136" i="1"/>
  <c r="P137" i="4"/>
  <c r="P10" i="4"/>
  <c r="P12" i="4"/>
  <c r="P16" i="4"/>
  <c r="P18" i="4"/>
  <c r="P42" i="4"/>
  <c r="P20" i="4"/>
  <c r="M21" i="1"/>
  <c r="M22" i="4" s="1"/>
  <c r="M23" i="1"/>
  <c r="M24" i="4" s="1"/>
  <c r="P24" i="4"/>
  <c r="M25" i="1"/>
  <c r="M26" i="4" s="1"/>
  <c r="P26" i="4"/>
  <c r="M27" i="1"/>
  <c r="M28" i="4" s="1"/>
  <c r="M31" i="1"/>
  <c r="M32" i="4" s="1"/>
  <c r="M33" i="1"/>
  <c r="M34" i="4" s="1"/>
  <c r="P34" i="4"/>
  <c r="M35" i="1"/>
  <c r="M36" i="4" s="1"/>
  <c r="P38" i="4"/>
  <c r="M49" i="1"/>
  <c r="M50" i="4" s="1"/>
  <c r="M53" i="1"/>
  <c r="M54" i="4" s="1"/>
  <c r="M57" i="1"/>
  <c r="M58" i="4" s="1"/>
  <c r="M59" i="1"/>
  <c r="M60" i="4" s="1"/>
  <c r="P60" i="4"/>
  <c r="M63" i="1"/>
  <c r="M64" i="4" s="1"/>
  <c r="P64" i="4"/>
  <c r="M65" i="1"/>
  <c r="M66" i="4" s="1"/>
  <c r="M69" i="1"/>
  <c r="M70" i="4" s="1"/>
  <c r="P70" i="4"/>
  <c r="M71" i="1"/>
  <c r="M72" i="4" s="1"/>
  <c r="M75" i="1"/>
  <c r="M76" i="4" s="1"/>
  <c r="M79" i="1"/>
  <c r="M80" i="4" s="1"/>
  <c r="M81" i="1"/>
  <c r="M82" i="4" s="1"/>
  <c r="P82" i="4"/>
  <c r="M85" i="1"/>
  <c r="M86" i="4" s="1"/>
  <c r="M89" i="1"/>
  <c r="M90" i="4" s="1"/>
  <c r="M93" i="1"/>
  <c r="M94" i="4" s="1"/>
  <c r="M97" i="1"/>
  <c r="M98" i="4" s="1"/>
  <c r="P100" i="4"/>
  <c r="M103" i="1"/>
  <c r="M104" i="4" s="1"/>
  <c r="M105" i="1"/>
  <c r="M106" i="4" s="1"/>
  <c r="M107" i="1"/>
  <c r="M108" i="4" s="1"/>
  <c r="M109" i="1"/>
  <c r="M110" i="4" s="1"/>
  <c r="M111" i="1"/>
  <c r="M112" i="4" s="1"/>
  <c r="M113" i="1"/>
  <c r="M114" i="4" s="1"/>
  <c r="M115" i="1"/>
  <c r="M116" i="4" s="1"/>
  <c r="M117" i="1"/>
  <c r="M118" i="4" s="1"/>
  <c r="M119" i="1"/>
  <c r="M120" i="4" s="1"/>
  <c r="P120" i="4"/>
  <c r="M121" i="1"/>
  <c r="M122" i="4" s="1"/>
  <c r="M123" i="1"/>
  <c r="M124" i="4" s="1"/>
  <c r="M125" i="1"/>
  <c r="M126" i="4" s="1"/>
  <c r="M127" i="1"/>
  <c r="M128" i="4" s="1"/>
  <c r="M129" i="1"/>
  <c r="M130" i="4" s="1"/>
  <c r="M131" i="1"/>
  <c r="M132" i="4" s="1"/>
  <c r="P132" i="4"/>
  <c r="M133" i="1"/>
  <c r="M134" i="4" s="1"/>
  <c r="P134" i="4"/>
  <c r="M135" i="1"/>
  <c r="M136" i="4" s="1"/>
  <c r="P136" i="4"/>
  <c r="M137" i="1"/>
  <c r="M138" i="4" s="1"/>
  <c r="P138" i="4"/>
  <c r="O42" i="4"/>
  <c r="O45" i="4"/>
  <c r="O46" i="4"/>
  <c r="M43" i="4"/>
  <c r="M44" i="4"/>
  <c r="M46" i="4"/>
  <c r="M47" i="4"/>
  <c r="M48" i="4"/>
  <c r="M42" i="4"/>
  <c r="O56" i="1"/>
  <c r="O57" i="4" s="1"/>
  <c r="M56" i="1"/>
  <c r="O6" i="1" l="1"/>
  <c r="O7" i="4" s="1"/>
  <c r="M7" i="1"/>
  <c r="M8" i="4" s="1"/>
  <c r="P207" i="1"/>
  <c r="M128" i="1"/>
  <c r="M129" i="4" s="1"/>
  <c r="M116" i="1"/>
  <c r="M117" i="4" s="1"/>
  <c r="M108" i="1"/>
  <c r="M109" i="4" s="1"/>
  <c r="Q207" i="1"/>
  <c r="Q37" i="4"/>
  <c r="M45" i="4"/>
  <c r="P102" i="4"/>
  <c r="M95" i="1"/>
  <c r="M96" i="4" s="1"/>
  <c r="M91" i="1"/>
  <c r="M92" i="4" s="1"/>
  <c r="M87" i="1"/>
  <c r="M88" i="4" s="1"/>
  <c r="M83" i="1"/>
  <c r="M84" i="4" s="1"/>
  <c r="M77" i="1"/>
  <c r="M78" i="4" s="1"/>
  <c r="M73" i="1"/>
  <c r="M74" i="4" s="1"/>
  <c r="M67" i="1"/>
  <c r="M68" i="4" s="1"/>
  <c r="M61" i="1"/>
  <c r="M62" i="4" s="1"/>
  <c r="M55" i="1"/>
  <c r="M56" i="4" s="1"/>
  <c r="M51" i="1"/>
  <c r="M52" i="4" s="1"/>
  <c r="M39" i="1"/>
  <c r="M40" i="4" s="1"/>
  <c r="M29" i="1"/>
  <c r="M30" i="4" s="1"/>
  <c r="P14" i="4"/>
  <c r="P101" i="4"/>
  <c r="P93" i="4"/>
  <c r="P85" i="4"/>
  <c r="P77" i="4"/>
  <c r="P67" i="4"/>
  <c r="P55" i="4"/>
  <c r="P41" i="4"/>
  <c r="P23" i="4"/>
  <c r="P13" i="4"/>
  <c r="Q131" i="4"/>
  <c r="Q123" i="4"/>
  <c r="Q111" i="4"/>
  <c r="O35" i="1"/>
  <c r="O36" i="4" s="1"/>
  <c r="P115" i="4"/>
  <c r="Q18" i="4"/>
  <c r="P127" i="4"/>
  <c r="P107" i="4"/>
  <c r="P131" i="4"/>
  <c r="P123" i="4"/>
  <c r="P111" i="4"/>
  <c r="P103" i="4"/>
  <c r="P99" i="4"/>
  <c r="P95" i="4"/>
  <c r="P91" i="4"/>
  <c r="P87" i="4"/>
  <c r="P83" i="4"/>
  <c r="P79" i="4"/>
  <c r="P75" i="4"/>
  <c r="P69" i="4"/>
  <c r="P65" i="4"/>
  <c r="P59" i="4"/>
  <c r="P53" i="4"/>
  <c r="P49" i="4"/>
  <c r="P39" i="4"/>
  <c r="M34" i="1"/>
  <c r="M35" i="4" s="1"/>
  <c r="P31" i="4"/>
  <c r="P25" i="4"/>
  <c r="P19" i="4"/>
  <c r="P15" i="4"/>
  <c r="P11" i="4"/>
  <c r="O25" i="1"/>
  <c r="Q10" i="4"/>
  <c r="O42" i="1"/>
  <c r="O43" i="4" s="1"/>
  <c r="Q43" i="4"/>
  <c r="O43" i="1"/>
  <c r="O44" i="4" s="1"/>
  <c r="Q44" i="4"/>
  <c r="O46" i="1"/>
  <c r="O47" i="4" s="1"/>
  <c r="Q47" i="4"/>
  <c r="Q32" i="4"/>
  <c r="O31" i="1"/>
  <c r="O32" i="4" s="1"/>
  <c r="Q24" i="4"/>
  <c r="O23" i="1"/>
  <c r="O24" i="4" s="1"/>
  <c r="O15" i="1"/>
  <c r="O16" i="4" s="1"/>
  <c r="Q16" i="4"/>
  <c r="O7" i="1"/>
  <c r="O8" i="4" s="1"/>
  <c r="Q8" i="4"/>
  <c r="Q42" i="4"/>
  <c r="M137" i="4"/>
  <c r="M135" i="4"/>
  <c r="M133" i="4"/>
  <c r="O138" i="4"/>
  <c r="O136" i="4"/>
  <c r="O134" i="4"/>
  <c r="O132" i="4"/>
  <c r="M27" i="4"/>
  <c r="M31" i="4"/>
  <c r="O30" i="4"/>
  <c r="M25" i="4"/>
  <c r="O26" i="4"/>
  <c r="M20" i="4"/>
  <c r="M57" i="4"/>
  <c r="M207" i="1" l="1"/>
  <c r="P208" i="4"/>
  <c r="O207" i="1"/>
  <c r="Q208" i="4"/>
  <c r="O208" i="4"/>
  <c r="M208" i="4"/>
</calcChain>
</file>

<file path=xl/sharedStrings.xml><?xml version="1.0" encoding="utf-8"?>
<sst xmlns="http://schemas.openxmlformats.org/spreadsheetml/2006/main" count="68" uniqueCount="36">
  <si>
    <t>م</t>
  </si>
  <si>
    <t>كود العامل</t>
  </si>
  <si>
    <t>الاسم</t>
  </si>
  <si>
    <t>الوظيفة</t>
  </si>
  <si>
    <t>الادارة</t>
  </si>
  <si>
    <t>تاريخ التعيين</t>
  </si>
  <si>
    <t>عدد شهور العمل</t>
  </si>
  <si>
    <t>Gross</t>
  </si>
  <si>
    <t>Net</t>
  </si>
  <si>
    <t>Total</t>
  </si>
  <si>
    <t>قيمة الزيادة حسب تاريخ التعيين</t>
  </si>
  <si>
    <t>محاسب</t>
  </si>
  <si>
    <t>الادارة العليا</t>
  </si>
  <si>
    <t>الإنتاج</t>
  </si>
  <si>
    <t xml:space="preserve">الخدمات المعونه </t>
  </si>
  <si>
    <t>المخازن</t>
  </si>
  <si>
    <t>الأبحاث والتطوير</t>
  </si>
  <si>
    <t>Quality Control</t>
  </si>
  <si>
    <t>Quality Assurance</t>
  </si>
  <si>
    <t>سلسلة الإمداد</t>
  </si>
  <si>
    <t xml:space="preserve">الإدارة المالية </t>
  </si>
  <si>
    <t>الإدارة الهندسة</t>
  </si>
  <si>
    <t>المبيعات</t>
  </si>
  <si>
    <t>(IT)النظم والمعلومات</t>
  </si>
  <si>
    <t xml:space="preserve"> التسويق</t>
  </si>
  <si>
    <t xml:space="preserve"> الموارد البشرية </t>
  </si>
  <si>
    <t>الاقسام</t>
  </si>
  <si>
    <t>احمد محمد</t>
  </si>
  <si>
    <t>مندوب مبيعات</t>
  </si>
  <si>
    <t xml:space="preserve">احمد عبد الهادي </t>
  </si>
  <si>
    <t>الحسابات</t>
  </si>
  <si>
    <r>
      <rPr>
        <b/>
        <sz val="11"/>
        <color theme="1"/>
        <rFont val="Century Gothic"/>
        <family val="2"/>
      </rPr>
      <t>Prepared by</t>
    </r>
    <r>
      <rPr>
        <sz val="11"/>
        <color theme="1"/>
        <rFont val="Century Gothic"/>
        <family val="2"/>
      </rPr>
      <t xml:space="preserve">: </t>
    </r>
    <r>
      <rPr>
        <b/>
        <sz val="11"/>
        <color theme="1"/>
        <rFont val="Century Gothic"/>
        <family val="2"/>
      </rPr>
      <t>Islam eid</t>
    </r>
  </si>
  <si>
    <t>سجل حساب الزيادة السنوية للموظفين</t>
  </si>
  <si>
    <t>كشف باسماء العاملين المستحقين للزيادة السنوية</t>
  </si>
  <si>
    <t xml:space="preserve">WhatsApp : 01005085674   </t>
  </si>
  <si>
    <t>النسبة المئوية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</si>
</sst>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_-;_-* #,##0\-;_-* &quot;-&quot;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theme="0"/>
      <name val="Andalus"/>
      <family val="1"/>
    </font>
    <font>
      <b/>
      <sz val="24"/>
      <color theme="0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164" fontId="3" fillId="7" borderId="1" xfId="0" applyNumberFormat="1" applyFont="1" applyFill="1" applyBorder="1" applyAlignment="1" applyProtection="1">
      <alignment horizontal="center" vertical="center"/>
      <protection hidden="1"/>
    </xf>
    <xf numFmtId="164" fontId="3" fillId="2" borderId="1" xfId="0" applyNumberFormat="1" applyFont="1" applyFill="1" applyBorder="1" applyAlignment="1" applyProtection="1">
      <alignment horizontal="center" vertical="center"/>
      <protection hidden="1"/>
    </xf>
    <xf numFmtId="164" fontId="3" fillId="6" borderId="1" xfId="0" applyNumberFormat="1" applyFont="1" applyFill="1" applyBorder="1" applyAlignment="1" applyProtection="1">
      <alignment horizontal="center" vertical="center"/>
      <protection hidden="1"/>
    </xf>
    <xf numFmtId="164" fontId="3" fillId="4" borderId="1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7" xfId="0" applyFont="1" applyFill="1" applyBorder="1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 textRotation="90"/>
      <protection locked="0"/>
    </xf>
    <xf numFmtId="14" fontId="5" fillId="0" borderId="1" xfId="0" applyNumberFormat="1" applyFont="1" applyBorder="1" applyAlignment="1" applyProtection="1">
      <alignment horizontal="center" vertical="center" textRotation="90"/>
      <protection locked="0"/>
    </xf>
    <xf numFmtId="0" fontId="5" fillId="0" borderId="1" xfId="0" applyFont="1" applyBorder="1" applyAlignment="1" applyProtection="1">
      <alignment horizontal="center" vertical="center" textRotation="90" wrapText="1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9" fontId="6" fillId="3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9" fontId="6" fillId="6" borderId="1" xfId="0" applyNumberFormat="1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9" fontId="3" fillId="0" borderId="1" xfId="0" applyNumberFormat="1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vertical="center"/>
      <protection locked="0"/>
    </xf>
    <xf numFmtId="0" fontId="9" fillId="0" borderId="0" xfId="0" applyFont="1"/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4" xfId="0" applyFont="1" applyBorder="1" applyAlignment="1" applyProtection="1">
      <alignment horizontal="center" vertical="center"/>
      <protection hidden="1"/>
    </xf>
    <xf numFmtId="9" fontId="2" fillId="0" borderId="4" xfId="1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9" fontId="2" fillId="0" borderId="3" xfId="1" applyFont="1" applyBorder="1" applyAlignment="1" applyProtection="1">
      <alignment horizontal="center" vertical="center"/>
      <protection hidden="1"/>
    </xf>
    <xf numFmtId="14" fontId="2" fillId="0" borderId="4" xfId="0" applyNumberFormat="1" applyFont="1" applyBorder="1" applyAlignment="1" applyProtection="1">
      <alignment horizontal="center" vertical="center"/>
      <protection hidden="1"/>
    </xf>
    <xf numFmtId="164" fontId="2" fillId="0" borderId="4" xfId="0" applyNumberFormat="1" applyFont="1" applyBorder="1" applyAlignment="1" applyProtection="1">
      <alignment horizontal="center" vertical="center"/>
      <protection hidden="1"/>
    </xf>
    <xf numFmtId="14" fontId="2" fillId="0" borderId="3" xfId="0" applyNumberFormat="1" applyFont="1" applyBorder="1" applyAlignment="1" applyProtection="1">
      <alignment horizontal="center" vertical="center"/>
      <protection hidden="1"/>
    </xf>
    <xf numFmtId="164" fontId="2" fillId="0" borderId="3" xfId="0" applyNumberFormat="1" applyFont="1" applyBorder="1" applyAlignment="1" applyProtection="1">
      <alignment horizontal="center" vertical="center"/>
      <protection hidden="1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4" borderId="8" xfId="0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 applyProtection="1">
      <alignment horizontal="center" vertical="center"/>
      <protection locked="0"/>
    </xf>
    <xf numFmtId="14" fontId="2" fillId="0" borderId="3" xfId="0" applyNumberFormat="1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0" fillId="9" borderId="0" xfId="0" applyFill="1"/>
    <xf numFmtId="0" fontId="14" fillId="0" borderId="0" xfId="0" applyFont="1" applyFill="1" applyAlignment="1" applyProtection="1">
      <protection hidden="1"/>
    </xf>
    <xf numFmtId="0" fontId="14" fillId="10" borderId="0" xfId="0" applyFont="1" applyFill="1" applyAlignment="1" applyProtection="1">
      <protection hidden="1"/>
    </xf>
    <xf numFmtId="164" fontId="2" fillId="2" borderId="4" xfId="0" applyNumberFormat="1" applyFont="1" applyFill="1" applyBorder="1" applyAlignment="1" applyProtection="1">
      <alignment horizontal="center" vertical="center"/>
      <protection locked="0"/>
    </xf>
    <xf numFmtId="164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164" fontId="2" fillId="4" borderId="4" xfId="0" applyNumberFormat="1" applyFont="1" applyFill="1" applyBorder="1" applyAlignment="1" applyProtection="1">
      <alignment horizontal="center" vertical="center"/>
      <protection locked="0"/>
    </xf>
    <xf numFmtId="164" fontId="2" fillId="4" borderId="2" xfId="0" applyNumberFormat="1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2" fillId="4" borderId="3" xfId="0" applyFont="1" applyFill="1" applyBorder="1" applyAlignment="1" applyProtection="1">
      <alignment horizontal="center" vertical="center"/>
      <protection locked="0"/>
    </xf>
    <xf numFmtId="164" fontId="2" fillId="4" borderId="4" xfId="0" applyNumberFormat="1" applyFont="1" applyFill="1" applyBorder="1" applyAlignment="1" applyProtection="1">
      <alignment horizontal="center" vertical="center"/>
      <protection hidden="1"/>
    </xf>
    <xf numFmtId="164" fontId="2" fillId="4" borderId="3" xfId="0" applyNumberFormat="1" applyFont="1" applyFill="1" applyBorder="1" applyAlignment="1" applyProtection="1">
      <alignment horizontal="center" vertical="center"/>
      <protection hidden="1"/>
    </xf>
    <xf numFmtId="164" fontId="2" fillId="2" borderId="4" xfId="0" applyNumberFormat="1" applyFont="1" applyFill="1" applyBorder="1" applyAlignment="1" applyProtection="1">
      <alignment horizontal="center" vertical="center"/>
      <protection hidden="1"/>
    </xf>
    <xf numFmtId="164" fontId="2" fillId="2" borderId="3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Alignment="1" applyProtection="1">
      <alignment horizontal="center" vertical="center"/>
      <protection locked="0"/>
    </xf>
    <xf numFmtId="0" fontId="13" fillId="9" borderId="0" xfId="0" applyFont="1" applyFill="1" applyAlignment="1" applyProtection="1">
      <alignment horizontal="center" vertical="center"/>
      <protection locked="0"/>
    </xf>
    <xf numFmtId="0" fontId="14" fillId="10" borderId="0" xfId="0" applyFont="1" applyFill="1" applyAlignment="1" applyProtection="1">
      <alignment horizontal="center"/>
      <protection hidden="1"/>
    </xf>
    <xf numFmtId="49" fontId="15" fillId="10" borderId="0" xfId="0" applyNumberFormat="1" applyFont="1" applyFill="1" applyAlignment="1" applyProtection="1">
      <alignment horizontal="left"/>
      <protection hidden="1"/>
    </xf>
    <xf numFmtId="164" fontId="6" fillId="0" borderId="6" xfId="0" applyNumberFormat="1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5" fillId="2" borderId="6" xfId="0" applyFont="1" applyFill="1" applyBorder="1" applyAlignment="1" applyProtection="1">
      <alignment horizontal="center" vertical="center"/>
      <protection locked="0"/>
    </xf>
    <xf numFmtId="0" fontId="5" fillId="2" borderId="5" xfId="0" applyFont="1" applyFill="1" applyBorder="1" applyAlignment="1" applyProtection="1">
      <alignment horizontal="center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locked="0"/>
    </xf>
    <xf numFmtId="0" fontId="5" fillId="5" borderId="5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hidden="1"/>
    </xf>
    <xf numFmtId="0" fontId="16" fillId="0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ttings!A1"/><Relationship Id="rId2" Type="http://schemas.openxmlformats.org/officeDocument/2006/relationships/hyperlink" Target="#'&#1575;&#1604;&#1575;&#1587;&#1578;&#1593;&#1604;&#1575;&#1605; &#1604;&#1603;&#1604; &#1602;&#1587;&#1605;'!A1"/><Relationship Id="rId1" Type="http://schemas.openxmlformats.org/officeDocument/2006/relationships/hyperlink" Target="#'&#1587;&#1580;&#1604; &#1581;&#1587;&#1575;&#1576; &#1575;&#1604;&#1586;&#1610;&#1575;&#1583;&#1577; &#1575;&#1604;&#1587;&#1606;&#1608;&#1610;&#1577;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257174</xdr:colOff>
      <xdr:row>16</xdr:row>
      <xdr:rowOff>171450</xdr:rowOff>
    </xdr:from>
    <xdr:to>
      <xdr:col>18</xdr:col>
      <xdr:colOff>209550</xdr:colOff>
      <xdr:row>19</xdr:row>
      <xdr:rowOff>95250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5455719975" y="3067050"/>
          <a:ext cx="3286126" cy="466725"/>
        </a:xfrm>
        <a:prstGeom prst="rect">
          <a:avLst/>
        </a:prstGeom>
        <a:solidFill>
          <a:schemeClr val="accent2">
            <a:lumMod val="50000"/>
          </a:schemeClr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 b="1">
              <a:latin typeface="Andalus" panose="02020603050405020304" pitchFamily="18" charset="-78"/>
              <a:cs typeface="Andalus" panose="02020603050405020304" pitchFamily="18" charset="-78"/>
            </a:rPr>
            <a:t>كشف</a:t>
          </a:r>
          <a:r>
            <a:rPr lang="ar-EG" sz="2000" b="1" baseline="0">
              <a:latin typeface="Andalus" panose="02020603050405020304" pitchFamily="18" charset="-78"/>
              <a:cs typeface="Andalus" panose="02020603050405020304" pitchFamily="18" charset="-78"/>
            </a:rPr>
            <a:t> حساب الزيادة السنوية للعاملين</a:t>
          </a:r>
        </a:p>
      </xdr:txBody>
    </xdr:sp>
    <xdr:clientData/>
  </xdr:twoCellAnchor>
  <xdr:twoCellAnchor>
    <xdr:from>
      <xdr:col>8</xdr:col>
      <xdr:colOff>247650</xdr:colOff>
      <xdr:row>20</xdr:row>
      <xdr:rowOff>95250</xdr:rowOff>
    </xdr:from>
    <xdr:to>
      <xdr:col>29</xdr:col>
      <xdr:colOff>142875</xdr:colOff>
      <xdr:row>22</xdr:row>
      <xdr:rowOff>171450</xdr:rowOff>
    </xdr:to>
    <xdr:sp macro="" textlink="">
      <xdr:nvSpPr>
        <xdr:cNvPr id="6" name="Rectangle 5">
          <a:hlinkClick xmlns:r="http://schemas.openxmlformats.org/officeDocument/2006/relationships" r:id="rId2"/>
        </xdr:cNvPr>
        <xdr:cNvSpPr/>
      </xdr:nvSpPr>
      <xdr:spPr>
        <a:xfrm>
          <a:off x="5452119525" y="3714750"/>
          <a:ext cx="6896100" cy="438150"/>
        </a:xfrm>
        <a:prstGeom prst="rect">
          <a:avLst/>
        </a:prstGeom>
        <a:solidFill>
          <a:schemeClr val="accent2">
            <a:lumMod val="50000"/>
          </a:schemeClr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 b="1" baseline="0">
              <a:latin typeface="Andalus" panose="02020603050405020304" pitchFamily="18" charset="-78"/>
              <a:cs typeface="Andalus" panose="02020603050405020304" pitchFamily="18" charset="-78"/>
            </a:rPr>
            <a:t>الإستعلام عن كل قسم بالشركة</a:t>
          </a:r>
        </a:p>
      </xdr:txBody>
    </xdr:sp>
    <xdr:clientData/>
  </xdr:twoCellAnchor>
  <xdr:twoCellAnchor>
    <xdr:from>
      <xdr:col>19</xdr:col>
      <xdr:colOff>38101</xdr:colOff>
      <xdr:row>16</xdr:row>
      <xdr:rowOff>171450</xdr:rowOff>
    </xdr:from>
    <xdr:to>
      <xdr:col>29</xdr:col>
      <xdr:colOff>123826</xdr:colOff>
      <xdr:row>19</xdr:row>
      <xdr:rowOff>95250</xdr:rowOff>
    </xdr:to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5452138574" y="3067050"/>
          <a:ext cx="3419475" cy="466725"/>
        </a:xfrm>
        <a:prstGeom prst="rect">
          <a:avLst/>
        </a:prstGeom>
        <a:solidFill>
          <a:schemeClr val="accent2">
            <a:lumMod val="50000"/>
          </a:schemeClr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2000" b="1"/>
            <a:t>Settings</a:t>
          </a:r>
          <a:endParaRPr lang="ar-EG" sz="2000" b="1" baseline="0">
            <a:latin typeface="Andalus" panose="02020603050405020304" pitchFamily="18" charset="-78"/>
            <a:cs typeface="Andalus" panose="02020603050405020304" pitchFamily="18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258537</xdr:colOff>
      <xdr:row>0</xdr:row>
      <xdr:rowOff>340179</xdr:rowOff>
    </xdr:from>
    <xdr:to>
      <xdr:col>2</xdr:col>
      <xdr:colOff>184703</xdr:colOff>
      <xdr:row>2</xdr:row>
      <xdr:rowOff>149680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9B6B0F5-1E00-4DA7-B1D9-FD5B849D0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0651155" y="340179"/>
          <a:ext cx="606523" cy="6395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299357</xdr:colOff>
      <xdr:row>1</xdr:row>
      <xdr:rowOff>136071</xdr:rowOff>
    </xdr:from>
    <xdr:to>
      <xdr:col>4</xdr:col>
      <xdr:colOff>855483</xdr:colOff>
      <xdr:row>2</xdr:row>
      <xdr:rowOff>270186</xdr:rowOff>
    </xdr:to>
    <xdr:pic macro="[0]!Filter4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6415303" y="503464"/>
          <a:ext cx="556126" cy="664793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1238250</xdr:colOff>
      <xdr:row>1</xdr:row>
      <xdr:rowOff>204107</xdr:rowOff>
    </xdr:from>
    <xdr:to>
      <xdr:col>2</xdr:col>
      <xdr:colOff>1868977</xdr:colOff>
      <xdr:row>2</xdr:row>
      <xdr:rowOff>347747</xdr:rowOff>
    </xdr:to>
    <xdr:pic macro="[0]!UnFilter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49769702" y="571500"/>
          <a:ext cx="630727" cy="674318"/>
        </a:xfrm>
        <a:prstGeom prst="rect">
          <a:avLst/>
        </a:prstGeom>
      </xdr:spPr>
    </xdr:pic>
    <xdr:clientData/>
  </xdr:twoCellAnchor>
  <xdr:twoCellAnchor editAs="oneCell">
    <xdr:from>
      <xdr:col>16</xdr:col>
      <xdr:colOff>163284</xdr:colOff>
      <xdr:row>0</xdr:row>
      <xdr:rowOff>299358</xdr:rowOff>
    </xdr:from>
    <xdr:to>
      <xdr:col>16</xdr:col>
      <xdr:colOff>769807</xdr:colOff>
      <xdr:row>2</xdr:row>
      <xdr:rowOff>40824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E9B6B0F5-1E00-4DA7-B1D9-FD5B849D0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6540550" y="299358"/>
          <a:ext cx="606523" cy="6395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533400</xdr:colOff>
      <xdr:row>0</xdr:row>
      <xdr:rowOff>171450</xdr:rowOff>
    </xdr:from>
    <xdr:to>
      <xdr:col>8</xdr:col>
      <xdr:colOff>454123</xdr:colOff>
      <xdr:row>3</xdr:row>
      <xdr:rowOff>106137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9B6B0F5-1E00-4DA7-B1D9-FD5B849D0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0206677" y="171450"/>
          <a:ext cx="606523" cy="63953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C3:C8" totalsRowShown="0" headerRowDxfId="2" dataDxfId="1">
  <autoFilter ref="C3:C8"/>
  <tableColumns count="1">
    <tableColumn id="1" name="الاقسام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12:AJ32"/>
  <sheetViews>
    <sheetView showGridLines="0" rightToLeft="1" workbookViewId="0">
      <pane ySplit="35" topLeftCell="A42" activePane="bottomLeft" state="frozen"/>
      <selection pane="bottomLeft"/>
    </sheetView>
  </sheetViews>
  <sheetFormatPr defaultColWidth="4.42578125" defaultRowHeight="15" x14ac:dyDescent="0.25"/>
  <cols>
    <col min="8" max="8" width="3.28515625" customWidth="1"/>
    <col min="31" max="31" width="3.28515625" customWidth="1"/>
  </cols>
  <sheetData>
    <row r="12" spans="8:31" x14ac:dyDescent="0.25">
      <c r="H12" s="63" t="s">
        <v>32</v>
      </c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</row>
    <row r="13" spans="8:31" x14ac:dyDescent="0.25"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</row>
    <row r="14" spans="8:31" x14ac:dyDescent="0.25"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</row>
    <row r="15" spans="8:31" x14ac:dyDescent="0.25"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</row>
    <row r="16" spans="8:31" x14ac:dyDescent="0.25">
      <c r="H16" s="48"/>
      <c r="AE16" s="48"/>
    </row>
    <row r="17" spans="8:36" x14ac:dyDescent="0.25">
      <c r="H17" s="48"/>
      <c r="AE17" s="48"/>
    </row>
    <row r="18" spans="8:36" x14ac:dyDescent="0.25">
      <c r="H18" s="48"/>
      <c r="AE18" s="48"/>
    </row>
    <row r="19" spans="8:36" x14ac:dyDescent="0.25">
      <c r="H19" s="48"/>
      <c r="AE19" s="48"/>
    </row>
    <row r="20" spans="8:36" x14ac:dyDescent="0.25">
      <c r="H20" s="48"/>
      <c r="AE20" s="48"/>
    </row>
    <row r="21" spans="8:36" x14ac:dyDescent="0.25">
      <c r="H21" s="48"/>
      <c r="AE21" s="48"/>
    </row>
    <row r="22" spans="8:36" x14ac:dyDescent="0.25">
      <c r="H22" s="48"/>
      <c r="AE22" s="48"/>
    </row>
    <row r="23" spans="8:36" x14ac:dyDescent="0.25">
      <c r="H23" s="48"/>
      <c r="AE23" s="48"/>
    </row>
    <row r="24" spans="8:36" x14ac:dyDescent="0.25">
      <c r="H24" s="48"/>
      <c r="AE24" s="48"/>
    </row>
    <row r="25" spans="8:36" x14ac:dyDescent="0.25">
      <c r="H25" s="48"/>
      <c r="AE25" s="48"/>
    </row>
    <row r="26" spans="8:36" x14ac:dyDescent="0.25"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</row>
    <row r="31" spans="8:36" ht="16.5" x14ac:dyDescent="0.3">
      <c r="AA31" s="49"/>
      <c r="AB31" s="49"/>
      <c r="AC31" s="50"/>
      <c r="AD31" s="65" t="s">
        <v>31</v>
      </c>
      <c r="AE31" s="65"/>
      <c r="AF31" s="65"/>
      <c r="AG31" s="65"/>
      <c r="AH31" s="65"/>
      <c r="AI31" s="49"/>
      <c r="AJ31" s="49"/>
    </row>
    <row r="32" spans="8:36" x14ac:dyDescent="0.25">
      <c r="AC32" s="66" t="s">
        <v>34</v>
      </c>
      <c r="AD32" s="66"/>
      <c r="AE32" s="66"/>
      <c r="AF32" s="66"/>
      <c r="AG32" s="66"/>
      <c r="AH32" s="66"/>
    </row>
  </sheetData>
  <sheetProtection password="C44E" sheet="1" objects="1" scenarios="1" formatCells="0" formatColumns="0" formatRows="0" insertColumns="0" insertRows="0" insertHyperlinks="0" deleteColumns="0" deleteRows="0" sort="0" autoFilter="0" pivotTables="0"/>
  <mergeCells count="3">
    <mergeCell ref="H12:AE15"/>
    <mergeCell ref="AD31:AH31"/>
    <mergeCell ref="AC32:AH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08"/>
  <sheetViews>
    <sheetView showGridLines="0" rightToLeft="1" zoomScale="70" zoomScaleNormal="70" zoomScalePageLayoutView="40" workbookViewId="0">
      <pane ySplit="5" topLeftCell="A6" activePane="bottomLeft" state="frozen"/>
      <selection pane="bottomLeft"/>
    </sheetView>
  </sheetViews>
  <sheetFormatPr defaultRowHeight="15" x14ac:dyDescent="0.25"/>
  <cols>
    <col min="1" max="1" width="5.42578125" customWidth="1"/>
    <col min="3" max="3" width="28.42578125" bestFit="1" customWidth="1"/>
    <col min="4" max="4" width="28.85546875" bestFit="1" customWidth="1"/>
    <col min="5" max="5" width="19.28515625" bestFit="1" customWidth="1"/>
    <col min="6" max="6" width="12.5703125" style="1" bestFit="1" customWidth="1"/>
    <col min="7" max="7" width="5.85546875" hidden="1" customWidth="1"/>
    <col min="8" max="8" width="5.85546875" customWidth="1"/>
    <col min="9" max="9" width="7" customWidth="1"/>
    <col min="10" max="11" width="10.7109375" bestFit="1" customWidth="1"/>
    <col min="12" max="12" width="11.42578125" bestFit="1" customWidth="1"/>
    <col min="13" max="13" width="13.5703125" bestFit="1" customWidth="1"/>
    <col min="14" max="14" width="11.42578125" bestFit="1" customWidth="1"/>
    <col min="15" max="15" width="13.5703125" bestFit="1" customWidth="1"/>
    <col min="16" max="17" width="14.42578125" customWidth="1"/>
  </cols>
  <sheetData>
    <row r="1" spans="1:17" ht="28.5" customHeight="1" x14ac:dyDescent="0.25"/>
    <row r="2" spans="1:17" ht="36.75" customHeight="1" thickBot="1" x14ac:dyDescent="0.3">
      <c r="A2" s="73" t="s">
        <v>33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28.5" customHeight="1" thickTop="1" thickBot="1" x14ac:dyDescent="0.3">
      <c r="L3" s="67">
        <f>SUM(L6:L205)</f>
        <v>1400</v>
      </c>
      <c r="M3" s="68"/>
      <c r="N3" s="67">
        <f>SUM(N6:N205)</f>
        <v>1300</v>
      </c>
      <c r="O3" s="68"/>
    </row>
    <row r="4" spans="1:17" ht="34.5" customHeight="1" thickTop="1" thickBot="1" x14ac:dyDescent="0.3">
      <c r="F4" s="6"/>
      <c r="G4" s="6"/>
      <c r="H4" s="6"/>
      <c r="I4" s="6"/>
      <c r="J4" s="6"/>
      <c r="K4" s="7"/>
      <c r="L4" s="69" t="s">
        <v>7</v>
      </c>
      <c r="M4" s="70"/>
      <c r="N4" s="71" t="s">
        <v>8</v>
      </c>
      <c r="O4" s="72"/>
      <c r="P4" s="40" t="s">
        <v>7</v>
      </c>
      <c r="Q4" s="41" t="s">
        <v>8</v>
      </c>
    </row>
    <row r="5" spans="1:17" ht="94.5" thickTop="1" thickBot="1" x14ac:dyDescent="0.3">
      <c r="A5" s="17" t="s">
        <v>0</v>
      </c>
      <c r="B5" s="18" t="s">
        <v>1</v>
      </c>
      <c r="C5" s="17" t="s">
        <v>2</v>
      </c>
      <c r="D5" s="17" t="s">
        <v>3</v>
      </c>
      <c r="E5" s="17" t="s">
        <v>4</v>
      </c>
      <c r="F5" s="19" t="s">
        <v>5</v>
      </c>
      <c r="G5" s="20" t="s">
        <v>6</v>
      </c>
      <c r="H5" s="20" t="s">
        <v>6</v>
      </c>
      <c r="I5" s="20" t="s">
        <v>35</v>
      </c>
      <c r="J5" s="23" t="s">
        <v>7</v>
      </c>
      <c r="K5" s="25" t="s">
        <v>8</v>
      </c>
      <c r="L5" s="22">
        <v>0.1</v>
      </c>
      <c r="M5" s="23" t="s">
        <v>9</v>
      </c>
      <c r="N5" s="24">
        <v>0.1</v>
      </c>
      <c r="O5" s="25" t="s">
        <v>9</v>
      </c>
      <c r="P5" s="26" t="s">
        <v>10</v>
      </c>
      <c r="Q5" s="26" t="s">
        <v>10</v>
      </c>
    </row>
    <row r="6" spans="1:17" ht="22.5" customHeight="1" thickTop="1" x14ac:dyDescent="0.25">
      <c r="A6" s="45">
        <v>1</v>
      </c>
      <c r="B6" s="45">
        <v>1</v>
      </c>
      <c r="C6" s="45" t="s">
        <v>27</v>
      </c>
      <c r="D6" s="45" t="s">
        <v>28</v>
      </c>
      <c r="E6" s="45" t="s">
        <v>22</v>
      </c>
      <c r="F6" s="42">
        <v>43891</v>
      </c>
      <c r="G6" s="32">
        <f ca="1">IF(F6="","",DATEDIF(F6,TODAY(),"m"))</f>
        <v>24</v>
      </c>
      <c r="H6" s="32">
        <f ca="1">IF(G6="","",IF(G6&gt;=12,12,G6))</f>
        <v>12</v>
      </c>
      <c r="I6" s="33">
        <f ca="1">IF(H6="","",H6/12)</f>
        <v>1</v>
      </c>
      <c r="J6" s="51">
        <v>8000</v>
      </c>
      <c r="K6" s="55">
        <v>7500</v>
      </c>
      <c r="L6" s="37">
        <f t="shared" ref="L6:L69" si="0">IF(J6="","",J6*$L$5)</f>
        <v>800</v>
      </c>
      <c r="M6" s="37">
        <f t="shared" ref="M6:M37" ca="1" si="1">IF(I6="","",J6+P6)</f>
        <v>8800</v>
      </c>
      <c r="N6" s="37">
        <f t="shared" ref="N6:N37" si="2">IF(K6="","",K6*$N$5)</f>
        <v>750</v>
      </c>
      <c r="O6" s="37">
        <f t="shared" ref="O6:O37" ca="1" si="3">IF(I6="","",K6+Q6)</f>
        <v>8250</v>
      </c>
      <c r="P6" s="37">
        <f ca="1">IF(H6&lt;6,0,IF(I6="","",L6*I6))</f>
        <v>800</v>
      </c>
      <c r="Q6" s="37">
        <f ca="1">IF(H6&lt;6,0,IF(I6="","",N6*I6))</f>
        <v>750</v>
      </c>
    </row>
    <row r="7" spans="1:17" ht="22.5" customHeight="1" x14ac:dyDescent="0.25">
      <c r="A7" s="46">
        <v>2</v>
      </c>
      <c r="B7" s="46">
        <v>1260</v>
      </c>
      <c r="C7" s="46" t="s">
        <v>29</v>
      </c>
      <c r="D7" s="46" t="s">
        <v>11</v>
      </c>
      <c r="E7" s="46" t="s">
        <v>30</v>
      </c>
      <c r="F7" s="43">
        <v>42430</v>
      </c>
      <c r="G7" s="32">
        <f t="shared" ref="G7:G70" ca="1" si="4">IF(F7="","",DATEDIF(F7,TODAY(),"m"))</f>
        <v>72</v>
      </c>
      <c r="H7" s="32">
        <f t="shared" ref="H7:H70" ca="1" si="5">IF(G7="","",IF(G7&gt;=12,12,G7))</f>
        <v>12</v>
      </c>
      <c r="I7" s="33">
        <f t="shared" ref="I7:I70" ca="1" si="6">IF(H7="","",H7/12)</f>
        <v>1</v>
      </c>
      <c r="J7" s="52">
        <v>6000</v>
      </c>
      <c r="K7" s="56">
        <v>5500</v>
      </c>
      <c r="L7" s="37">
        <f t="shared" si="0"/>
        <v>600</v>
      </c>
      <c r="M7" s="37">
        <f t="shared" ca="1" si="1"/>
        <v>6600</v>
      </c>
      <c r="N7" s="37">
        <f t="shared" si="2"/>
        <v>550</v>
      </c>
      <c r="O7" s="37">
        <f t="shared" ca="1" si="3"/>
        <v>6050</v>
      </c>
      <c r="P7" s="37">
        <f t="shared" ref="P7:P70" ca="1" si="7">IF(H7&lt;6,0,IF(I7="","",L7*I7))</f>
        <v>600</v>
      </c>
      <c r="Q7" s="37">
        <f t="shared" ref="Q7:Q70" ca="1" si="8">IF(H7&lt;6,0,IF(I7="","",N7*I7))</f>
        <v>550</v>
      </c>
    </row>
    <row r="8" spans="1:17" ht="22.5" customHeight="1" x14ac:dyDescent="0.25">
      <c r="A8" s="46">
        <v>3</v>
      </c>
      <c r="B8" s="46"/>
      <c r="C8" s="46"/>
      <c r="D8" s="46"/>
      <c r="E8" s="46"/>
      <c r="F8" s="43"/>
      <c r="G8" s="32" t="str">
        <f t="shared" ca="1" si="4"/>
        <v/>
      </c>
      <c r="H8" s="32" t="str">
        <f t="shared" ca="1" si="5"/>
        <v/>
      </c>
      <c r="I8" s="33" t="str">
        <f t="shared" ca="1" si="6"/>
        <v/>
      </c>
      <c r="J8" s="52"/>
      <c r="K8" s="56"/>
      <c r="L8" s="37" t="str">
        <f t="shared" si="0"/>
        <v/>
      </c>
      <c r="M8" s="37" t="str">
        <f t="shared" ca="1" si="1"/>
        <v/>
      </c>
      <c r="N8" s="37" t="str">
        <f t="shared" si="2"/>
        <v/>
      </c>
      <c r="O8" s="37" t="str">
        <f t="shared" ca="1" si="3"/>
        <v/>
      </c>
      <c r="P8" s="37" t="str">
        <f t="shared" ca="1" si="7"/>
        <v/>
      </c>
      <c r="Q8" s="37" t="str">
        <f t="shared" ca="1" si="8"/>
        <v/>
      </c>
    </row>
    <row r="9" spans="1:17" ht="22.5" customHeight="1" x14ac:dyDescent="0.25">
      <c r="A9" s="46">
        <v>4</v>
      </c>
      <c r="B9" s="46"/>
      <c r="C9" s="46"/>
      <c r="D9" s="46"/>
      <c r="E9" s="46"/>
      <c r="F9" s="43"/>
      <c r="G9" s="32" t="str">
        <f t="shared" ca="1" si="4"/>
        <v/>
      </c>
      <c r="H9" s="32" t="str">
        <f t="shared" ca="1" si="5"/>
        <v/>
      </c>
      <c r="I9" s="33" t="str">
        <f t="shared" ca="1" si="6"/>
        <v/>
      </c>
      <c r="J9" s="52"/>
      <c r="K9" s="56"/>
      <c r="L9" s="37" t="str">
        <f t="shared" si="0"/>
        <v/>
      </c>
      <c r="M9" s="37" t="str">
        <f t="shared" ca="1" si="1"/>
        <v/>
      </c>
      <c r="N9" s="37" t="str">
        <f t="shared" si="2"/>
        <v/>
      </c>
      <c r="O9" s="37" t="str">
        <f t="shared" ca="1" si="3"/>
        <v/>
      </c>
      <c r="P9" s="37" t="str">
        <f t="shared" ca="1" si="7"/>
        <v/>
      </c>
      <c r="Q9" s="37" t="str">
        <f t="shared" ca="1" si="8"/>
        <v/>
      </c>
    </row>
    <row r="10" spans="1:17" ht="22.5" customHeight="1" x14ac:dyDescent="0.25">
      <c r="A10" s="46">
        <v>5</v>
      </c>
      <c r="B10" s="46"/>
      <c r="C10" s="46"/>
      <c r="D10" s="46"/>
      <c r="E10" s="46"/>
      <c r="F10" s="43"/>
      <c r="G10" s="32" t="str">
        <f t="shared" ca="1" si="4"/>
        <v/>
      </c>
      <c r="H10" s="32" t="str">
        <f t="shared" ca="1" si="5"/>
        <v/>
      </c>
      <c r="I10" s="33" t="str">
        <f t="shared" ca="1" si="6"/>
        <v/>
      </c>
      <c r="J10" s="52"/>
      <c r="K10" s="56"/>
      <c r="L10" s="37" t="str">
        <f t="shared" si="0"/>
        <v/>
      </c>
      <c r="M10" s="37" t="str">
        <f t="shared" ca="1" si="1"/>
        <v/>
      </c>
      <c r="N10" s="37" t="str">
        <f t="shared" si="2"/>
        <v/>
      </c>
      <c r="O10" s="37" t="str">
        <f t="shared" ca="1" si="3"/>
        <v/>
      </c>
      <c r="P10" s="37" t="str">
        <f t="shared" ca="1" si="7"/>
        <v/>
      </c>
      <c r="Q10" s="37" t="str">
        <f t="shared" ca="1" si="8"/>
        <v/>
      </c>
    </row>
    <row r="11" spans="1:17" ht="22.5" customHeight="1" x14ac:dyDescent="0.25">
      <c r="A11" s="46">
        <v>6</v>
      </c>
      <c r="B11" s="46"/>
      <c r="C11" s="46"/>
      <c r="D11" s="46"/>
      <c r="E11" s="46"/>
      <c r="F11" s="43"/>
      <c r="G11" s="32" t="str">
        <f t="shared" ca="1" si="4"/>
        <v/>
      </c>
      <c r="H11" s="32" t="str">
        <f t="shared" ca="1" si="5"/>
        <v/>
      </c>
      <c r="I11" s="33" t="str">
        <f t="shared" ca="1" si="6"/>
        <v/>
      </c>
      <c r="J11" s="52"/>
      <c r="K11" s="56"/>
      <c r="L11" s="37" t="str">
        <f t="shared" si="0"/>
        <v/>
      </c>
      <c r="M11" s="37" t="str">
        <f t="shared" ca="1" si="1"/>
        <v/>
      </c>
      <c r="N11" s="37" t="str">
        <f t="shared" si="2"/>
        <v/>
      </c>
      <c r="O11" s="37" t="str">
        <f t="shared" ca="1" si="3"/>
        <v/>
      </c>
      <c r="P11" s="37" t="str">
        <f t="shared" ca="1" si="7"/>
        <v/>
      </c>
      <c r="Q11" s="37" t="str">
        <f t="shared" ca="1" si="8"/>
        <v/>
      </c>
    </row>
    <row r="12" spans="1:17" ht="22.5" customHeight="1" x14ac:dyDescent="0.25">
      <c r="A12" s="46">
        <v>7</v>
      </c>
      <c r="B12" s="46"/>
      <c r="C12" s="46"/>
      <c r="D12" s="46"/>
      <c r="E12" s="46"/>
      <c r="F12" s="43"/>
      <c r="G12" s="32" t="str">
        <f t="shared" ca="1" si="4"/>
        <v/>
      </c>
      <c r="H12" s="32" t="str">
        <f t="shared" ca="1" si="5"/>
        <v/>
      </c>
      <c r="I12" s="33" t="str">
        <f t="shared" ca="1" si="6"/>
        <v/>
      </c>
      <c r="J12" s="52"/>
      <c r="K12" s="56"/>
      <c r="L12" s="37" t="str">
        <f t="shared" si="0"/>
        <v/>
      </c>
      <c r="M12" s="37" t="str">
        <f t="shared" ca="1" si="1"/>
        <v/>
      </c>
      <c r="N12" s="37" t="str">
        <f t="shared" si="2"/>
        <v/>
      </c>
      <c r="O12" s="37" t="str">
        <f t="shared" ca="1" si="3"/>
        <v/>
      </c>
      <c r="P12" s="37" t="str">
        <f t="shared" ca="1" si="7"/>
        <v/>
      </c>
      <c r="Q12" s="37" t="str">
        <f t="shared" ca="1" si="8"/>
        <v/>
      </c>
    </row>
    <row r="13" spans="1:17" ht="22.5" customHeight="1" x14ac:dyDescent="0.25">
      <c r="A13" s="46">
        <v>8</v>
      </c>
      <c r="B13" s="46"/>
      <c r="C13" s="46"/>
      <c r="D13" s="46"/>
      <c r="E13" s="46"/>
      <c r="F13" s="43"/>
      <c r="G13" s="32" t="str">
        <f t="shared" ca="1" si="4"/>
        <v/>
      </c>
      <c r="H13" s="32" t="str">
        <f t="shared" ca="1" si="5"/>
        <v/>
      </c>
      <c r="I13" s="33" t="str">
        <f t="shared" ca="1" si="6"/>
        <v/>
      </c>
      <c r="J13" s="52"/>
      <c r="K13" s="56"/>
      <c r="L13" s="37" t="str">
        <f t="shared" si="0"/>
        <v/>
      </c>
      <c r="M13" s="37" t="str">
        <f t="shared" ca="1" si="1"/>
        <v/>
      </c>
      <c r="N13" s="37" t="str">
        <f t="shared" si="2"/>
        <v/>
      </c>
      <c r="O13" s="37" t="str">
        <f t="shared" ca="1" si="3"/>
        <v/>
      </c>
      <c r="P13" s="37" t="str">
        <f t="shared" ca="1" si="7"/>
        <v/>
      </c>
      <c r="Q13" s="37" t="str">
        <f t="shared" ca="1" si="8"/>
        <v/>
      </c>
    </row>
    <row r="14" spans="1:17" ht="22.5" customHeight="1" x14ac:dyDescent="0.25">
      <c r="A14" s="46">
        <v>9</v>
      </c>
      <c r="B14" s="46"/>
      <c r="C14" s="46"/>
      <c r="D14" s="46"/>
      <c r="E14" s="46"/>
      <c r="F14" s="43"/>
      <c r="G14" s="32" t="str">
        <f t="shared" ca="1" si="4"/>
        <v/>
      </c>
      <c r="H14" s="32" t="str">
        <f t="shared" ca="1" si="5"/>
        <v/>
      </c>
      <c r="I14" s="33" t="str">
        <f t="shared" ca="1" si="6"/>
        <v/>
      </c>
      <c r="J14" s="52"/>
      <c r="K14" s="56"/>
      <c r="L14" s="37" t="str">
        <f t="shared" si="0"/>
        <v/>
      </c>
      <c r="M14" s="37" t="str">
        <f t="shared" ca="1" si="1"/>
        <v/>
      </c>
      <c r="N14" s="37" t="str">
        <f t="shared" si="2"/>
        <v/>
      </c>
      <c r="O14" s="37" t="str">
        <f t="shared" ca="1" si="3"/>
        <v/>
      </c>
      <c r="P14" s="37" t="str">
        <f t="shared" ca="1" si="7"/>
        <v/>
      </c>
      <c r="Q14" s="37" t="str">
        <f t="shared" ca="1" si="8"/>
        <v/>
      </c>
    </row>
    <row r="15" spans="1:17" ht="22.5" customHeight="1" x14ac:dyDescent="0.25">
      <c r="A15" s="46">
        <v>10</v>
      </c>
      <c r="B15" s="46"/>
      <c r="C15" s="46"/>
      <c r="D15" s="46"/>
      <c r="E15" s="46"/>
      <c r="F15" s="43"/>
      <c r="G15" s="32" t="str">
        <f t="shared" ca="1" si="4"/>
        <v/>
      </c>
      <c r="H15" s="32" t="str">
        <f t="shared" ca="1" si="5"/>
        <v/>
      </c>
      <c r="I15" s="33" t="str">
        <f t="shared" ca="1" si="6"/>
        <v/>
      </c>
      <c r="J15" s="52"/>
      <c r="K15" s="56"/>
      <c r="L15" s="37" t="str">
        <f t="shared" si="0"/>
        <v/>
      </c>
      <c r="M15" s="37" t="str">
        <f t="shared" ca="1" si="1"/>
        <v/>
      </c>
      <c r="N15" s="37" t="str">
        <f t="shared" si="2"/>
        <v/>
      </c>
      <c r="O15" s="37" t="str">
        <f t="shared" ca="1" si="3"/>
        <v/>
      </c>
      <c r="P15" s="37" t="str">
        <f t="shared" ca="1" si="7"/>
        <v/>
      </c>
      <c r="Q15" s="37" t="str">
        <f t="shared" ca="1" si="8"/>
        <v/>
      </c>
    </row>
    <row r="16" spans="1:17" ht="22.5" customHeight="1" x14ac:dyDescent="0.25">
      <c r="A16" s="46">
        <v>11</v>
      </c>
      <c r="B16" s="46"/>
      <c r="C16" s="46"/>
      <c r="D16" s="46"/>
      <c r="E16" s="46"/>
      <c r="F16" s="43"/>
      <c r="G16" s="32" t="str">
        <f t="shared" ca="1" si="4"/>
        <v/>
      </c>
      <c r="H16" s="32" t="str">
        <f t="shared" ca="1" si="5"/>
        <v/>
      </c>
      <c r="I16" s="33" t="str">
        <f t="shared" ca="1" si="6"/>
        <v/>
      </c>
      <c r="J16" s="52"/>
      <c r="K16" s="56"/>
      <c r="L16" s="37" t="str">
        <f t="shared" si="0"/>
        <v/>
      </c>
      <c r="M16" s="37" t="str">
        <f t="shared" ca="1" si="1"/>
        <v/>
      </c>
      <c r="N16" s="37" t="str">
        <f t="shared" si="2"/>
        <v/>
      </c>
      <c r="O16" s="37" t="str">
        <f t="shared" ca="1" si="3"/>
        <v/>
      </c>
      <c r="P16" s="37" t="str">
        <f t="shared" ca="1" si="7"/>
        <v/>
      </c>
      <c r="Q16" s="37" t="str">
        <f t="shared" ca="1" si="8"/>
        <v/>
      </c>
    </row>
    <row r="17" spans="1:17" ht="22.5" customHeight="1" x14ac:dyDescent="0.25">
      <c r="A17" s="46">
        <v>12</v>
      </c>
      <c r="B17" s="46"/>
      <c r="C17" s="46"/>
      <c r="D17" s="46"/>
      <c r="E17" s="46"/>
      <c r="F17" s="43"/>
      <c r="G17" s="32" t="str">
        <f t="shared" ca="1" si="4"/>
        <v/>
      </c>
      <c r="H17" s="32" t="str">
        <f t="shared" ca="1" si="5"/>
        <v/>
      </c>
      <c r="I17" s="33" t="str">
        <f t="shared" ca="1" si="6"/>
        <v/>
      </c>
      <c r="J17" s="52"/>
      <c r="K17" s="56"/>
      <c r="L17" s="37" t="str">
        <f t="shared" si="0"/>
        <v/>
      </c>
      <c r="M17" s="37" t="str">
        <f t="shared" ca="1" si="1"/>
        <v/>
      </c>
      <c r="N17" s="37" t="str">
        <f t="shared" si="2"/>
        <v/>
      </c>
      <c r="O17" s="37" t="str">
        <f t="shared" ca="1" si="3"/>
        <v/>
      </c>
      <c r="P17" s="37" t="str">
        <f t="shared" ca="1" si="7"/>
        <v/>
      </c>
      <c r="Q17" s="37" t="str">
        <f t="shared" ca="1" si="8"/>
        <v/>
      </c>
    </row>
    <row r="18" spans="1:17" ht="22.5" customHeight="1" x14ac:dyDescent="0.25">
      <c r="A18" s="46">
        <v>13</v>
      </c>
      <c r="B18" s="46"/>
      <c r="C18" s="46"/>
      <c r="D18" s="46"/>
      <c r="E18" s="46"/>
      <c r="F18" s="43"/>
      <c r="G18" s="32" t="str">
        <f t="shared" ca="1" si="4"/>
        <v/>
      </c>
      <c r="H18" s="32" t="str">
        <f t="shared" ca="1" si="5"/>
        <v/>
      </c>
      <c r="I18" s="33" t="str">
        <f t="shared" ca="1" si="6"/>
        <v/>
      </c>
      <c r="J18" s="52"/>
      <c r="K18" s="56"/>
      <c r="L18" s="37" t="str">
        <f t="shared" si="0"/>
        <v/>
      </c>
      <c r="M18" s="37" t="str">
        <f t="shared" ca="1" si="1"/>
        <v/>
      </c>
      <c r="N18" s="37" t="str">
        <f t="shared" si="2"/>
        <v/>
      </c>
      <c r="O18" s="37" t="str">
        <f t="shared" ca="1" si="3"/>
        <v/>
      </c>
      <c r="P18" s="37" t="str">
        <f t="shared" ca="1" si="7"/>
        <v/>
      </c>
      <c r="Q18" s="37" t="str">
        <f t="shared" ca="1" si="8"/>
        <v/>
      </c>
    </row>
    <row r="19" spans="1:17" ht="22.5" customHeight="1" x14ac:dyDescent="0.25">
      <c r="A19" s="46">
        <v>14</v>
      </c>
      <c r="B19" s="46"/>
      <c r="C19" s="46"/>
      <c r="D19" s="46"/>
      <c r="E19" s="46"/>
      <c r="F19" s="43"/>
      <c r="G19" s="32" t="str">
        <f t="shared" ca="1" si="4"/>
        <v/>
      </c>
      <c r="H19" s="32" t="str">
        <f t="shared" ca="1" si="5"/>
        <v/>
      </c>
      <c r="I19" s="33" t="str">
        <f t="shared" ca="1" si="6"/>
        <v/>
      </c>
      <c r="J19" s="52"/>
      <c r="K19" s="56"/>
      <c r="L19" s="37" t="str">
        <f t="shared" si="0"/>
        <v/>
      </c>
      <c r="M19" s="37" t="str">
        <f t="shared" ca="1" si="1"/>
        <v/>
      </c>
      <c r="N19" s="37" t="str">
        <f t="shared" si="2"/>
        <v/>
      </c>
      <c r="O19" s="37" t="str">
        <f t="shared" ca="1" si="3"/>
        <v/>
      </c>
      <c r="P19" s="37" t="str">
        <f t="shared" ca="1" si="7"/>
        <v/>
      </c>
      <c r="Q19" s="37" t="str">
        <f t="shared" ca="1" si="8"/>
        <v/>
      </c>
    </row>
    <row r="20" spans="1:17" ht="22.5" customHeight="1" x14ac:dyDescent="0.25">
      <c r="A20" s="46">
        <v>15</v>
      </c>
      <c r="B20" s="46"/>
      <c r="C20" s="46"/>
      <c r="D20" s="46"/>
      <c r="E20" s="46"/>
      <c r="F20" s="43"/>
      <c r="G20" s="32" t="str">
        <f t="shared" ca="1" si="4"/>
        <v/>
      </c>
      <c r="H20" s="32" t="str">
        <f t="shared" ca="1" si="5"/>
        <v/>
      </c>
      <c r="I20" s="33" t="str">
        <f t="shared" ca="1" si="6"/>
        <v/>
      </c>
      <c r="J20" s="52"/>
      <c r="K20" s="56"/>
      <c r="L20" s="37" t="str">
        <f t="shared" si="0"/>
        <v/>
      </c>
      <c r="M20" s="37" t="str">
        <f t="shared" ca="1" si="1"/>
        <v/>
      </c>
      <c r="N20" s="37" t="str">
        <f t="shared" si="2"/>
        <v/>
      </c>
      <c r="O20" s="37" t="str">
        <f t="shared" ca="1" si="3"/>
        <v/>
      </c>
      <c r="P20" s="37" t="str">
        <f t="shared" ca="1" si="7"/>
        <v/>
      </c>
      <c r="Q20" s="37" t="str">
        <f t="shared" ca="1" si="8"/>
        <v/>
      </c>
    </row>
    <row r="21" spans="1:17" ht="22.5" customHeight="1" x14ac:dyDescent="0.25">
      <c r="A21" s="46">
        <v>16</v>
      </c>
      <c r="B21" s="46"/>
      <c r="C21" s="46"/>
      <c r="D21" s="46"/>
      <c r="E21" s="46"/>
      <c r="F21" s="43"/>
      <c r="G21" s="32" t="str">
        <f t="shared" ca="1" si="4"/>
        <v/>
      </c>
      <c r="H21" s="32" t="str">
        <f t="shared" ca="1" si="5"/>
        <v/>
      </c>
      <c r="I21" s="33" t="str">
        <f t="shared" ca="1" si="6"/>
        <v/>
      </c>
      <c r="J21" s="52"/>
      <c r="K21" s="56"/>
      <c r="L21" s="37" t="str">
        <f t="shared" si="0"/>
        <v/>
      </c>
      <c r="M21" s="37" t="str">
        <f t="shared" ca="1" si="1"/>
        <v/>
      </c>
      <c r="N21" s="37" t="str">
        <f t="shared" si="2"/>
        <v/>
      </c>
      <c r="O21" s="37" t="str">
        <f t="shared" ca="1" si="3"/>
        <v/>
      </c>
      <c r="P21" s="37" t="str">
        <f t="shared" ca="1" si="7"/>
        <v/>
      </c>
      <c r="Q21" s="37" t="str">
        <f t="shared" ca="1" si="8"/>
        <v/>
      </c>
    </row>
    <row r="22" spans="1:17" ht="22.5" customHeight="1" x14ac:dyDescent="0.25">
      <c r="A22" s="46">
        <v>17</v>
      </c>
      <c r="B22" s="46"/>
      <c r="C22" s="46"/>
      <c r="D22" s="46"/>
      <c r="E22" s="46"/>
      <c r="F22" s="43"/>
      <c r="G22" s="32" t="str">
        <f t="shared" ca="1" si="4"/>
        <v/>
      </c>
      <c r="H22" s="32" t="str">
        <f t="shared" ca="1" si="5"/>
        <v/>
      </c>
      <c r="I22" s="33" t="str">
        <f t="shared" ca="1" si="6"/>
        <v/>
      </c>
      <c r="J22" s="52"/>
      <c r="K22" s="56"/>
      <c r="L22" s="37" t="str">
        <f t="shared" si="0"/>
        <v/>
      </c>
      <c r="M22" s="37" t="str">
        <f t="shared" ca="1" si="1"/>
        <v/>
      </c>
      <c r="N22" s="37" t="str">
        <f t="shared" si="2"/>
        <v/>
      </c>
      <c r="O22" s="37" t="str">
        <f t="shared" ca="1" si="3"/>
        <v/>
      </c>
      <c r="P22" s="37" t="str">
        <f t="shared" ca="1" si="7"/>
        <v/>
      </c>
      <c r="Q22" s="37" t="str">
        <f t="shared" ca="1" si="8"/>
        <v/>
      </c>
    </row>
    <row r="23" spans="1:17" ht="22.5" customHeight="1" x14ac:dyDescent="0.25">
      <c r="A23" s="46">
        <v>18</v>
      </c>
      <c r="B23" s="46"/>
      <c r="C23" s="46"/>
      <c r="D23" s="46"/>
      <c r="E23" s="46"/>
      <c r="F23" s="43"/>
      <c r="G23" s="32" t="str">
        <f t="shared" ca="1" si="4"/>
        <v/>
      </c>
      <c r="H23" s="32" t="str">
        <f t="shared" ca="1" si="5"/>
        <v/>
      </c>
      <c r="I23" s="33" t="str">
        <f t="shared" ca="1" si="6"/>
        <v/>
      </c>
      <c r="J23" s="52"/>
      <c r="K23" s="56"/>
      <c r="L23" s="37" t="str">
        <f t="shared" si="0"/>
        <v/>
      </c>
      <c r="M23" s="37" t="str">
        <f t="shared" ca="1" si="1"/>
        <v/>
      </c>
      <c r="N23" s="37" t="str">
        <f t="shared" si="2"/>
        <v/>
      </c>
      <c r="O23" s="37" t="str">
        <f t="shared" ca="1" si="3"/>
        <v/>
      </c>
      <c r="P23" s="37" t="str">
        <f t="shared" ca="1" si="7"/>
        <v/>
      </c>
      <c r="Q23" s="37" t="str">
        <f t="shared" ca="1" si="8"/>
        <v/>
      </c>
    </row>
    <row r="24" spans="1:17" ht="22.5" customHeight="1" x14ac:dyDescent="0.25">
      <c r="A24" s="46">
        <v>19</v>
      </c>
      <c r="B24" s="46"/>
      <c r="C24" s="46"/>
      <c r="D24" s="46"/>
      <c r="E24" s="46"/>
      <c r="F24" s="43"/>
      <c r="G24" s="32" t="str">
        <f t="shared" ca="1" si="4"/>
        <v/>
      </c>
      <c r="H24" s="32" t="str">
        <f t="shared" ca="1" si="5"/>
        <v/>
      </c>
      <c r="I24" s="33" t="str">
        <f t="shared" ca="1" si="6"/>
        <v/>
      </c>
      <c r="J24" s="52"/>
      <c r="K24" s="56"/>
      <c r="L24" s="37" t="str">
        <f t="shared" si="0"/>
        <v/>
      </c>
      <c r="M24" s="37" t="str">
        <f t="shared" ca="1" si="1"/>
        <v/>
      </c>
      <c r="N24" s="37" t="str">
        <f t="shared" si="2"/>
        <v/>
      </c>
      <c r="O24" s="37" t="str">
        <f t="shared" ca="1" si="3"/>
        <v/>
      </c>
      <c r="P24" s="37" t="str">
        <f t="shared" ca="1" si="7"/>
        <v/>
      </c>
      <c r="Q24" s="37" t="str">
        <f t="shared" ca="1" si="8"/>
        <v/>
      </c>
    </row>
    <row r="25" spans="1:17" ht="22.5" customHeight="1" x14ac:dyDescent="0.25">
      <c r="A25" s="46">
        <v>20</v>
      </c>
      <c r="B25" s="46"/>
      <c r="C25" s="46"/>
      <c r="D25" s="46"/>
      <c r="E25" s="46"/>
      <c r="F25" s="43"/>
      <c r="G25" s="32" t="str">
        <f t="shared" ca="1" si="4"/>
        <v/>
      </c>
      <c r="H25" s="32" t="str">
        <f t="shared" ca="1" si="5"/>
        <v/>
      </c>
      <c r="I25" s="33" t="str">
        <f t="shared" ca="1" si="6"/>
        <v/>
      </c>
      <c r="J25" s="52"/>
      <c r="K25" s="56"/>
      <c r="L25" s="37" t="str">
        <f t="shared" si="0"/>
        <v/>
      </c>
      <c r="M25" s="37" t="str">
        <f t="shared" ca="1" si="1"/>
        <v/>
      </c>
      <c r="N25" s="37" t="str">
        <f t="shared" si="2"/>
        <v/>
      </c>
      <c r="O25" s="37" t="str">
        <f t="shared" ca="1" si="3"/>
        <v/>
      </c>
      <c r="P25" s="37" t="str">
        <f t="shared" ca="1" si="7"/>
        <v/>
      </c>
      <c r="Q25" s="37" t="str">
        <f t="shared" ca="1" si="8"/>
        <v/>
      </c>
    </row>
    <row r="26" spans="1:17" ht="22.5" customHeight="1" x14ac:dyDescent="0.25">
      <c r="A26" s="46">
        <v>21</v>
      </c>
      <c r="B26" s="46"/>
      <c r="C26" s="46"/>
      <c r="D26" s="46"/>
      <c r="E26" s="46"/>
      <c r="F26" s="43"/>
      <c r="G26" s="32" t="str">
        <f t="shared" ca="1" si="4"/>
        <v/>
      </c>
      <c r="H26" s="32" t="str">
        <f t="shared" ca="1" si="5"/>
        <v/>
      </c>
      <c r="I26" s="33" t="str">
        <f t="shared" ca="1" si="6"/>
        <v/>
      </c>
      <c r="J26" s="52"/>
      <c r="K26" s="56"/>
      <c r="L26" s="37" t="str">
        <f t="shared" si="0"/>
        <v/>
      </c>
      <c r="M26" s="37" t="str">
        <f t="shared" ca="1" si="1"/>
        <v/>
      </c>
      <c r="N26" s="37" t="str">
        <f t="shared" si="2"/>
        <v/>
      </c>
      <c r="O26" s="37" t="str">
        <f t="shared" ca="1" si="3"/>
        <v/>
      </c>
      <c r="P26" s="37" t="str">
        <f t="shared" ca="1" si="7"/>
        <v/>
      </c>
      <c r="Q26" s="37" t="str">
        <f t="shared" ca="1" si="8"/>
        <v/>
      </c>
    </row>
    <row r="27" spans="1:17" ht="22.5" customHeight="1" x14ac:dyDescent="0.25">
      <c r="A27" s="46">
        <v>22</v>
      </c>
      <c r="B27" s="46"/>
      <c r="C27" s="46"/>
      <c r="D27" s="46"/>
      <c r="E27" s="46"/>
      <c r="F27" s="43"/>
      <c r="G27" s="32" t="str">
        <f t="shared" ca="1" si="4"/>
        <v/>
      </c>
      <c r="H27" s="32" t="str">
        <f t="shared" ca="1" si="5"/>
        <v/>
      </c>
      <c r="I27" s="33" t="str">
        <f t="shared" ca="1" si="6"/>
        <v/>
      </c>
      <c r="J27" s="52"/>
      <c r="K27" s="56"/>
      <c r="L27" s="37" t="str">
        <f t="shared" si="0"/>
        <v/>
      </c>
      <c r="M27" s="37" t="str">
        <f t="shared" ca="1" si="1"/>
        <v/>
      </c>
      <c r="N27" s="37" t="str">
        <f t="shared" si="2"/>
        <v/>
      </c>
      <c r="O27" s="37" t="str">
        <f t="shared" ca="1" si="3"/>
        <v/>
      </c>
      <c r="P27" s="37" t="str">
        <f t="shared" ca="1" si="7"/>
        <v/>
      </c>
      <c r="Q27" s="37" t="str">
        <f t="shared" ca="1" si="8"/>
        <v/>
      </c>
    </row>
    <row r="28" spans="1:17" ht="22.5" customHeight="1" x14ac:dyDescent="0.25">
      <c r="A28" s="46">
        <v>23</v>
      </c>
      <c r="B28" s="46"/>
      <c r="C28" s="46"/>
      <c r="D28" s="46"/>
      <c r="E28" s="46"/>
      <c r="F28" s="43"/>
      <c r="G28" s="32" t="str">
        <f t="shared" ca="1" si="4"/>
        <v/>
      </c>
      <c r="H28" s="32" t="str">
        <f t="shared" ca="1" si="5"/>
        <v/>
      </c>
      <c r="I28" s="33" t="str">
        <f t="shared" ca="1" si="6"/>
        <v/>
      </c>
      <c r="J28" s="52"/>
      <c r="K28" s="56"/>
      <c r="L28" s="37" t="str">
        <f t="shared" si="0"/>
        <v/>
      </c>
      <c r="M28" s="37" t="str">
        <f t="shared" ca="1" si="1"/>
        <v/>
      </c>
      <c r="N28" s="37" t="str">
        <f t="shared" si="2"/>
        <v/>
      </c>
      <c r="O28" s="37" t="str">
        <f t="shared" ca="1" si="3"/>
        <v/>
      </c>
      <c r="P28" s="37" t="str">
        <f t="shared" ca="1" si="7"/>
        <v/>
      </c>
      <c r="Q28" s="37" t="str">
        <f t="shared" ca="1" si="8"/>
        <v/>
      </c>
    </row>
    <row r="29" spans="1:17" ht="22.5" customHeight="1" x14ac:dyDescent="0.25">
      <c r="A29" s="46">
        <v>24</v>
      </c>
      <c r="B29" s="46"/>
      <c r="C29" s="46"/>
      <c r="D29" s="46"/>
      <c r="E29" s="46"/>
      <c r="F29" s="43"/>
      <c r="G29" s="32" t="str">
        <f t="shared" ca="1" si="4"/>
        <v/>
      </c>
      <c r="H29" s="32" t="str">
        <f t="shared" ca="1" si="5"/>
        <v/>
      </c>
      <c r="I29" s="33" t="str">
        <f t="shared" ca="1" si="6"/>
        <v/>
      </c>
      <c r="J29" s="52"/>
      <c r="K29" s="56"/>
      <c r="L29" s="37" t="str">
        <f t="shared" si="0"/>
        <v/>
      </c>
      <c r="M29" s="37" t="str">
        <f t="shared" ca="1" si="1"/>
        <v/>
      </c>
      <c r="N29" s="37" t="str">
        <f t="shared" si="2"/>
        <v/>
      </c>
      <c r="O29" s="37" t="str">
        <f t="shared" ca="1" si="3"/>
        <v/>
      </c>
      <c r="P29" s="37" t="str">
        <f t="shared" ca="1" si="7"/>
        <v/>
      </c>
      <c r="Q29" s="37" t="str">
        <f t="shared" ca="1" si="8"/>
        <v/>
      </c>
    </row>
    <row r="30" spans="1:17" ht="22.5" customHeight="1" x14ac:dyDescent="0.25">
      <c r="A30" s="46">
        <v>25</v>
      </c>
      <c r="B30" s="46"/>
      <c r="C30" s="46"/>
      <c r="D30" s="46"/>
      <c r="E30" s="46"/>
      <c r="F30" s="43"/>
      <c r="G30" s="32" t="str">
        <f t="shared" ca="1" si="4"/>
        <v/>
      </c>
      <c r="H30" s="32" t="str">
        <f t="shared" ca="1" si="5"/>
        <v/>
      </c>
      <c r="I30" s="33" t="str">
        <f t="shared" ca="1" si="6"/>
        <v/>
      </c>
      <c r="J30" s="52"/>
      <c r="K30" s="56"/>
      <c r="L30" s="37" t="str">
        <f t="shared" si="0"/>
        <v/>
      </c>
      <c r="M30" s="37" t="str">
        <f t="shared" ca="1" si="1"/>
        <v/>
      </c>
      <c r="N30" s="37" t="str">
        <f t="shared" si="2"/>
        <v/>
      </c>
      <c r="O30" s="37" t="str">
        <f t="shared" ca="1" si="3"/>
        <v/>
      </c>
      <c r="P30" s="37" t="str">
        <f t="shared" ca="1" si="7"/>
        <v/>
      </c>
      <c r="Q30" s="37" t="str">
        <f t="shared" ca="1" si="8"/>
        <v/>
      </c>
    </row>
    <row r="31" spans="1:17" ht="22.5" customHeight="1" x14ac:dyDescent="0.25">
      <c r="A31" s="46">
        <v>26</v>
      </c>
      <c r="B31" s="46"/>
      <c r="C31" s="46"/>
      <c r="D31" s="46"/>
      <c r="E31" s="46"/>
      <c r="F31" s="43"/>
      <c r="G31" s="32" t="str">
        <f t="shared" ca="1" si="4"/>
        <v/>
      </c>
      <c r="H31" s="32" t="str">
        <f t="shared" ca="1" si="5"/>
        <v/>
      </c>
      <c r="I31" s="33" t="str">
        <f t="shared" ca="1" si="6"/>
        <v/>
      </c>
      <c r="J31" s="52"/>
      <c r="K31" s="56"/>
      <c r="L31" s="37" t="str">
        <f t="shared" si="0"/>
        <v/>
      </c>
      <c r="M31" s="37" t="str">
        <f t="shared" ca="1" si="1"/>
        <v/>
      </c>
      <c r="N31" s="37" t="str">
        <f t="shared" si="2"/>
        <v/>
      </c>
      <c r="O31" s="37" t="str">
        <f t="shared" ca="1" si="3"/>
        <v/>
      </c>
      <c r="P31" s="37" t="str">
        <f t="shared" ca="1" si="7"/>
        <v/>
      </c>
      <c r="Q31" s="37" t="str">
        <f t="shared" ca="1" si="8"/>
        <v/>
      </c>
    </row>
    <row r="32" spans="1:17" ht="22.5" customHeight="1" x14ac:dyDescent="0.25">
      <c r="A32" s="46">
        <v>27</v>
      </c>
      <c r="B32" s="46"/>
      <c r="C32" s="46"/>
      <c r="D32" s="46"/>
      <c r="E32" s="46"/>
      <c r="F32" s="43"/>
      <c r="G32" s="32" t="str">
        <f t="shared" ca="1" si="4"/>
        <v/>
      </c>
      <c r="H32" s="32" t="str">
        <f t="shared" ca="1" si="5"/>
        <v/>
      </c>
      <c r="I32" s="33" t="str">
        <f t="shared" ca="1" si="6"/>
        <v/>
      </c>
      <c r="J32" s="52"/>
      <c r="K32" s="56"/>
      <c r="L32" s="37" t="str">
        <f t="shared" si="0"/>
        <v/>
      </c>
      <c r="M32" s="37" t="str">
        <f t="shared" ca="1" si="1"/>
        <v/>
      </c>
      <c r="N32" s="37" t="str">
        <f t="shared" si="2"/>
        <v/>
      </c>
      <c r="O32" s="37" t="str">
        <f t="shared" ca="1" si="3"/>
        <v/>
      </c>
      <c r="P32" s="37" t="str">
        <f t="shared" ca="1" si="7"/>
        <v/>
      </c>
      <c r="Q32" s="37" t="str">
        <f t="shared" ca="1" si="8"/>
        <v/>
      </c>
    </row>
    <row r="33" spans="1:17" ht="22.5" customHeight="1" x14ac:dyDescent="0.25">
      <c r="A33" s="46">
        <v>28</v>
      </c>
      <c r="B33" s="46"/>
      <c r="C33" s="46"/>
      <c r="D33" s="46"/>
      <c r="E33" s="46"/>
      <c r="F33" s="43"/>
      <c r="G33" s="32" t="str">
        <f t="shared" ca="1" si="4"/>
        <v/>
      </c>
      <c r="H33" s="32" t="str">
        <f t="shared" ca="1" si="5"/>
        <v/>
      </c>
      <c r="I33" s="33" t="str">
        <f t="shared" ca="1" si="6"/>
        <v/>
      </c>
      <c r="J33" s="52"/>
      <c r="K33" s="56"/>
      <c r="L33" s="37" t="str">
        <f t="shared" si="0"/>
        <v/>
      </c>
      <c r="M33" s="37" t="str">
        <f t="shared" ca="1" si="1"/>
        <v/>
      </c>
      <c r="N33" s="37" t="str">
        <f t="shared" si="2"/>
        <v/>
      </c>
      <c r="O33" s="37" t="str">
        <f t="shared" ca="1" si="3"/>
        <v/>
      </c>
      <c r="P33" s="37" t="str">
        <f t="shared" ca="1" si="7"/>
        <v/>
      </c>
      <c r="Q33" s="37" t="str">
        <f t="shared" ca="1" si="8"/>
        <v/>
      </c>
    </row>
    <row r="34" spans="1:17" ht="22.5" customHeight="1" x14ac:dyDescent="0.25">
      <c r="A34" s="46">
        <v>29</v>
      </c>
      <c r="B34" s="46"/>
      <c r="C34" s="46"/>
      <c r="D34" s="46"/>
      <c r="E34" s="46"/>
      <c r="F34" s="43"/>
      <c r="G34" s="32" t="str">
        <f t="shared" ca="1" si="4"/>
        <v/>
      </c>
      <c r="H34" s="32" t="str">
        <f t="shared" ca="1" si="5"/>
        <v/>
      </c>
      <c r="I34" s="33" t="str">
        <f t="shared" ca="1" si="6"/>
        <v/>
      </c>
      <c r="J34" s="52"/>
      <c r="K34" s="56"/>
      <c r="L34" s="37" t="str">
        <f t="shared" si="0"/>
        <v/>
      </c>
      <c r="M34" s="37" t="str">
        <f t="shared" ca="1" si="1"/>
        <v/>
      </c>
      <c r="N34" s="37" t="str">
        <f t="shared" si="2"/>
        <v/>
      </c>
      <c r="O34" s="37" t="str">
        <f t="shared" ca="1" si="3"/>
        <v/>
      </c>
      <c r="P34" s="37" t="str">
        <f t="shared" ca="1" si="7"/>
        <v/>
      </c>
      <c r="Q34" s="37" t="str">
        <f t="shared" ca="1" si="8"/>
        <v/>
      </c>
    </row>
    <row r="35" spans="1:17" ht="22.5" customHeight="1" x14ac:dyDescent="0.25">
      <c r="A35" s="46">
        <v>30</v>
      </c>
      <c r="B35" s="46"/>
      <c r="C35" s="46"/>
      <c r="D35" s="46"/>
      <c r="E35" s="46"/>
      <c r="F35" s="43"/>
      <c r="G35" s="32" t="str">
        <f t="shared" ca="1" si="4"/>
        <v/>
      </c>
      <c r="H35" s="32" t="str">
        <f t="shared" ca="1" si="5"/>
        <v/>
      </c>
      <c r="I35" s="33" t="str">
        <f t="shared" ca="1" si="6"/>
        <v/>
      </c>
      <c r="J35" s="52"/>
      <c r="K35" s="56"/>
      <c r="L35" s="37" t="str">
        <f t="shared" si="0"/>
        <v/>
      </c>
      <c r="M35" s="37" t="str">
        <f t="shared" ca="1" si="1"/>
        <v/>
      </c>
      <c r="N35" s="37" t="str">
        <f t="shared" si="2"/>
        <v/>
      </c>
      <c r="O35" s="37" t="str">
        <f t="shared" ca="1" si="3"/>
        <v/>
      </c>
      <c r="P35" s="37" t="str">
        <f t="shared" ca="1" si="7"/>
        <v/>
      </c>
      <c r="Q35" s="37" t="str">
        <f t="shared" ca="1" si="8"/>
        <v/>
      </c>
    </row>
    <row r="36" spans="1:17" ht="22.5" customHeight="1" x14ac:dyDescent="0.25">
      <c r="A36" s="46">
        <v>31</v>
      </c>
      <c r="B36" s="46"/>
      <c r="C36" s="46"/>
      <c r="D36" s="46"/>
      <c r="E36" s="46"/>
      <c r="F36" s="43"/>
      <c r="G36" s="32" t="str">
        <f t="shared" ca="1" si="4"/>
        <v/>
      </c>
      <c r="H36" s="32" t="str">
        <f t="shared" ca="1" si="5"/>
        <v/>
      </c>
      <c r="I36" s="33" t="str">
        <f t="shared" ca="1" si="6"/>
        <v/>
      </c>
      <c r="J36" s="52"/>
      <c r="K36" s="56"/>
      <c r="L36" s="37" t="str">
        <f t="shared" si="0"/>
        <v/>
      </c>
      <c r="M36" s="37" t="str">
        <f t="shared" ca="1" si="1"/>
        <v/>
      </c>
      <c r="N36" s="37" t="str">
        <f t="shared" si="2"/>
        <v/>
      </c>
      <c r="O36" s="37" t="str">
        <f t="shared" ca="1" si="3"/>
        <v/>
      </c>
      <c r="P36" s="37" t="str">
        <f t="shared" ca="1" si="7"/>
        <v/>
      </c>
      <c r="Q36" s="37" t="str">
        <f t="shared" ca="1" si="8"/>
        <v/>
      </c>
    </row>
    <row r="37" spans="1:17" ht="22.5" customHeight="1" x14ac:dyDescent="0.25">
      <c r="A37" s="46">
        <v>32</v>
      </c>
      <c r="B37" s="46"/>
      <c r="C37" s="46"/>
      <c r="D37" s="46"/>
      <c r="E37" s="46"/>
      <c r="F37" s="43"/>
      <c r="G37" s="32" t="str">
        <f t="shared" ca="1" si="4"/>
        <v/>
      </c>
      <c r="H37" s="32" t="str">
        <f t="shared" ca="1" si="5"/>
        <v/>
      </c>
      <c r="I37" s="33" t="str">
        <f t="shared" ca="1" si="6"/>
        <v/>
      </c>
      <c r="J37" s="52"/>
      <c r="K37" s="56"/>
      <c r="L37" s="37" t="str">
        <f t="shared" si="0"/>
        <v/>
      </c>
      <c r="M37" s="37" t="str">
        <f t="shared" ca="1" si="1"/>
        <v/>
      </c>
      <c r="N37" s="37" t="str">
        <f t="shared" si="2"/>
        <v/>
      </c>
      <c r="O37" s="37" t="str">
        <f t="shared" ca="1" si="3"/>
        <v/>
      </c>
      <c r="P37" s="37" t="str">
        <f t="shared" ca="1" si="7"/>
        <v/>
      </c>
      <c r="Q37" s="37" t="str">
        <f t="shared" ca="1" si="8"/>
        <v/>
      </c>
    </row>
    <row r="38" spans="1:17" ht="22.5" customHeight="1" x14ac:dyDescent="0.25">
      <c r="A38" s="46">
        <v>33</v>
      </c>
      <c r="B38" s="46"/>
      <c r="C38" s="46"/>
      <c r="D38" s="46"/>
      <c r="E38" s="46"/>
      <c r="F38" s="43"/>
      <c r="G38" s="32" t="str">
        <f t="shared" ca="1" si="4"/>
        <v/>
      </c>
      <c r="H38" s="32" t="str">
        <f t="shared" ca="1" si="5"/>
        <v/>
      </c>
      <c r="I38" s="33" t="str">
        <f t="shared" ca="1" si="6"/>
        <v/>
      </c>
      <c r="J38" s="52"/>
      <c r="K38" s="56"/>
      <c r="L38" s="37" t="str">
        <f t="shared" si="0"/>
        <v/>
      </c>
      <c r="M38" s="37" t="str">
        <f t="shared" ref="M38:M69" ca="1" si="9">IF(I38="","",J38+P38)</f>
        <v/>
      </c>
      <c r="N38" s="37" t="str">
        <f t="shared" ref="N38:N69" si="10">IF(K38="","",K38*$N$5)</f>
        <v/>
      </c>
      <c r="O38" s="37" t="str">
        <f t="shared" ref="O38:O69" ca="1" si="11">IF(I38="","",K38+Q38)</f>
        <v/>
      </c>
      <c r="P38" s="37" t="str">
        <f t="shared" ca="1" si="7"/>
        <v/>
      </c>
      <c r="Q38" s="37" t="str">
        <f t="shared" ca="1" si="8"/>
        <v/>
      </c>
    </row>
    <row r="39" spans="1:17" ht="22.5" customHeight="1" x14ac:dyDescent="0.25">
      <c r="A39" s="46">
        <v>34</v>
      </c>
      <c r="B39" s="46"/>
      <c r="C39" s="46"/>
      <c r="D39" s="46"/>
      <c r="E39" s="46"/>
      <c r="F39" s="43"/>
      <c r="G39" s="32" t="str">
        <f t="shared" ca="1" si="4"/>
        <v/>
      </c>
      <c r="H39" s="32" t="str">
        <f t="shared" ca="1" si="5"/>
        <v/>
      </c>
      <c r="I39" s="33" t="str">
        <f t="shared" ca="1" si="6"/>
        <v/>
      </c>
      <c r="J39" s="52"/>
      <c r="K39" s="56"/>
      <c r="L39" s="37" t="str">
        <f t="shared" si="0"/>
        <v/>
      </c>
      <c r="M39" s="37" t="str">
        <f t="shared" ca="1" si="9"/>
        <v/>
      </c>
      <c r="N39" s="37" t="str">
        <f t="shared" si="10"/>
        <v/>
      </c>
      <c r="O39" s="37" t="str">
        <f t="shared" ca="1" si="11"/>
        <v/>
      </c>
      <c r="P39" s="37" t="str">
        <f t="shared" ca="1" si="7"/>
        <v/>
      </c>
      <c r="Q39" s="37" t="str">
        <f t="shared" ca="1" si="8"/>
        <v/>
      </c>
    </row>
    <row r="40" spans="1:17" ht="22.5" customHeight="1" x14ac:dyDescent="0.25">
      <c r="A40" s="46">
        <v>35</v>
      </c>
      <c r="B40" s="46"/>
      <c r="C40" s="46"/>
      <c r="D40" s="46"/>
      <c r="E40" s="46"/>
      <c r="F40" s="43"/>
      <c r="G40" s="32" t="str">
        <f t="shared" ca="1" si="4"/>
        <v/>
      </c>
      <c r="H40" s="32" t="str">
        <f t="shared" ca="1" si="5"/>
        <v/>
      </c>
      <c r="I40" s="33" t="str">
        <f t="shared" ca="1" si="6"/>
        <v/>
      </c>
      <c r="J40" s="52"/>
      <c r="K40" s="56"/>
      <c r="L40" s="37" t="str">
        <f t="shared" si="0"/>
        <v/>
      </c>
      <c r="M40" s="37" t="str">
        <f t="shared" ca="1" si="9"/>
        <v/>
      </c>
      <c r="N40" s="37" t="str">
        <f t="shared" si="10"/>
        <v/>
      </c>
      <c r="O40" s="37" t="str">
        <f t="shared" ca="1" si="11"/>
        <v/>
      </c>
      <c r="P40" s="37" t="str">
        <f t="shared" ca="1" si="7"/>
        <v/>
      </c>
      <c r="Q40" s="37" t="str">
        <f t="shared" ca="1" si="8"/>
        <v/>
      </c>
    </row>
    <row r="41" spans="1:17" ht="22.5" customHeight="1" x14ac:dyDescent="0.25">
      <c r="A41" s="46">
        <v>36</v>
      </c>
      <c r="B41" s="46"/>
      <c r="C41" s="46"/>
      <c r="D41" s="46"/>
      <c r="E41" s="46"/>
      <c r="F41" s="43"/>
      <c r="G41" s="32" t="str">
        <f t="shared" ca="1" si="4"/>
        <v/>
      </c>
      <c r="H41" s="32" t="str">
        <f t="shared" ca="1" si="5"/>
        <v/>
      </c>
      <c r="I41" s="33" t="str">
        <f t="shared" ca="1" si="6"/>
        <v/>
      </c>
      <c r="J41" s="52"/>
      <c r="K41" s="56"/>
      <c r="L41" s="37" t="str">
        <f t="shared" si="0"/>
        <v/>
      </c>
      <c r="M41" s="37" t="str">
        <f t="shared" ca="1" si="9"/>
        <v/>
      </c>
      <c r="N41" s="37" t="str">
        <f t="shared" si="10"/>
        <v/>
      </c>
      <c r="O41" s="37" t="str">
        <f t="shared" ca="1" si="11"/>
        <v/>
      </c>
      <c r="P41" s="37" t="str">
        <f t="shared" ca="1" si="7"/>
        <v/>
      </c>
      <c r="Q41" s="37" t="str">
        <f t="shared" ca="1" si="8"/>
        <v/>
      </c>
    </row>
    <row r="42" spans="1:17" ht="22.5" customHeight="1" x14ac:dyDescent="0.25">
      <c r="A42" s="46">
        <v>37</v>
      </c>
      <c r="B42" s="46"/>
      <c r="C42" s="46"/>
      <c r="D42" s="46"/>
      <c r="E42" s="46"/>
      <c r="F42" s="43"/>
      <c r="G42" s="32" t="str">
        <f t="shared" ca="1" si="4"/>
        <v/>
      </c>
      <c r="H42" s="32" t="str">
        <f t="shared" ca="1" si="5"/>
        <v/>
      </c>
      <c r="I42" s="33" t="str">
        <f t="shared" ca="1" si="6"/>
        <v/>
      </c>
      <c r="J42" s="52"/>
      <c r="K42" s="56"/>
      <c r="L42" s="37" t="str">
        <f t="shared" si="0"/>
        <v/>
      </c>
      <c r="M42" s="37" t="str">
        <f t="shared" ca="1" si="9"/>
        <v/>
      </c>
      <c r="N42" s="37" t="str">
        <f t="shared" si="10"/>
        <v/>
      </c>
      <c r="O42" s="37" t="str">
        <f t="shared" ca="1" si="11"/>
        <v/>
      </c>
      <c r="P42" s="37" t="str">
        <f t="shared" ca="1" si="7"/>
        <v/>
      </c>
      <c r="Q42" s="37" t="str">
        <f t="shared" ca="1" si="8"/>
        <v/>
      </c>
    </row>
    <row r="43" spans="1:17" ht="22.5" customHeight="1" x14ac:dyDescent="0.25">
      <c r="A43" s="46">
        <v>38</v>
      </c>
      <c r="B43" s="46"/>
      <c r="C43" s="46"/>
      <c r="D43" s="46"/>
      <c r="E43" s="46"/>
      <c r="F43" s="43"/>
      <c r="G43" s="32" t="str">
        <f t="shared" ca="1" si="4"/>
        <v/>
      </c>
      <c r="H43" s="32" t="str">
        <f t="shared" ca="1" si="5"/>
        <v/>
      </c>
      <c r="I43" s="33" t="str">
        <f t="shared" ca="1" si="6"/>
        <v/>
      </c>
      <c r="J43" s="52"/>
      <c r="K43" s="56"/>
      <c r="L43" s="37" t="str">
        <f t="shared" si="0"/>
        <v/>
      </c>
      <c r="M43" s="37" t="str">
        <f t="shared" ca="1" si="9"/>
        <v/>
      </c>
      <c r="N43" s="37" t="str">
        <f t="shared" si="10"/>
        <v/>
      </c>
      <c r="O43" s="37" t="str">
        <f t="shared" ca="1" si="11"/>
        <v/>
      </c>
      <c r="P43" s="37" t="str">
        <f t="shared" ca="1" si="7"/>
        <v/>
      </c>
      <c r="Q43" s="37" t="str">
        <f t="shared" ca="1" si="8"/>
        <v/>
      </c>
    </row>
    <row r="44" spans="1:17" ht="22.5" customHeight="1" x14ac:dyDescent="0.25">
      <c r="A44" s="46">
        <v>39</v>
      </c>
      <c r="B44" s="46"/>
      <c r="C44" s="46"/>
      <c r="D44" s="46"/>
      <c r="E44" s="46"/>
      <c r="F44" s="43"/>
      <c r="G44" s="32" t="str">
        <f t="shared" ca="1" si="4"/>
        <v/>
      </c>
      <c r="H44" s="32" t="str">
        <f t="shared" ca="1" si="5"/>
        <v/>
      </c>
      <c r="I44" s="33" t="str">
        <f t="shared" ca="1" si="6"/>
        <v/>
      </c>
      <c r="J44" s="52"/>
      <c r="K44" s="56"/>
      <c r="L44" s="37" t="str">
        <f t="shared" si="0"/>
        <v/>
      </c>
      <c r="M44" s="37" t="str">
        <f t="shared" ca="1" si="9"/>
        <v/>
      </c>
      <c r="N44" s="37" t="str">
        <f t="shared" si="10"/>
        <v/>
      </c>
      <c r="O44" s="37" t="str">
        <f t="shared" ca="1" si="11"/>
        <v/>
      </c>
      <c r="P44" s="37" t="str">
        <f t="shared" ca="1" si="7"/>
        <v/>
      </c>
      <c r="Q44" s="37" t="str">
        <f t="shared" ca="1" si="8"/>
        <v/>
      </c>
    </row>
    <row r="45" spans="1:17" ht="22.5" customHeight="1" x14ac:dyDescent="0.25">
      <c r="A45" s="46">
        <v>40</v>
      </c>
      <c r="B45" s="46"/>
      <c r="C45" s="46"/>
      <c r="D45" s="46"/>
      <c r="E45" s="46"/>
      <c r="F45" s="43"/>
      <c r="G45" s="32" t="str">
        <f t="shared" ca="1" si="4"/>
        <v/>
      </c>
      <c r="H45" s="32" t="str">
        <f t="shared" ca="1" si="5"/>
        <v/>
      </c>
      <c r="I45" s="33" t="str">
        <f t="shared" ca="1" si="6"/>
        <v/>
      </c>
      <c r="J45" s="52"/>
      <c r="K45" s="56"/>
      <c r="L45" s="37" t="str">
        <f t="shared" si="0"/>
        <v/>
      </c>
      <c r="M45" s="37" t="str">
        <f t="shared" ca="1" si="9"/>
        <v/>
      </c>
      <c r="N45" s="37" t="str">
        <f t="shared" si="10"/>
        <v/>
      </c>
      <c r="O45" s="37" t="str">
        <f t="shared" ca="1" si="11"/>
        <v/>
      </c>
      <c r="P45" s="37" t="str">
        <f t="shared" ca="1" si="7"/>
        <v/>
      </c>
      <c r="Q45" s="37" t="str">
        <f t="shared" ca="1" si="8"/>
        <v/>
      </c>
    </row>
    <row r="46" spans="1:17" ht="22.5" customHeight="1" x14ac:dyDescent="0.25">
      <c r="A46" s="46">
        <v>41</v>
      </c>
      <c r="B46" s="46"/>
      <c r="C46" s="46"/>
      <c r="D46" s="46"/>
      <c r="E46" s="46"/>
      <c r="F46" s="43"/>
      <c r="G46" s="32" t="str">
        <f t="shared" ca="1" si="4"/>
        <v/>
      </c>
      <c r="H46" s="32" t="str">
        <f t="shared" ca="1" si="5"/>
        <v/>
      </c>
      <c r="I46" s="33" t="str">
        <f t="shared" ca="1" si="6"/>
        <v/>
      </c>
      <c r="J46" s="52"/>
      <c r="K46" s="56"/>
      <c r="L46" s="37" t="str">
        <f t="shared" si="0"/>
        <v/>
      </c>
      <c r="M46" s="37" t="str">
        <f t="shared" ca="1" si="9"/>
        <v/>
      </c>
      <c r="N46" s="37" t="str">
        <f t="shared" si="10"/>
        <v/>
      </c>
      <c r="O46" s="37" t="str">
        <f t="shared" ca="1" si="11"/>
        <v/>
      </c>
      <c r="P46" s="37" t="str">
        <f t="shared" ca="1" si="7"/>
        <v/>
      </c>
      <c r="Q46" s="37" t="str">
        <f t="shared" ca="1" si="8"/>
        <v/>
      </c>
    </row>
    <row r="47" spans="1:17" ht="22.5" customHeight="1" x14ac:dyDescent="0.25">
      <c r="A47" s="46">
        <v>42</v>
      </c>
      <c r="B47" s="46"/>
      <c r="C47" s="46"/>
      <c r="D47" s="46"/>
      <c r="E47" s="46"/>
      <c r="F47" s="43"/>
      <c r="G47" s="32" t="str">
        <f t="shared" ca="1" si="4"/>
        <v/>
      </c>
      <c r="H47" s="32" t="str">
        <f t="shared" ca="1" si="5"/>
        <v/>
      </c>
      <c r="I47" s="33" t="str">
        <f t="shared" ca="1" si="6"/>
        <v/>
      </c>
      <c r="J47" s="52"/>
      <c r="K47" s="56"/>
      <c r="L47" s="37" t="str">
        <f t="shared" si="0"/>
        <v/>
      </c>
      <c r="M47" s="37" t="str">
        <f t="shared" ca="1" si="9"/>
        <v/>
      </c>
      <c r="N47" s="37" t="str">
        <f t="shared" si="10"/>
        <v/>
      </c>
      <c r="O47" s="37" t="str">
        <f t="shared" ca="1" si="11"/>
        <v/>
      </c>
      <c r="P47" s="37" t="str">
        <f t="shared" ca="1" si="7"/>
        <v/>
      </c>
      <c r="Q47" s="37" t="str">
        <f t="shared" ca="1" si="8"/>
        <v/>
      </c>
    </row>
    <row r="48" spans="1:17" ht="22.5" customHeight="1" x14ac:dyDescent="0.25">
      <c r="A48" s="46">
        <v>43</v>
      </c>
      <c r="B48" s="46"/>
      <c r="C48" s="46"/>
      <c r="D48" s="46"/>
      <c r="E48" s="46"/>
      <c r="F48" s="43"/>
      <c r="G48" s="32" t="str">
        <f t="shared" ca="1" si="4"/>
        <v/>
      </c>
      <c r="H48" s="32" t="str">
        <f t="shared" ca="1" si="5"/>
        <v/>
      </c>
      <c r="I48" s="33" t="str">
        <f t="shared" ca="1" si="6"/>
        <v/>
      </c>
      <c r="J48" s="52"/>
      <c r="K48" s="56"/>
      <c r="L48" s="37" t="str">
        <f t="shared" si="0"/>
        <v/>
      </c>
      <c r="M48" s="37" t="str">
        <f t="shared" ca="1" si="9"/>
        <v/>
      </c>
      <c r="N48" s="37" t="str">
        <f t="shared" si="10"/>
        <v/>
      </c>
      <c r="O48" s="37" t="str">
        <f t="shared" ca="1" si="11"/>
        <v/>
      </c>
      <c r="P48" s="37" t="str">
        <f t="shared" ca="1" si="7"/>
        <v/>
      </c>
      <c r="Q48" s="37" t="str">
        <f t="shared" ca="1" si="8"/>
        <v/>
      </c>
    </row>
    <row r="49" spans="1:17" ht="22.5" customHeight="1" x14ac:dyDescent="0.25">
      <c r="A49" s="46">
        <v>44</v>
      </c>
      <c r="B49" s="46"/>
      <c r="C49" s="46"/>
      <c r="D49" s="46"/>
      <c r="E49" s="46"/>
      <c r="F49" s="43"/>
      <c r="G49" s="32" t="str">
        <f t="shared" ca="1" si="4"/>
        <v/>
      </c>
      <c r="H49" s="32" t="str">
        <f t="shared" ca="1" si="5"/>
        <v/>
      </c>
      <c r="I49" s="33" t="str">
        <f t="shared" ca="1" si="6"/>
        <v/>
      </c>
      <c r="J49" s="52"/>
      <c r="K49" s="56"/>
      <c r="L49" s="37" t="str">
        <f t="shared" si="0"/>
        <v/>
      </c>
      <c r="M49" s="37" t="str">
        <f t="shared" ca="1" si="9"/>
        <v/>
      </c>
      <c r="N49" s="37" t="str">
        <f t="shared" si="10"/>
        <v/>
      </c>
      <c r="O49" s="37" t="str">
        <f t="shared" ca="1" si="11"/>
        <v/>
      </c>
      <c r="P49" s="37" t="str">
        <f t="shared" ca="1" si="7"/>
        <v/>
      </c>
      <c r="Q49" s="37" t="str">
        <f t="shared" ca="1" si="8"/>
        <v/>
      </c>
    </row>
    <row r="50" spans="1:17" ht="22.5" customHeight="1" x14ac:dyDescent="0.25">
      <c r="A50" s="46">
        <v>45</v>
      </c>
      <c r="B50" s="46"/>
      <c r="C50" s="46"/>
      <c r="D50" s="46"/>
      <c r="E50" s="46"/>
      <c r="F50" s="43"/>
      <c r="G50" s="32" t="str">
        <f t="shared" ca="1" si="4"/>
        <v/>
      </c>
      <c r="H50" s="32" t="str">
        <f t="shared" ca="1" si="5"/>
        <v/>
      </c>
      <c r="I50" s="33" t="str">
        <f t="shared" ca="1" si="6"/>
        <v/>
      </c>
      <c r="J50" s="52"/>
      <c r="K50" s="56"/>
      <c r="L50" s="37" t="str">
        <f t="shared" si="0"/>
        <v/>
      </c>
      <c r="M50" s="37" t="str">
        <f t="shared" ca="1" si="9"/>
        <v/>
      </c>
      <c r="N50" s="37" t="str">
        <f t="shared" si="10"/>
        <v/>
      </c>
      <c r="O50" s="37" t="str">
        <f t="shared" ca="1" si="11"/>
        <v/>
      </c>
      <c r="P50" s="37" t="str">
        <f t="shared" ca="1" si="7"/>
        <v/>
      </c>
      <c r="Q50" s="37" t="str">
        <f t="shared" ca="1" si="8"/>
        <v/>
      </c>
    </row>
    <row r="51" spans="1:17" ht="22.5" customHeight="1" x14ac:dyDescent="0.25">
      <c r="A51" s="46">
        <v>46</v>
      </c>
      <c r="B51" s="46"/>
      <c r="C51" s="46"/>
      <c r="D51" s="46"/>
      <c r="E51" s="46"/>
      <c r="F51" s="43"/>
      <c r="G51" s="32" t="str">
        <f t="shared" ca="1" si="4"/>
        <v/>
      </c>
      <c r="H51" s="32" t="str">
        <f t="shared" ca="1" si="5"/>
        <v/>
      </c>
      <c r="I51" s="33" t="str">
        <f t="shared" ca="1" si="6"/>
        <v/>
      </c>
      <c r="J51" s="52"/>
      <c r="K51" s="56"/>
      <c r="L51" s="37" t="str">
        <f t="shared" si="0"/>
        <v/>
      </c>
      <c r="M51" s="37" t="str">
        <f t="shared" ca="1" si="9"/>
        <v/>
      </c>
      <c r="N51" s="37" t="str">
        <f t="shared" si="10"/>
        <v/>
      </c>
      <c r="O51" s="37" t="str">
        <f t="shared" ca="1" si="11"/>
        <v/>
      </c>
      <c r="P51" s="37" t="str">
        <f t="shared" ca="1" si="7"/>
        <v/>
      </c>
      <c r="Q51" s="37" t="str">
        <f t="shared" ca="1" si="8"/>
        <v/>
      </c>
    </row>
    <row r="52" spans="1:17" ht="22.5" customHeight="1" x14ac:dyDescent="0.25">
      <c r="A52" s="46">
        <v>47</v>
      </c>
      <c r="B52" s="46"/>
      <c r="C52" s="46"/>
      <c r="D52" s="46"/>
      <c r="E52" s="46"/>
      <c r="F52" s="43"/>
      <c r="G52" s="32" t="str">
        <f t="shared" ca="1" si="4"/>
        <v/>
      </c>
      <c r="H52" s="32" t="str">
        <f t="shared" ca="1" si="5"/>
        <v/>
      </c>
      <c r="I52" s="33" t="str">
        <f t="shared" ca="1" si="6"/>
        <v/>
      </c>
      <c r="J52" s="52"/>
      <c r="K52" s="56"/>
      <c r="L52" s="37" t="str">
        <f t="shared" si="0"/>
        <v/>
      </c>
      <c r="M52" s="37" t="str">
        <f t="shared" ca="1" si="9"/>
        <v/>
      </c>
      <c r="N52" s="37" t="str">
        <f t="shared" si="10"/>
        <v/>
      </c>
      <c r="O52" s="37" t="str">
        <f t="shared" ca="1" si="11"/>
        <v/>
      </c>
      <c r="P52" s="37" t="str">
        <f t="shared" ca="1" si="7"/>
        <v/>
      </c>
      <c r="Q52" s="37" t="str">
        <f t="shared" ca="1" si="8"/>
        <v/>
      </c>
    </row>
    <row r="53" spans="1:17" ht="22.5" customHeight="1" x14ac:dyDescent="0.25">
      <c r="A53" s="46">
        <v>48</v>
      </c>
      <c r="B53" s="46"/>
      <c r="C53" s="46"/>
      <c r="D53" s="46"/>
      <c r="E53" s="46"/>
      <c r="F53" s="43"/>
      <c r="G53" s="32" t="str">
        <f t="shared" ca="1" si="4"/>
        <v/>
      </c>
      <c r="H53" s="32" t="str">
        <f t="shared" ca="1" si="5"/>
        <v/>
      </c>
      <c r="I53" s="33" t="str">
        <f t="shared" ca="1" si="6"/>
        <v/>
      </c>
      <c r="J53" s="52"/>
      <c r="K53" s="56"/>
      <c r="L53" s="37" t="str">
        <f t="shared" si="0"/>
        <v/>
      </c>
      <c r="M53" s="37" t="str">
        <f t="shared" ca="1" si="9"/>
        <v/>
      </c>
      <c r="N53" s="37" t="str">
        <f t="shared" si="10"/>
        <v/>
      </c>
      <c r="O53" s="37" t="str">
        <f t="shared" ca="1" si="11"/>
        <v/>
      </c>
      <c r="P53" s="37" t="str">
        <f t="shared" ca="1" si="7"/>
        <v/>
      </c>
      <c r="Q53" s="37" t="str">
        <f t="shared" ca="1" si="8"/>
        <v/>
      </c>
    </row>
    <row r="54" spans="1:17" ht="22.5" customHeight="1" x14ac:dyDescent="0.25">
      <c r="A54" s="46">
        <v>49</v>
      </c>
      <c r="B54" s="46"/>
      <c r="C54" s="46"/>
      <c r="D54" s="46"/>
      <c r="E54" s="46"/>
      <c r="F54" s="43"/>
      <c r="G54" s="32" t="str">
        <f t="shared" ca="1" si="4"/>
        <v/>
      </c>
      <c r="H54" s="32" t="str">
        <f t="shared" ca="1" si="5"/>
        <v/>
      </c>
      <c r="I54" s="33" t="str">
        <f t="shared" ca="1" si="6"/>
        <v/>
      </c>
      <c r="J54" s="52"/>
      <c r="K54" s="56"/>
      <c r="L54" s="37" t="str">
        <f t="shared" si="0"/>
        <v/>
      </c>
      <c r="M54" s="37" t="str">
        <f t="shared" ca="1" si="9"/>
        <v/>
      </c>
      <c r="N54" s="37" t="str">
        <f t="shared" si="10"/>
        <v/>
      </c>
      <c r="O54" s="37" t="str">
        <f t="shared" ca="1" si="11"/>
        <v/>
      </c>
      <c r="P54" s="37" t="str">
        <f t="shared" ca="1" si="7"/>
        <v/>
      </c>
      <c r="Q54" s="37" t="str">
        <f t="shared" ca="1" si="8"/>
        <v/>
      </c>
    </row>
    <row r="55" spans="1:17" ht="22.5" customHeight="1" x14ac:dyDescent="0.25">
      <c r="A55" s="46">
        <v>50</v>
      </c>
      <c r="B55" s="46"/>
      <c r="C55" s="46"/>
      <c r="D55" s="46"/>
      <c r="E55" s="46"/>
      <c r="F55" s="43"/>
      <c r="G55" s="32" t="str">
        <f t="shared" ca="1" si="4"/>
        <v/>
      </c>
      <c r="H55" s="32" t="str">
        <f t="shared" ca="1" si="5"/>
        <v/>
      </c>
      <c r="I55" s="33" t="str">
        <f t="shared" ca="1" si="6"/>
        <v/>
      </c>
      <c r="J55" s="52"/>
      <c r="K55" s="56"/>
      <c r="L55" s="37" t="str">
        <f t="shared" si="0"/>
        <v/>
      </c>
      <c r="M55" s="37" t="str">
        <f t="shared" ca="1" si="9"/>
        <v/>
      </c>
      <c r="N55" s="37" t="str">
        <f t="shared" si="10"/>
        <v/>
      </c>
      <c r="O55" s="37" t="str">
        <f t="shared" ca="1" si="11"/>
        <v/>
      </c>
      <c r="P55" s="37" t="str">
        <f t="shared" ca="1" si="7"/>
        <v/>
      </c>
      <c r="Q55" s="37" t="str">
        <f t="shared" ca="1" si="8"/>
        <v/>
      </c>
    </row>
    <row r="56" spans="1:17" ht="22.5" customHeight="1" x14ac:dyDescent="0.25">
      <c r="A56" s="46">
        <v>51</v>
      </c>
      <c r="B56" s="46"/>
      <c r="C56" s="46"/>
      <c r="D56" s="46"/>
      <c r="E56" s="46"/>
      <c r="F56" s="43"/>
      <c r="G56" s="32" t="str">
        <f t="shared" ca="1" si="4"/>
        <v/>
      </c>
      <c r="H56" s="32" t="str">
        <f t="shared" ca="1" si="5"/>
        <v/>
      </c>
      <c r="I56" s="33" t="str">
        <f t="shared" ca="1" si="6"/>
        <v/>
      </c>
      <c r="J56" s="52"/>
      <c r="K56" s="56"/>
      <c r="L56" s="37" t="str">
        <f t="shared" si="0"/>
        <v/>
      </c>
      <c r="M56" s="37" t="str">
        <f t="shared" ca="1" si="9"/>
        <v/>
      </c>
      <c r="N56" s="37" t="str">
        <f t="shared" si="10"/>
        <v/>
      </c>
      <c r="O56" s="37" t="str">
        <f t="shared" ca="1" si="11"/>
        <v/>
      </c>
      <c r="P56" s="37" t="str">
        <f t="shared" ca="1" si="7"/>
        <v/>
      </c>
      <c r="Q56" s="37" t="str">
        <f t="shared" ca="1" si="8"/>
        <v/>
      </c>
    </row>
    <row r="57" spans="1:17" ht="22.5" customHeight="1" x14ac:dyDescent="0.25">
      <c r="A57" s="46">
        <v>52</v>
      </c>
      <c r="B57" s="46"/>
      <c r="C57" s="46"/>
      <c r="D57" s="46"/>
      <c r="E57" s="46"/>
      <c r="F57" s="43"/>
      <c r="G57" s="32" t="str">
        <f t="shared" ca="1" si="4"/>
        <v/>
      </c>
      <c r="H57" s="32" t="str">
        <f t="shared" ca="1" si="5"/>
        <v/>
      </c>
      <c r="I57" s="33" t="str">
        <f t="shared" ca="1" si="6"/>
        <v/>
      </c>
      <c r="J57" s="52"/>
      <c r="K57" s="56"/>
      <c r="L57" s="37" t="str">
        <f t="shared" si="0"/>
        <v/>
      </c>
      <c r="M57" s="37" t="str">
        <f t="shared" ca="1" si="9"/>
        <v/>
      </c>
      <c r="N57" s="37" t="str">
        <f t="shared" si="10"/>
        <v/>
      </c>
      <c r="O57" s="37" t="str">
        <f t="shared" ca="1" si="11"/>
        <v/>
      </c>
      <c r="P57" s="37" t="str">
        <f t="shared" ca="1" si="7"/>
        <v/>
      </c>
      <c r="Q57" s="37" t="str">
        <f t="shared" ca="1" si="8"/>
        <v/>
      </c>
    </row>
    <row r="58" spans="1:17" ht="22.5" customHeight="1" x14ac:dyDescent="0.25">
      <c r="A58" s="46">
        <v>53</v>
      </c>
      <c r="B58" s="46"/>
      <c r="C58" s="46"/>
      <c r="D58" s="46"/>
      <c r="E58" s="46"/>
      <c r="F58" s="43"/>
      <c r="G58" s="32" t="str">
        <f t="shared" ca="1" si="4"/>
        <v/>
      </c>
      <c r="H58" s="32" t="str">
        <f t="shared" ca="1" si="5"/>
        <v/>
      </c>
      <c r="I58" s="33" t="str">
        <f t="shared" ca="1" si="6"/>
        <v/>
      </c>
      <c r="J58" s="52"/>
      <c r="K58" s="56"/>
      <c r="L58" s="37" t="str">
        <f t="shared" si="0"/>
        <v/>
      </c>
      <c r="M58" s="37" t="str">
        <f t="shared" ca="1" si="9"/>
        <v/>
      </c>
      <c r="N58" s="37" t="str">
        <f t="shared" si="10"/>
        <v/>
      </c>
      <c r="O58" s="37" t="str">
        <f t="shared" ca="1" si="11"/>
        <v/>
      </c>
      <c r="P58" s="37" t="str">
        <f t="shared" ca="1" si="7"/>
        <v/>
      </c>
      <c r="Q58" s="37" t="str">
        <f t="shared" ca="1" si="8"/>
        <v/>
      </c>
    </row>
    <row r="59" spans="1:17" ht="22.5" customHeight="1" x14ac:dyDescent="0.25">
      <c r="A59" s="46">
        <v>54</v>
      </c>
      <c r="B59" s="46"/>
      <c r="C59" s="46"/>
      <c r="D59" s="46"/>
      <c r="E59" s="46"/>
      <c r="F59" s="43"/>
      <c r="G59" s="32" t="str">
        <f t="shared" ca="1" si="4"/>
        <v/>
      </c>
      <c r="H59" s="32" t="str">
        <f t="shared" ca="1" si="5"/>
        <v/>
      </c>
      <c r="I59" s="33" t="str">
        <f t="shared" ca="1" si="6"/>
        <v/>
      </c>
      <c r="J59" s="52"/>
      <c r="K59" s="56"/>
      <c r="L59" s="37" t="str">
        <f t="shared" si="0"/>
        <v/>
      </c>
      <c r="M59" s="37" t="str">
        <f t="shared" ca="1" si="9"/>
        <v/>
      </c>
      <c r="N59" s="37" t="str">
        <f t="shared" si="10"/>
        <v/>
      </c>
      <c r="O59" s="37" t="str">
        <f t="shared" ca="1" si="11"/>
        <v/>
      </c>
      <c r="P59" s="37" t="str">
        <f t="shared" ca="1" si="7"/>
        <v/>
      </c>
      <c r="Q59" s="37" t="str">
        <f t="shared" ca="1" si="8"/>
        <v/>
      </c>
    </row>
    <row r="60" spans="1:17" ht="22.5" customHeight="1" x14ac:dyDescent="0.25">
      <c r="A60" s="46">
        <v>55</v>
      </c>
      <c r="B60" s="46"/>
      <c r="C60" s="46"/>
      <c r="D60" s="46"/>
      <c r="E60" s="46"/>
      <c r="F60" s="43"/>
      <c r="G60" s="32" t="str">
        <f t="shared" ca="1" si="4"/>
        <v/>
      </c>
      <c r="H60" s="32" t="str">
        <f t="shared" ca="1" si="5"/>
        <v/>
      </c>
      <c r="I60" s="33" t="str">
        <f t="shared" ca="1" si="6"/>
        <v/>
      </c>
      <c r="J60" s="52"/>
      <c r="K60" s="56"/>
      <c r="L60" s="37" t="str">
        <f t="shared" si="0"/>
        <v/>
      </c>
      <c r="M60" s="37" t="str">
        <f t="shared" ca="1" si="9"/>
        <v/>
      </c>
      <c r="N60" s="37" t="str">
        <f t="shared" si="10"/>
        <v/>
      </c>
      <c r="O60" s="37" t="str">
        <f t="shared" ca="1" si="11"/>
        <v/>
      </c>
      <c r="P60" s="37" t="str">
        <f t="shared" ca="1" si="7"/>
        <v/>
      </c>
      <c r="Q60" s="37" t="str">
        <f t="shared" ca="1" si="8"/>
        <v/>
      </c>
    </row>
    <row r="61" spans="1:17" ht="22.5" customHeight="1" x14ac:dyDescent="0.25">
      <c r="A61" s="46">
        <v>56</v>
      </c>
      <c r="B61" s="46"/>
      <c r="C61" s="46"/>
      <c r="D61" s="46"/>
      <c r="E61" s="46"/>
      <c r="F61" s="43"/>
      <c r="G61" s="32" t="str">
        <f t="shared" ca="1" si="4"/>
        <v/>
      </c>
      <c r="H61" s="32" t="str">
        <f t="shared" ca="1" si="5"/>
        <v/>
      </c>
      <c r="I61" s="33" t="str">
        <f t="shared" ca="1" si="6"/>
        <v/>
      </c>
      <c r="J61" s="52"/>
      <c r="K61" s="56"/>
      <c r="L61" s="37" t="str">
        <f t="shared" si="0"/>
        <v/>
      </c>
      <c r="M61" s="37" t="str">
        <f t="shared" ca="1" si="9"/>
        <v/>
      </c>
      <c r="N61" s="37" t="str">
        <f t="shared" si="10"/>
        <v/>
      </c>
      <c r="O61" s="37" t="str">
        <f t="shared" ca="1" si="11"/>
        <v/>
      </c>
      <c r="P61" s="37" t="str">
        <f t="shared" ca="1" si="7"/>
        <v/>
      </c>
      <c r="Q61" s="37" t="str">
        <f t="shared" ca="1" si="8"/>
        <v/>
      </c>
    </row>
    <row r="62" spans="1:17" ht="22.5" customHeight="1" x14ac:dyDescent="0.25">
      <c r="A62" s="46">
        <v>57</v>
      </c>
      <c r="B62" s="46"/>
      <c r="C62" s="46"/>
      <c r="D62" s="46"/>
      <c r="E62" s="46"/>
      <c r="F62" s="43"/>
      <c r="G62" s="32" t="str">
        <f t="shared" ca="1" si="4"/>
        <v/>
      </c>
      <c r="H62" s="32" t="str">
        <f t="shared" ca="1" si="5"/>
        <v/>
      </c>
      <c r="I62" s="33" t="str">
        <f t="shared" ca="1" si="6"/>
        <v/>
      </c>
      <c r="J62" s="52"/>
      <c r="K62" s="56"/>
      <c r="L62" s="37" t="str">
        <f t="shared" si="0"/>
        <v/>
      </c>
      <c r="M62" s="37" t="str">
        <f t="shared" ca="1" si="9"/>
        <v/>
      </c>
      <c r="N62" s="37" t="str">
        <f t="shared" si="10"/>
        <v/>
      </c>
      <c r="O62" s="37" t="str">
        <f t="shared" ca="1" si="11"/>
        <v/>
      </c>
      <c r="P62" s="37" t="str">
        <f t="shared" ca="1" si="7"/>
        <v/>
      </c>
      <c r="Q62" s="37" t="str">
        <f t="shared" ca="1" si="8"/>
        <v/>
      </c>
    </row>
    <row r="63" spans="1:17" ht="22.5" customHeight="1" x14ac:dyDescent="0.25">
      <c r="A63" s="46">
        <v>58</v>
      </c>
      <c r="B63" s="46"/>
      <c r="C63" s="46"/>
      <c r="D63" s="46"/>
      <c r="E63" s="46"/>
      <c r="F63" s="43"/>
      <c r="G63" s="32" t="str">
        <f t="shared" ca="1" si="4"/>
        <v/>
      </c>
      <c r="H63" s="32" t="str">
        <f t="shared" ca="1" si="5"/>
        <v/>
      </c>
      <c r="I63" s="33" t="str">
        <f t="shared" ca="1" si="6"/>
        <v/>
      </c>
      <c r="J63" s="52"/>
      <c r="K63" s="56"/>
      <c r="L63" s="37" t="str">
        <f t="shared" si="0"/>
        <v/>
      </c>
      <c r="M63" s="37" t="str">
        <f t="shared" ca="1" si="9"/>
        <v/>
      </c>
      <c r="N63" s="37" t="str">
        <f t="shared" si="10"/>
        <v/>
      </c>
      <c r="O63" s="37" t="str">
        <f t="shared" ca="1" si="11"/>
        <v/>
      </c>
      <c r="P63" s="37" t="str">
        <f t="shared" ca="1" si="7"/>
        <v/>
      </c>
      <c r="Q63" s="37" t="str">
        <f t="shared" ca="1" si="8"/>
        <v/>
      </c>
    </row>
    <row r="64" spans="1:17" ht="22.5" customHeight="1" x14ac:dyDescent="0.25">
      <c r="A64" s="46">
        <v>59</v>
      </c>
      <c r="B64" s="46"/>
      <c r="C64" s="46"/>
      <c r="D64" s="46"/>
      <c r="E64" s="46"/>
      <c r="F64" s="43"/>
      <c r="G64" s="32" t="str">
        <f t="shared" ca="1" si="4"/>
        <v/>
      </c>
      <c r="H64" s="32" t="str">
        <f t="shared" ca="1" si="5"/>
        <v/>
      </c>
      <c r="I64" s="33" t="str">
        <f t="shared" ca="1" si="6"/>
        <v/>
      </c>
      <c r="J64" s="52"/>
      <c r="K64" s="56"/>
      <c r="L64" s="37" t="str">
        <f t="shared" si="0"/>
        <v/>
      </c>
      <c r="M64" s="37" t="str">
        <f t="shared" ca="1" si="9"/>
        <v/>
      </c>
      <c r="N64" s="37" t="str">
        <f t="shared" si="10"/>
        <v/>
      </c>
      <c r="O64" s="37" t="str">
        <f t="shared" ca="1" si="11"/>
        <v/>
      </c>
      <c r="P64" s="37" t="str">
        <f t="shared" ca="1" si="7"/>
        <v/>
      </c>
      <c r="Q64" s="37" t="str">
        <f t="shared" ca="1" si="8"/>
        <v/>
      </c>
    </row>
    <row r="65" spans="1:17" ht="22.5" customHeight="1" x14ac:dyDescent="0.25">
      <c r="A65" s="46">
        <v>60</v>
      </c>
      <c r="B65" s="46"/>
      <c r="C65" s="46"/>
      <c r="D65" s="46"/>
      <c r="E65" s="46"/>
      <c r="F65" s="43"/>
      <c r="G65" s="32" t="str">
        <f t="shared" ca="1" si="4"/>
        <v/>
      </c>
      <c r="H65" s="32" t="str">
        <f t="shared" ca="1" si="5"/>
        <v/>
      </c>
      <c r="I65" s="33" t="str">
        <f t="shared" ca="1" si="6"/>
        <v/>
      </c>
      <c r="J65" s="52"/>
      <c r="K65" s="56"/>
      <c r="L65" s="37" t="str">
        <f t="shared" si="0"/>
        <v/>
      </c>
      <c r="M65" s="37" t="str">
        <f t="shared" ca="1" si="9"/>
        <v/>
      </c>
      <c r="N65" s="37" t="str">
        <f t="shared" si="10"/>
        <v/>
      </c>
      <c r="O65" s="37" t="str">
        <f t="shared" ca="1" si="11"/>
        <v/>
      </c>
      <c r="P65" s="37" t="str">
        <f t="shared" ca="1" si="7"/>
        <v/>
      </c>
      <c r="Q65" s="37" t="str">
        <f t="shared" ca="1" si="8"/>
        <v/>
      </c>
    </row>
    <row r="66" spans="1:17" ht="22.5" customHeight="1" x14ac:dyDescent="0.25">
      <c r="A66" s="46">
        <v>61</v>
      </c>
      <c r="B66" s="46"/>
      <c r="C66" s="46"/>
      <c r="D66" s="46"/>
      <c r="E66" s="46"/>
      <c r="F66" s="43"/>
      <c r="G66" s="32" t="str">
        <f t="shared" ca="1" si="4"/>
        <v/>
      </c>
      <c r="H66" s="32" t="str">
        <f t="shared" ca="1" si="5"/>
        <v/>
      </c>
      <c r="I66" s="33" t="str">
        <f t="shared" ca="1" si="6"/>
        <v/>
      </c>
      <c r="J66" s="52"/>
      <c r="K66" s="56"/>
      <c r="L66" s="37" t="str">
        <f t="shared" si="0"/>
        <v/>
      </c>
      <c r="M66" s="37" t="str">
        <f t="shared" ca="1" si="9"/>
        <v/>
      </c>
      <c r="N66" s="37" t="str">
        <f t="shared" si="10"/>
        <v/>
      </c>
      <c r="O66" s="37" t="str">
        <f t="shared" ca="1" si="11"/>
        <v/>
      </c>
      <c r="P66" s="37" t="str">
        <f t="shared" ca="1" si="7"/>
        <v/>
      </c>
      <c r="Q66" s="37" t="str">
        <f t="shared" ca="1" si="8"/>
        <v/>
      </c>
    </row>
    <row r="67" spans="1:17" ht="22.5" customHeight="1" x14ac:dyDescent="0.25">
      <c r="A67" s="46">
        <v>62</v>
      </c>
      <c r="B67" s="46"/>
      <c r="C67" s="46"/>
      <c r="D67" s="46"/>
      <c r="E67" s="46"/>
      <c r="F67" s="43"/>
      <c r="G67" s="32" t="str">
        <f t="shared" ca="1" si="4"/>
        <v/>
      </c>
      <c r="H67" s="32" t="str">
        <f t="shared" ca="1" si="5"/>
        <v/>
      </c>
      <c r="I67" s="33" t="str">
        <f t="shared" ca="1" si="6"/>
        <v/>
      </c>
      <c r="J67" s="52"/>
      <c r="K67" s="56"/>
      <c r="L67" s="37" t="str">
        <f t="shared" si="0"/>
        <v/>
      </c>
      <c r="M67" s="37" t="str">
        <f t="shared" ca="1" si="9"/>
        <v/>
      </c>
      <c r="N67" s="37" t="str">
        <f t="shared" si="10"/>
        <v/>
      </c>
      <c r="O67" s="37" t="str">
        <f t="shared" ca="1" si="11"/>
        <v/>
      </c>
      <c r="P67" s="37" t="str">
        <f t="shared" ca="1" si="7"/>
        <v/>
      </c>
      <c r="Q67" s="37" t="str">
        <f t="shared" ca="1" si="8"/>
        <v/>
      </c>
    </row>
    <row r="68" spans="1:17" ht="22.5" customHeight="1" x14ac:dyDescent="0.25">
      <c r="A68" s="46">
        <v>63</v>
      </c>
      <c r="B68" s="46"/>
      <c r="C68" s="46"/>
      <c r="D68" s="46"/>
      <c r="E68" s="46"/>
      <c r="F68" s="43"/>
      <c r="G68" s="32" t="str">
        <f t="shared" ca="1" si="4"/>
        <v/>
      </c>
      <c r="H68" s="32" t="str">
        <f t="shared" ca="1" si="5"/>
        <v/>
      </c>
      <c r="I68" s="33" t="str">
        <f t="shared" ca="1" si="6"/>
        <v/>
      </c>
      <c r="J68" s="52"/>
      <c r="K68" s="56"/>
      <c r="L68" s="37" t="str">
        <f t="shared" si="0"/>
        <v/>
      </c>
      <c r="M68" s="37" t="str">
        <f t="shared" ca="1" si="9"/>
        <v/>
      </c>
      <c r="N68" s="37" t="str">
        <f t="shared" si="10"/>
        <v/>
      </c>
      <c r="O68" s="37" t="str">
        <f t="shared" ca="1" si="11"/>
        <v/>
      </c>
      <c r="P68" s="37" t="str">
        <f t="shared" ca="1" si="7"/>
        <v/>
      </c>
      <c r="Q68" s="37" t="str">
        <f t="shared" ca="1" si="8"/>
        <v/>
      </c>
    </row>
    <row r="69" spans="1:17" ht="22.5" customHeight="1" x14ac:dyDescent="0.25">
      <c r="A69" s="46">
        <v>64</v>
      </c>
      <c r="B69" s="46"/>
      <c r="C69" s="46"/>
      <c r="D69" s="46"/>
      <c r="E69" s="46"/>
      <c r="F69" s="43"/>
      <c r="G69" s="32" t="str">
        <f t="shared" ca="1" si="4"/>
        <v/>
      </c>
      <c r="H69" s="32" t="str">
        <f t="shared" ca="1" si="5"/>
        <v/>
      </c>
      <c r="I69" s="33" t="str">
        <f t="shared" ca="1" si="6"/>
        <v/>
      </c>
      <c r="J69" s="52"/>
      <c r="K69" s="56"/>
      <c r="L69" s="37" t="str">
        <f t="shared" si="0"/>
        <v/>
      </c>
      <c r="M69" s="37" t="str">
        <f t="shared" ca="1" si="9"/>
        <v/>
      </c>
      <c r="N69" s="37" t="str">
        <f t="shared" si="10"/>
        <v/>
      </c>
      <c r="O69" s="37" t="str">
        <f t="shared" ca="1" si="11"/>
        <v/>
      </c>
      <c r="P69" s="37" t="str">
        <f t="shared" ca="1" si="7"/>
        <v/>
      </c>
      <c r="Q69" s="37" t="str">
        <f t="shared" ca="1" si="8"/>
        <v/>
      </c>
    </row>
    <row r="70" spans="1:17" ht="22.5" customHeight="1" x14ac:dyDescent="0.25">
      <c r="A70" s="46">
        <v>65</v>
      </c>
      <c r="B70" s="46"/>
      <c r="C70" s="46"/>
      <c r="D70" s="46"/>
      <c r="E70" s="46"/>
      <c r="F70" s="43"/>
      <c r="G70" s="32" t="str">
        <f t="shared" ca="1" si="4"/>
        <v/>
      </c>
      <c r="H70" s="32" t="str">
        <f t="shared" ca="1" si="5"/>
        <v/>
      </c>
      <c r="I70" s="33" t="str">
        <f t="shared" ca="1" si="6"/>
        <v/>
      </c>
      <c r="J70" s="52"/>
      <c r="K70" s="56"/>
      <c r="L70" s="37" t="str">
        <f t="shared" ref="L70:L133" si="12">IF(J70="","",J70*$L$5)</f>
        <v/>
      </c>
      <c r="M70" s="37" t="str">
        <f t="shared" ref="M70:M101" ca="1" si="13">IF(I70="","",J70+P70)</f>
        <v/>
      </c>
      <c r="N70" s="37" t="str">
        <f t="shared" ref="N70:N101" si="14">IF(K70="","",K70*$N$5)</f>
        <v/>
      </c>
      <c r="O70" s="37" t="str">
        <f t="shared" ref="O70:O101" ca="1" si="15">IF(I70="","",K70+Q70)</f>
        <v/>
      </c>
      <c r="P70" s="37" t="str">
        <f t="shared" ca="1" si="7"/>
        <v/>
      </c>
      <c r="Q70" s="37" t="str">
        <f t="shared" ca="1" si="8"/>
        <v/>
      </c>
    </row>
    <row r="71" spans="1:17" ht="22.5" customHeight="1" x14ac:dyDescent="0.25">
      <c r="A71" s="46">
        <v>66</v>
      </c>
      <c r="B71" s="46"/>
      <c r="C71" s="46"/>
      <c r="D71" s="46"/>
      <c r="E71" s="46"/>
      <c r="F71" s="43"/>
      <c r="G71" s="32" t="str">
        <f t="shared" ref="G71:G134" ca="1" si="16">IF(F71="","",DATEDIF(F71,TODAY(),"m"))</f>
        <v/>
      </c>
      <c r="H71" s="32" t="str">
        <f t="shared" ref="H71:H134" ca="1" si="17">IF(G71="","",IF(G71&gt;=12,12,G71))</f>
        <v/>
      </c>
      <c r="I71" s="33" t="str">
        <f t="shared" ref="I71:I134" ca="1" si="18">IF(H71="","",H71/12)</f>
        <v/>
      </c>
      <c r="J71" s="52"/>
      <c r="K71" s="56"/>
      <c r="L71" s="37" t="str">
        <f t="shared" si="12"/>
        <v/>
      </c>
      <c r="M71" s="37" t="str">
        <f t="shared" ca="1" si="13"/>
        <v/>
      </c>
      <c r="N71" s="37" t="str">
        <f t="shared" si="14"/>
        <v/>
      </c>
      <c r="O71" s="37" t="str">
        <f t="shared" ca="1" si="15"/>
        <v/>
      </c>
      <c r="P71" s="37" t="str">
        <f t="shared" ref="P71:P134" ca="1" si="19">IF(H71&lt;6,0,IF(I71="","",L71*I71))</f>
        <v/>
      </c>
      <c r="Q71" s="37" t="str">
        <f t="shared" ref="Q71:Q134" ca="1" si="20">IF(H71&lt;6,0,IF(I71="","",N71*I71))</f>
        <v/>
      </c>
    </row>
    <row r="72" spans="1:17" ht="22.5" customHeight="1" x14ac:dyDescent="0.25">
      <c r="A72" s="46">
        <v>67</v>
      </c>
      <c r="B72" s="46"/>
      <c r="C72" s="46"/>
      <c r="D72" s="46"/>
      <c r="E72" s="46"/>
      <c r="F72" s="43"/>
      <c r="G72" s="32" t="str">
        <f t="shared" ca="1" si="16"/>
        <v/>
      </c>
      <c r="H72" s="32" t="str">
        <f t="shared" ca="1" si="17"/>
        <v/>
      </c>
      <c r="I72" s="33" t="str">
        <f t="shared" ca="1" si="18"/>
        <v/>
      </c>
      <c r="J72" s="52"/>
      <c r="K72" s="56"/>
      <c r="L72" s="37" t="str">
        <f t="shared" si="12"/>
        <v/>
      </c>
      <c r="M72" s="37" t="str">
        <f t="shared" ca="1" si="13"/>
        <v/>
      </c>
      <c r="N72" s="37" t="str">
        <f t="shared" si="14"/>
        <v/>
      </c>
      <c r="O72" s="37" t="str">
        <f t="shared" ca="1" si="15"/>
        <v/>
      </c>
      <c r="P72" s="37" t="str">
        <f t="shared" ca="1" si="19"/>
        <v/>
      </c>
      <c r="Q72" s="37" t="str">
        <f t="shared" ca="1" si="20"/>
        <v/>
      </c>
    </row>
    <row r="73" spans="1:17" ht="22.5" customHeight="1" x14ac:dyDescent="0.25">
      <c r="A73" s="46">
        <v>68</v>
      </c>
      <c r="B73" s="46"/>
      <c r="C73" s="46"/>
      <c r="D73" s="46"/>
      <c r="E73" s="46"/>
      <c r="F73" s="43"/>
      <c r="G73" s="32" t="str">
        <f t="shared" ca="1" si="16"/>
        <v/>
      </c>
      <c r="H73" s="32" t="str">
        <f t="shared" ca="1" si="17"/>
        <v/>
      </c>
      <c r="I73" s="33" t="str">
        <f t="shared" ca="1" si="18"/>
        <v/>
      </c>
      <c r="J73" s="52"/>
      <c r="K73" s="56"/>
      <c r="L73" s="37" t="str">
        <f t="shared" si="12"/>
        <v/>
      </c>
      <c r="M73" s="37" t="str">
        <f t="shared" ca="1" si="13"/>
        <v/>
      </c>
      <c r="N73" s="37" t="str">
        <f t="shared" si="14"/>
        <v/>
      </c>
      <c r="O73" s="37" t="str">
        <f t="shared" ca="1" si="15"/>
        <v/>
      </c>
      <c r="P73" s="37" t="str">
        <f t="shared" ca="1" si="19"/>
        <v/>
      </c>
      <c r="Q73" s="37" t="str">
        <f t="shared" ca="1" si="20"/>
        <v/>
      </c>
    </row>
    <row r="74" spans="1:17" ht="22.5" customHeight="1" x14ac:dyDescent="0.25">
      <c r="A74" s="46">
        <v>69</v>
      </c>
      <c r="B74" s="46"/>
      <c r="C74" s="46"/>
      <c r="D74" s="46"/>
      <c r="E74" s="46"/>
      <c r="F74" s="43"/>
      <c r="G74" s="32" t="str">
        <f t="shared" ca="1" si="16"/>
        <v/>
      </c>
      <c r="H74" s="32" t="str">
        <f t="shared" ca="1" si="17"/>
        <v/>
      </c>
      <c r="I74" s="33" t="str">
        <f t="shared" ca="1" si="18"/>
        <v/>
      </c>
      <c r="J74" s="52"/>
      <c r="K74" s="56"/>
      <c r="L74" s="37" t="str">
        <f t="shared" si="12"/>
        <v/>
      </c>
      <c r="M74" s="37" t="str">
        <f t="shared" ca="1" si="13"/>
        <v/>
      </c>
      <c r="N74" s="37" t="str">
        <f t="shared" si="14"/>
        <v/>
      </c>
      <c r="O74" s="37" t="str">
        <f t="shared" ca="1" si="15"/>
        <v/>
      </c>
      <c r="P74" s="37" t="str">
        <f t="shared" ca="1" si="19"/>
        <v/>
      </c>
      <c r="Q74" s="37" t="str">
        <f t="shared" ca="1" si="20"/>
        <v/>
      </c>
    </row>
    <row r="75" spans="1:17" ht="22.5" customHeight="1" x14ac:dyDescent="0.25">
      <c r="A75" s="46">
        <v>70</v>
      </c>
      <c r="B75" s="46"/>
      <c r="C75" s="46"/>
      <c r="D75" s="46"/>
      <c r="E75" s="46"/>
      <c r="F75" s="43"/>
      <c r="G75" s="32" t="str">
        <f t="shared" ca="1" si="16"/>
        <v/>
      </c>
      <c r="H75" s="32" t="str">
        <f t="shared" ca="1" si="17"/>
        <v/>
      </c>
      <c r="I75" s="33" t="str">
        <f t="shared" ca="1" si="18"/>
        <v/>
      </c>
      <c r="J75" s="52"/>
      <c r="K75" s="56"/>
      <c r="L75" s="37" t="str">
        <f t="shared" si="12"/>
        <v/>
      </c>
      <c r="M75" s="37" t="str">
        <f t="shared" ca="1" si="13"/>
        <v/>
      </c>
      <c r="N75" s="37" t="str">
        <f t="shared" si="14"/>
        <v/>
      </c>
      <c r="O75" s="37" t="str">
        <f t="shared" ca="1" si="15"/>
        <v/>
      </c>
      <c r="P75" s="37" t="str">
        <f t="shared" ca="1" si="19"/>
        <v/>
      </c>
      <c r="Q75" s="37" t="str">
        <f t="shared" ca="1" si="20"/>
        <v/>
      </c>
    </row>
    <row r="76" spans="1:17" ht="22.5" customHeight="1" x14ac:dyDescent="0.25">
      <c r="A76" s="46">
        <v>71</v>
      </c>
      <c r="B76" s="46"/>
      <c r="C76" s="46"/>
      <c r="D76" s="46"/>
      <c r="E76" s="46"/>
      <c r="F76" s="43"/>
      <c r="G76" s="32" t="str">
        <f t="shared" ca="1" si="16"/>
        <v/>
      </c>
      <c r="H76" s="32" t="str">
        <f t="shared" ca="1" si="17"/>
        <v/>
      </c>
      <c r="I76" s="33" t="str">
        <f t="shared" ca="1" si="18"/>
        <v/>
      </c>
      <c r="J76" s="52"/>
      <c r="K76" s="56"/>
      <c r="L76" s="37" t="str">
        <f t="shared" si="12"/>
        <v/>
      </c>
      <c r="M76" s="37" t="str">
        <f t="shared" ca="1" si="13"/>
        <v/>
      </c>
      <c r="N76" s="37" t="str">
        <f t="shared" si="14"/>
        <v/>
      </c>
      <c r="O76" s="37" t="str">
        <f t="shared" ca="1" si="15"/>
        <v/>
      </c>
      <c r="P76" s="37" t="str">
        <f t="shared" ca="1" si="19"/>
        <v/>
      </c>
      <c r="Q76" s="37" t="str">
        <f t="shared" ca="1" si="20"/>
        <v/>
      </c>
    </row>
    <row r="77" spans="1:17" ht="22.5" customHeight="1" x14ac:dyDescent="0.25">
      <c r="A77" s="46">
        <v>72</v>
      </c>
      <c r="B77" s="46"/>
      <c r="C77" s="46"/>
      <c r="D77" s="46"/>
      <c r="E77" s="46"/>
      <c r="F77" s="43"/>
      <c r="G77" s="32" t="str">
        <f t="shared" ca="1" si="16"/>
        <v/>
      </c>
      <c r="H77" s="32" t="str">
        <f t="shared" ca="1" si="17"/>
        <v/>
      </c>
      <c r="I77" s="33" t="str">
        <f t="shared" ca="1" si="18"/>
        <v/>
      </c>
      <c r="J77" s="52"/>
      <c r="K77" s="56"/>
      <c r="L77" s="37" t="str">
        <f t="shared" si="12"/>
        <v/>
      </c>
      <c r="M77" s="37" t="str">
        <f t="shared" ca="1" si="13"/>
        <v/>
      </c>
      <c r="N77" s="37" t="str">
        <f t="shared" si="14"/>
        <v/>
      </c>
      <c r="O77" s="37" t="str">
        <f t="shared" ca="1" si="15"/>
        <v/>
      </c>
      <c r="P77" s="37" t="str">
        <f t="shared" ca="1" si="19"/>
        <v/>
      </c>
      <c r="Q77" s="37" t="str">
        <f t="shared" ca="1" si="20"/>
        <v/>
      </c>
    </row>
    <row r="78" spans="1:17" ht="22.5" customHeight="1" x14ac:dyDescent="0.25">
      <c r="A78" s="46">
        <v>73</v>
      </c>
      <c r="B78" s="46"/>
      <c r="C78" s="46"/>
      <c r="D78" s="46"/>
      <c r="E78" s="46"/>
      <c r="F78" s="43"/>
      <c r="G78" s="32" t="str">
        <f t="shared" ca="1" si="16"/>
        <v/>
      </c>
      <c r="H78" s="32" t="str">
        <f t="shared" ca="1" si="17"/>
        <v/>
      </c>
      <c r="I78" s="33" t="str">
        <f t="shared" ca="1" si="18"/>
        <v/>
      </c>
      <c r="J78" s="52"/>
      <c r="K78" s="56"/>
      <c r="L78" s="37" t="str">
        <f t="shared" si="12"/>
        <v/>
      </c>
      <c r="M78" s="37" t="str">
        <f t="shared" ca="1" si="13"/>
        <v/>
      </c>
      <c r="N78" s="37" t="str">
        <f t="shared" si="14"/>
        <v/>
      </c>
      <c r="O78" s="37" t="str">
        <f t="shared" ca="1" si="15"/>
        <v/>
      </c>
      <c r="P78" s="37" t="str">
        <f t="shared" ca="1" si="19"/>
        <v/>
      </c>
      <c r="Q78" s="37" t="str">
        <f t="shared" ca="1" si="20"/>
        <v/>
      </c>
    </row>
    <row r="79" spans="1:17" ht="22.5" customHeight="1" x14ac:dyDescent="0.25">
      <c r="A79" s="46">
        <v>74</v>
      </c>
      <c r="B79" s="46"/>
      <c r="C79" s="46"/>
      <c r="D79" s="46"/>
      <c r="E79" s="46"/>
      <c r="F79" s="43"/>
      <c r="G79" s="32" t="str">
        <f t="shared" ca="1" si="16"/>
        <v/>
      </c>
      <c r="H79" s="32" t="str">
        <f t="shared" ca="1" si="17"/>
        <v/>
      </c>
      <c r="I79" s="33" t="str">
        <f t="shared" ca="1" si="18"/>
        <v/>
      </c>
      <c r="J79" s="52"/>
      <c r="K79" s="56"/>
      <c r="L79" s="37" t="str">
        <f t="shared" si="12"/>
        <v/>
      </c>
      <c r="M79" s="37" t="str">
        <f t="shared" ca="1" si="13"/>
        <v/>
      </c>
      <c r="N79" s="37" t="str">
        <f t="shared" si="14"/>
        <v/>
      </c>
      <c r="O79" s="37" t="str">
        <f t="shared" ca="1" si="15"/>
        <v/>
      </c>
      <c r="P79" s="37" t="str">
        <f t="shared" ca="1" si="19"/>
        <v/>
      </c>
      <c r="Q79" s="37" t="str">
        <f t="shared" ca="1" si="20"/>
        <v/>
      </c>
    </row>
    <row r="80" spans="1:17" ht="22.5" customHeight="1" x14ac:dyDescent="0.25">
      <c r="A80" s="46">
        <v>75</v>
      </c>
      <c r="B80" s="46"/>
      <c r="C80" s="46"/>
      <c r="D80" s="46"/>
      <c r="E80" s="46"/>
      <c r="F80" s="43"/>
      <c r="G80" s="32" t="str">
        <f t="shared" ca="1" si="16"/>
        <v/>
      </c>
      <c r="H80" s="32" t="str">
        <f t="shared" ca="1" si="17"/>
        <v/>
      </c>
      <c r="I80" s="33" t="str">
        <f t="shared" ca="1" si="18"/>
        <v/>
      </c>
      <c r="J80" s="52"/>
      <c r="K80" s="56"/>
      <c r="L80" s="37" t="str">
        <f t="shared" si="12"/>
        <v/>
      </c>
      <c r="M80" s="37" t="str">
        <f t="shared" ca="1" si="13"/>
        <v/>
      </c>
      <c r="N80" s="37" t="str">
        <f t="shared" si="14"/>
        <v/>
      </c>
      <c r="O80" s="37" t="str">
        <f t="shared" ca="1" si="15"/>
        <v/>
      </c>
      <c r="P80" s="37" t="str">
        <f t="shared" ca="1" si="19"/>
        <v/>
      </c>
      <c r="Q80" s="37" t="str">
        <f t="shared" ca="1" si="20"/>
        <v/>
      </c>
    </row>
    <row r="81" spans="1:17" ht="22.5" customHeight="1" x14ac:dyDescent="0.25">
      <c r="A81" s="46">
        <v>76</v>
      </c>
      <c r="B81" s="46"/>
      <c r="C81" s="46"/>
      <c r="D81" s="46"/>
      <c r="E81" s="46"/>
      <c r="F81" s="43"/>
      <c r="G81" s="32" t="str">
        <f t="shared" ca="1" si="16"/>
        <v/>
      </c>
      <c r="H81" s="32" t="str">
        <f t="shared" ca="1" si="17"/>
        <v/>
      </c>
      <c r="I81" s="33" t="str">
        <f t="shared" ca="1" si="18"/>
        <v/>
      </c>
      <c r="J81" s="52"/>
      <c r="K81" s="56"/>
      <c r="L81" s="37" t="str">
        <f t="shared" si="12"/>
        <v/>
      </c>
      <c r="M81" s="37" t="str">
        <f t="shared" ca="1" si="13"/>
        <v/>
      </c>
      <c r="N81" s="37" t="str">
        <f t="shared" si="14"/>
        <v/>
      </c>
      <c r="O81" s="37" t="str">
        <f t="shared" ca="1" si="15"/>
        <v/>
      </c>
      <c r="P81" s="37" t="str">
        <f t="shared" ca="1" si="19"/>
        <v/>
      </c>
      <c r="Q81" s="37" t="str">
        <f t="shared" ca="1" si="20"/>
        <v/>
      </c>
    </row>
    <row r="82" spans="1:17" ht="22.5" customHeight="1" x14ac:dyDescent="0.25">
      <c r="A82" s="46">
        <v>77</v>
      </c>
      <c r="B82" s="46"/>
      <c r="C82" s="46"/>
      <c r="D82" s="46"/>
      <c r="E82" s="46"/>
      <c r="F82" s="43"/>
      <c r="G82" s="32" t="str">
        <f t="shared" ca="1" si="16"/>
        <v/>
      </c>
      <c r="H82" s="32" t="str">
        <f t="shared" ca="1" si="17"/>
        <v/>
      </c>
      <c r="I82" s="33" t="str">
        <f t="shared" ca="1" si="18"/>
        <v/>
      </c>
      <c r="J82" s="52"/>
      <c r="K82" s="56"/>
      <c r="L82" s="37" t="str">
        <f t="shared" si="12"/>
        <v/>
      </c>
      <c r="M82" s="37" t="str">
        <f t="shared" ca="1" si="13"/>
        <v/>
      </c>
      <c r="N82" s="37" t="str">
        <f t="shared" si="14"/>
        <v/>
      </c>
      <c r="O82" s="37" t="str">
        <f t="shared" ca="1" si="15"/>
        <v/>
      </c>
      <c r="P82" s="37" t="str">
        <f t="shared" ca="1" si="19"/>
        <v/>
      </c>
      <c r="Q82" s="37" t="str">
        <f t="shared" ca="1" si="20"/>
        <v/>
      </c>
    </row>
    <row r="83" spans="1:17" ht="22.5" customHeight="1" x14ac:dyDescent="0.25">
      <c r="A83" s="46">
        <v>78</v>
      </c>
      <c r="B83" s="46"/>
      <c r="C83" s="46"/>
      <c r="D83" s="46"/>
      <c r="E83" s="46"/>
      <c r="F83" s="43"/>
      <c r="G83" s="32" t="str">
        <f t="shared" ca="1" si="16"/>
        <v/>
      </c>
      <c r="H83" s="32" t="str">
        <f t="shared" ca="1" si="17"/>
        <v/>
      </c>
      <c r="I83" s="33" t="str">
        <f t="shared" ca="1" si="18"/>
        <v/>
      </c>
      <c r="J83" s="52"/>
      <c r="K83" s="56"/>
      <c r="L83" s="37" t="str">
        <f t="shared" si="12"/>
        <v/>
      </c>
      <c r="M83" s="37" t="str">
        <f t="shared" ca="1" si="13"/>
        <v/>
      </c>
      <c r="N83" s="37" t="str">
        <f t="shared" si="14"/>
        <v/>
      </c>
      <c r="O83" s="37" t="str">
        <f t="shared" ca="1" si="15"/>
        <v/>
      </c>
      <c r="P83" s="37" t="str">
        <f t="shared" ca="1" si="19"/>
        <v/>
      </c>
      <c r="Q83" s="37" t="str">
        <f t="shared" ca="1" si="20"/>
        <v/>
      </c>
    </row>
    <row r="84" spans="1:17" ht="22.5" customHeight="1" x14ac:dyDescent="0.25">
      <c r="A84" s="46">
        <v>79</v>
      </c>
      <c r="B84" s="46"/>
      <c r="C84" s="46"/>
      <c r="D84" s="46"/>
      <c r="E84" s="46"/>
      <c r="F84" s="43"/>
      <c r="G84" s="32" t="str">
        <f t="shared" ca="1" si="16"/>
        <v/>
      </c>
      <c r="H84" s="32" t="str">
        <f t="shared" ca="1" si="17"/>
        <v/>
      </c>
      <c r="I84" s="33" t="str">
        <f t="shared" ca="1" si="18"/>
        <v/>
      </c>
      <c r="J84" s="52"/>
      <c r="K84" s="56"/>
      <c r="L84" s="37" t="str">
        <f t="shared" si="12"/>
        <v/>
      </c>
      <c r="M84" s="37" t="str">
        <f t="shared" ca="1" si="13"/>
        <v/>
      </c>
      <c r="N84" s="37" t="str">
        <f t="shared" si="14"/>
        <v/>
      </c>
      <c r="O84" s="37" t="str">
        <f t="shared" ca="1" si="15"/>
        <v/>
      </c>
      <c r="P84" s="37" t="str">
        <f t="shared" ca="1" si="19"/>
        <v/>
      </c>
      <c r="Q84" s="37" t="str">
        <f t="shared" ca="1" si="20"/>
        <v/>
      </c>
    </row>
    <row r="85" spans="1:17" ht="22.5" customHeight="1" x14ac:dyDescent="0.25">
      <c r="A85" s="46">
        <v>80</v>
      </c>
      <c r="B85" s="46"/>
      <c r="C85" s="46"/>
      <c r="D85" s="46"/>
      <c r="E85" s="46"/>
      <c r="F85" s="43"/>
      <c r="G85" s="32" t="str">
        <f t="shared" ca="1" si="16"/>
        <v/>
      </c>
      <c r="H85" s="32" t="str">
        <f t="shared" ca="1" si="17"/>
        <v/>
      </c>
      <c r="I85" s="33" t="str">
        <f t="shared" ca="1" si="18"/>
        <v/>
      </c>
      <c r="J85" s="52"/>
      <c r="K85" s="56"/>
      <c r="L85" s="37" t="str">
        <f t="shared" si="12"/>
        <v/>
      </c>
      <c r="M85" s="37" t="str">
        <f t="shared" ca="1" si="13"/>
        <v/>
      </c>
      <c r="N85" s="37" t="str">
        <f t="shared" si="14"/>
        <v/>
      </c>
      <c r="O85" s="37" t="str">
        <f t="shared" ca="1" si="15"/>
        <v/>
      </c>
      <c r="P85" s="37" t="str">
        <f t="shared" ca="1" si="19"/>
        <v/>
      </c>
      <c r="Q85" s="37" t="str">
        <f t="shared" ca="1" si="20"/>
        <v/>
      </c>
    </row>
    <row r="86" spans="1:17" ht="22.5" customHeight="1" x14ac:dyDescent="0.25">
      <c r="A86" s="46">
        <v>81</v>
      </c>
      <c r="B86" s="46"/>
      <c r="C86" s="46"/>
      <c r="D86" s="46"/>
      <c r="E86" s="46"/>
      <c r="F86" s="43"/>
      <c r="G86" s="32" t="str">
        <f t="shared" ca="1" si="16"/>
        <v/>
      </c>
      <c r="H86" s="32" t="str">
        <f t="shared" ca="1" si="17"/>
        <v/>
      </c>
      <c r="I86" s="33" t="str">
        <f t="shared" ca="1" si="18"/>
        <v/>
      </c>
      <c r="J86" s="52"/>
      <c r="K86" s="56"/>
      <c r="L86" s="37" t="str">
        <f t="shared" si="12"/>
        <v/>
      </c>
      <c r="M86" s="37" t="str">
        <f t="shared" ca="1" si="13"/>
        <v/>
      </c>
      <c r="N86" s="37" t="str">
        <f t="shared" si="14"/>
        <v/>
      </c>
      <c r="O86" s="37" t="str">
        <f t="shared" ca="1" si="15"/>
        <v/>
      </c>
      <c r="P86" s="37" t="str">
        <f t="shared" ca="1" si="19"/>
        <v/>
      </c>
      <c r="Q86" s="37" t="str">
        <f t="shared" ca="1" si="20"/>
        <v/>
      </c>
    </row>
    <row r="87" spans="1:17" ht="22.5" customHeight="1" x14ac:dyDescent="0.25">
      <c r="A87" s="46">
        <v>82</v>
      </c>
      <c r="B87" s="46"/>
      <c r="C87" s="46"/>
      <c r="D87" s="46"/>
      <c r="E87" s="46"/>
      <c r="F87" s="43"/>
      <c r="G87" s="32" t="str">
        <f t="shared" ca="1" si="16"/>
        <v/>
      </c>
      <c r="H87" s="32" t="str">
        <f t="shared" ca="1" si="17"/>
        <v/>
      </c>
      <c r="I87" s="33" t="str">
        <f t="shared" ca="1" si="18"/>
        <v/>
      </c>
      <c r="J87" s="52"/>
      <c r="K87" s="56"/>
      <c r="L87" s="37" t="str">
        <f t="shared" si="12"/>
        <v/>
      </c>
      <c r="M87" s="37" t="str">
        <f t="shared" ca="1" si="13"/>
        <v/>
      </c>
      <c r="N87" s="37" t="str">
        <f t="shared" si="14"/>
        <v/>
      </c>
      <c r="O87" s="37" t="str">
        <f t="shared" ca="1" si="15"/>
        <v/>
      </c>
      <c r="P87" s="37" t="str">
        <f t="shared" ca="1" si="19"/>
        <v/>
      </c>
      <c r="Q87" s="37" t="str">
        <f t="shared" ca="1" si="20"/>
        <v/>
      </c>
    </row>
    <row r="88" spans="1:17" ht="22.5" customHeight="1" x14ac:dyDescent="0.25">
      <c r="A88" s="46">
        <v>83</v>
      </c>
      <c r="B88" s="46"/>
      <c r="C88" s="46"/>
      <c r="D88" s="46"/>
      <c r="E88" s="46"/>
      <c r="F88" s="43"/>
      <c r="G88" s="32" t="str">
        <f t="shared" ca="1" si="16"/>
        <v/>
      </c>
      <c r="H88" s="32" t="str">
        <f t="shared" ca="1" si="17"/>
        <v/>
      </c>
      <c r="I88" s="33" t="str">
        <f t="shared" ca="1" si="18"/>
        <v/>
      </c>
      <c r="J88" s="52"/>
      <c r="K88" s="56"/>
      <c r="L88" s="37" t="str">
        <f t="shared" si="12"/>
        <v/>
      </c>
      <c r="M88" s="37" t="str">
        <f t="shared" ca="1" si="13"/>
        <v/>
      </c>
      <c r="N88" s="37" t="str">
        <f t="shared" si="14"/>
        <v/>
      </c>
      <c r="O88" s="37" t="str">
        <f t="shared" ca="1" si="15"/>
        <v/>
      </c>
      <c r="P88" s="37" t="str">
        <f t="shared" ca="1" si="19"/>
        <v/>
      </c>
      <c r="Q88" s="37" t="str">
        <f t="shared" ca="1" si="20"/>
        <v/>
      </c>
    </row>
    <row r="89" spans="1:17" ht="22.5" customHeight="1" x14ac:dyDescent="0.25">
      <c r="A89" s="46">
        <v>84</v>
      </c>
      <c r="B89" s="46"/>
      <c r="C89" s="46"/>
      <c r="D89" s="46"/>
      <c r="E89" s="46"/>
      <c r="F89" s="43"/>
      <c r="G89" s="32" t="str">
        <f t="shared" ca="1" si="16"/>
        <v/>
      </c>
      <c r="H89" s="32" t="str">
        <f t="shared" ca="1" si="17"/>
        <v/>
      </c>
      <c r="I89" s="33" t="str">
        <f t="shared" ca="1" si="18"/>
        <v/>
      </c>
      <c r="J89" s="52"/>
      <c r="K89" s="56"/>
      <c r="L89" s="37" t="str">
        <f t="shared" si="12"/>
        <v/>
      </c>
      <c r="M89" s="37" t="str">
        <f t="shared" ca="1" si="13"/>
        <v/>
      </c>
      <c r="N89" s="37" t="str">
        <f t="shared" si="14"/>
        <v/>
      </c>
      <c r="O89" s="37" t="str">
        <f t="shared" ca="1" si="15"/>
        <v/>
      </c>
      <c r="P89" s="37" t="str">
        <f t="shared" ca="1" si="19"/>
        <v/>
      </c>
      <c r="Q89" s="37" t="str">
        <f t="shared" ca="1" si="20"/>
        <v/>
      </c>
    </row>
    <row r="90" spans="1:17" ht="22.5" customHeight="1" x14ac:dyDescent="0.25">
      <c r="A90" s="46">
        <v>85</v>
      </c>
      <c r="B90" s="46"/>
      <c r="C90" s="46"/>
      <c r="D90" s="46"/>
      <c r="E90" s="46"/>
      <c r="F90" s="43"/>
      <c r="G90" s="32" t="str">
        <f t="shared" ca="1" si="16"/>
        <v/>
      </c>
      <c r="H90" s="32" t="str">
        <f t="shared" ca="1" si="17"/>
        <v/>
      </c>
      <c r="I90" s="33" t="str">
        <f t="shared" ca="1" si="18"/>
        <v/>
      </c>
      <c r="J90" s="52"/>
      <c r="K90" s="56"/>
      <c r="L90" s="37" t="str">
        <f t="shared" si="12"/>
        <v/>
      </c>
      <c r="M90" s="37" t="str">
        <f t="shared" ca="1" si="13"/>
        <v/>
      </c>
      <c r="N90" s="37" t="str">
        <f t="shared" si="14"/>
        <v/>
      </c>
      <c r="O90" s="37" t="str">
        <f t="shared" ca="1" si="15"/>
        <v/>
      </c>
      <c r="P90" s="37" t="str">
        <f t="shared" ca="1" si="19"/>
        <v/>
      </c>
      <c r="Q90" s="37" t="str">
        <f t="shared" ca="1" si="20"/>
        <v/>
      </c>
    </row>
    <row r="91" spans="1:17" ht="22.5" customHeight="1" x14ac:dyDescent="0.25">
      <c r="A91" s="46">
        <v>86</v>
      </c>
      <c r="B91" s="46"/>
      <c r="C91" s="46"/>
      <c r="D91" s="46"/>
      <c r="E91" s="46"/>
      <c r="F91" s="43"/>
      <c r="G91" s="32" t="str">
        <f t="shared" ca="1" si="16"/>
        <v/>
      </c>
      <c r="H91" s="32" t="str">
        <f t="shared" ca="1" si="17"/>
        <v/>
      </c>
      <c r="I91" s="33" t="str">
        <f t="shared" ca="1" si="18"/>
        <v/>
      </c>
      <c r="J91" s="52"/>
      <c r="K91" s="56"/>
      <c r="L91" s="37" t="str">
        <f t="shared" si="12"/>
        <v/>
      </c>
      <c r="M91" s="37" t="str">
        <f t="shared" ca="1" si="13"/>
        <v/>
      </c>
      <c r="N91" s="37" t="str">
        <f t="shared" si="14"/>
        <v/>
      </c>
      <c r="O91" s="37" t="str">
        <f t="shared" ca="1" si="15"/>
        <v/>
      </c>
      <c r="P91" s="37" t="str">
        <f t="shared" ca="1" si="19"/>
        <v/>
      </c>
      <c r="Q91" s="37" t="str">
        <f t="shared" ca="1" si="20"/>
        <v/>
      </c>
    </row>
    <row r="92" spans="1:17" ht="22.5" customHeight="1" x14ac:dyDescent="0.25">
      <c r="A92" s="46">
        <v>87</v>
      </c>
      <c r="B92" s="46"/>
      <c r="C92" s="46"/>
      <c r="D92" s="46"/>
      <c r="E92" s="46"/>
      <c r="F92" s="43"/>
      <c r="G92" s="32" t="str">
        <f t="shared" ca="1" si="16"/>
        <v/>
      </c>
      <c r="H92" s="32" t="str">
        <f t="shared" ca="1" si="17"/>
        <v/>
      </c>
      <c r="I92" s="33" t="str">
        <f t="shared" ca="1" si="18"/>
        <v/>
      </c>
      <c r="J92" s="52"/>
      <c r="K92" s="56"/>
      <c r="L92" s="37" t="str">
        <f t="shared" si="12"/>
        <v/>
      </c>
      <c r="M92" s="37" t="str">
        <f t="shared" ca="1" si="13"/>
        <v/>
      </c>
      <c r="N92" s="37" t="str">
        <f t="shared" si="14"/>
        <v/>
      </c>
      <c r="O92" s="37" t="str">
        <f t="shared" ca="1" si="15"/>
        <v/>
      </c>
      <c r="P92" s="37" t="str">
        <f t="shared" ca="1" si="19"/>
        <v/>
      </c>
      <c r="Q92" s="37" t="str">
        <f t="shared" ca="1" si="20"/>
        <v/>
      </c>
    </row>
    <row r="93" spans="1:17" ht="22.5" customHeight="1" x14ac:dyDescent="0.25">
      <c r="A93" s="46">
        <v>88</v>
      </c>
      <c r="B93" s="46"/>
      <c r="C93" s="46"/>
      <c r="D93" s="46"/>
      <c r="E93" s="46"/>
      <c r="F93" s="43"/>
      <c r="G93" s="32" t="str">
        <f t="shared" ca="1" si="16"/>
        <v/>
      </c>
      <c r="H93" s="32" t="str">
        <f t="shared" ca="1" si="17"/>
        <v/>
      </c>
      <c r="I93" s="33" t="str">
        <f t="shared" ca="1" si="18"/>
        <v/>
      </c>
      <c r="J93" s="52"/>
      <c r="K93" s="56"/>
      <c r="L93" s="37" t="str">
        <f t="shared" si="12"/>
        <v/>
      </c>
      <c r="M93" s="37" t="str">
        <f t="shared" ca="1" si="13"/>
        <v/>
      </c>
      <c r="N93" s="37" t="str">
        <f t="shared" si="14"/>
        <v/>
      </c>
      <c r="O93" s="37" t="str">
        <f t="shared" ca="1" si="15"/>
        <v/>
      </c>
      <c r="P93" s="37" t="str">
        <f t="shared" ca="1" si="19"/>
        <v/>
      </c>
      <c r="Q93" s="37" t="str">
        <f t="shared" ca="1" si="20"/>
        <v/>
      </c>
    </row>
    <row r="94" spans="1:17" ht="22.5" customHeight="1" x14ac:dyDescent="0.25">
      <c r="A94" s="46">
        <v>89</v>
      </c>
      <c r="B94" s="46"/>
      <c r="C94" s="46"/>
      <c r="D94" s="46"/>
      <c r="E94" s="46"/>
      <c r="F94" s="43"/>
      <c r="G94" s="32" t="str">
        <f t="shared" ca="1" si="16"/>
        <v/>
      </c>
      <c r="H94" s="32" t="str">
        <f t="shared" ca="1" si="17"/>
        <v/>
      </c>
      <c r="I94" s="33" t="str">
        <f t="shared" ca="1" si="18"/>
        <v/>
      </c>
      <c r="J94" s="52"/>
      <c r="K94" s="56"/>
      <c r="L94" s="37" t="str">
        <f t="shared" si="12"/>
        <v/>
      </c>
      <c r="M94" s="37" t="str">
        <f t="shared" ca="1" si="13"/>
        <v/>
      </c>
      <c r="N94" s="37" t="str">
        <f t="shared" si="14"/>
        <v/>
      </c>
      <c r="O94" s="37" t="str">
        <f t="shared" ca="1" si="15"/>
        <v/>
      </c>
      <c r="P94" s="37" t="str">
        <f t="shared" ca="1" si="19"/>
        <v/>
      </c>
      <c r="Q94" s="37" t="str">
        <f t="shared" ca="1" si="20"/>
        <v/>
      </c>
    </row>
    <row r="95" spans="1:17" ht="22.5" customHeight="1" x14ac:dyDescent="0.25">
      <c r="A95" s="46">
        <v>90</v>
      </c>
      <c r="B95" s="46"/>
      <c r="C95" s="46"/>
      <c r="D95" s="46"/>
      <c r="E95" s="46"/>
      <c r="F95" s="43"/>
      <c r="G95" s="32" t="str">
        <f t="shared" ca="1" si="16"/>
        <v/>
      </c>
      <c r="H95" s="32" t="str">
        <f t="shared" ca="1" si="17"/>
        <v/>
      </c>
      <c r="I95" s="33" t="str">
        <f t="shared" ca="1" si="18"/>
        <v/>
      </c>
      <c r="J95" s="52"/>
      <c r="K95" s="56"/>
      <c r="L95" s="37" t="str">
        <f t="shared" si="12"/>
        <v/>
      </c>
      <c r="M95" s="37" t="str">
        <f t="shared" ca="1" si="13"/>
        <v/>
      </c>
      <c r="N95" s="37" t="str">
        <f t="shared" si="14"/>
        <v/>
      </c>
      <c r="O95" s="37" t="str">
        <f t="shared" ca="1" si="15"/>
        <v/>
      </c>
      <c r="P95" s="37" t="str">
        <f t="shared" ca="1" si="19"/>
        <v/>
      </c>
      <c r="Q95" s="37" t="str">
        <f t="shared" ca="1" si="20"/>
        <v/>
      </c>
    </row>
    <row r="96" spans="1:17" ht="22.5" customHeight="1" x14ac:dyDescent="0.25">
      <c r="A96" s="46">
        <v>91</v>
      </c>
      <c r="B96" s="46"/>
      <c r="C96" s="46"/>
      <c r="D96" s="46"/>
      <c r="E96" s="46"/>
      <c r="F96" s="43"/>
      <c r="G96" s="32" t="str">
        <f t="shared" ca="1" si="16"/>
        <v/>
      </c>
      <c r="H96" s="32" t="str">
        <f t="shared" ca="1" si="17"/>
        <v/>
      </c>
      <c r="I96" s="33" t="str">
        <f t="shared" ca="1" si="18"/>
        <v/>
      </c>
      <c r="J96" s="52"/>
      <c r="K96" s="56"/>
      <c r="L96" s="37" t="str">
        <f t="shared" si="12"/>
        <v/>
      </c>
      <c r="M96" s="37" t="str">
        <f t="shared" ca="1" si="13"/>
        <v/>
      </c>
      <c r="N96" s="37" t="str">
        <f t="shared" si="14"/>
        <v/>
      </c>
      <c r="O96" s="37" t="str">
        <f t="shared" ca="1" si="15"/>
        <v/>
      </c>
      <c r="P96" s="37" t="str">
        <f t="shared" ca="1" si="19"/>
        <v/>
      </c>
      <c r="Q96" s="37" t="str">
        <f t="shared" ca="1" si="20"/>
        <v/>
      </c>
    </row>
    <row r="97" spans="1:17" ht="22.5" customHeight="1" x14ac:dyDescent="0.25">
      <c r="A97" s="46">
        <v>92</v>
      </c>
      <c r="B97" s="46"/>
      <c r="C97" s="46"/>
      <c r="D97" s="46"/>
      <c r="E97" s="46"/>
      <c r="F97" s="43"/>
      <c r="G97" s="32" t="str">
        <f t="shared" ca="1" si="16"/>
        <v/>
      </c>
      <c r="H97" s="32" t="str">
        <f t="shared" ca="1" si="17"/>
        <v/>
      </c>
      <c r="I97" s="33" t="str">
        <f t="shared" ca="1" si="18"/>
        <v/>
      </c>
      <c r="J97" s="52"/>
      <c r="K97" s="56"/>
      <c r="L97" s="37" t="str">
        <f t="shared" si="12"/>
        <v/>
      </c>
      <c r="M97" s="37" t="str">
        <f t="shared" ca="1" si="13"/>
        <v/>
      </c>
      <c r="N97" s="37" t="str">
        <f t="shared" si="14"/>
        <v/>
      </c>
      <c r="O97" s="37" t="str">
        <f t="shared" ca="1" si="15"/>
        <v/>
      </c>
      <c r="P97" s="37" t="str">
        <f t="shared" ca="1" si="19"/>
        <v/>
      </c>
      <c r="Q97" s="37" t="str">
        <f t="shared" ca="1" si="20"/>
        <v/>
      </c>
    </row>
    <row r="98" spans="1:17" ht="22.5" customHeight="1" x14ac:dyDescent="0.25">
      <c r="A98" s="46">
        <v>93</v>
      </c>
      <c r="B98" s="46"/>
      <c r="C98" s="46"/>
      <c r="D98" s="46"/>
      <c r="E98" s="46"/>
      <c r="F98" s="43"/>
      <c r="G98" s="32" t="str">
        <f t="shared" ca="1" si="16"/>
        <v/>
      </c>
      <c r="H98" s="32" t="str">
        <f t="shared" ca="1" si="17"/>
        <v/>
      </c>
      <c r="I98" s="33" t="str">
        <f t="shared" ca="1" si="18"/>
        <v/>
      </c>
      <c r="J98" s="52"/>
      <c r="K98" s="56"/>
      <c r="L98" s="37" t="str">
        <f t="shared" si="12"/>
        <v/>
      </c>
      <c r="M98" s="37" t="str">
        <f t="shared" ca="1" si="13"/>
        <v/>
      </c>
      <c r="N98" s="37" t="str">
        <f t="shared" si="14"/>
        <v/>
      </c>
      <c r="O98" s="37" t="str">
        <f t="shared" ca="1" si="15"/>
        <v/>
      </c>
      <c r="P98" s="37" t="str">
        <f t="shared" ca="1" si="19"/>
        <v/>
      </c>
      <c r="Q98" s="37" t="str">
        <f t="shared" ca="1" si="20"/>
        <v/>
      </c>
    </row>
    <row r="99" spans="1:17" ht="22.5" customHeight="1" x14ac:dyDescent="0.25">
      <c r="A99" s="46">
        <v>94</v>
      </c>
      <c r="B99" s="46"/>
      <c r="C99" s="46"/>
      <c r="D99" s="46"/>
      <c r="E99" s="46"/>
      <c r="F99" s="43"/>
      <c r="G99" s="32" t="str">
        <f t="shared" ca="1" si="16"/>
        <v/>
      </c>
      <c r="H99" s="32" t="str">
        <f t="shared" ca="1" si="17"/>
        <v/>
      </c>
      <c r="I99" s="33" t="str">
        <f t="shared" ca="1" si="18"/>
        <v/>
      </c>
      <c r="J99" s="52"/>
      <c r="K99" s="56"/>
      <c r="L99" s="37" t="str">
        <f t="shared" si="12"/>
        <v/>
      </c>
      <c r="M99" s="37" t="str">
        <f t="shared" ca="1" si="13"/>
        <v/>
      </c>
      <c r="N99" s="37" t="str">
        <f t="shared" si="14"/>
        <v/>
      </c>
      <c r="O99" s="37" t="str">
        <f t="shared" ca="1" si="15"/>
        <v/>
      </c>
      <c r="P99" s="37" t="str">
        <f t="shared" ca="1" si="19"/>
        <v/>
      </c>
      <c r="Q99" s="37" t="str">
        <f t="shared" ca="1" si="20"/>
        <v/>
      </c>
    </row>
    <row r="100" spans="1:17" ht="22.5" customHeight="1" x14ac:dyDescent="0.25">
      <c r="A100" s="46">
        <v>95</v>
      </c>
      <c r="B100" s="46"/>
      <c r="C100" s="46"/>
      <c r="D100" s="46"/>
      <c r="E100" s="46"/>
      <c r="F100" s="43"/>
      <c r="G100" s="32" t="str">
        <f t="shared" ca="1" si="16"/>
        <v/>
      </c>
      <c r="H100" s="32" t="str">
        <f t="shared" ca="1" si="17"/>
        <v/>
      </c>
      <c r="I100" s="33" t="str">
        <f t="shared" ca="1" si="18"/>
        <v/>
      </c>
      <c r="J100" s="52"/>
      <c r="K100" s="56"/>
      <c r="L100" s="37" t="str">
        <f t="shared" si="12"/>
        <v/>
      </c>
      <c r="M100" s="37" t="str">
        <f t="shared" ca="1" si="13"/>
        <v/>
      </c>
      <c r="N100" s="37" t="str">
        <f t="shared" si="14"/>
        <v/>
      </c>
      <c r="O100" s="37" t="str">
        <f t="shared" ca="1" si="15"/>
        <v/>
      </c>
      <c r="P100" s="37" t="str">
        <f t="shared" ca="1" si="19"/>
        <v/>
      </c>
      <c r="Q100" s="37" t="str">
        <f t="shared" ca="1" si="20"/>
        <v/>
      </c>
    </row>
    <row r="101" spans="1:17" ht="22.5" customHeight="1" x14ac:dyDescent="0.25">
      <c r="A101" s="46">
        <v>96</v>
      </c>
      <c r="B101" s="46"/>
      <c r="C101" s="46"/>
      <c r="D101" s="46"/>
      <c r="E101" s="46"/>
      <c r="F101" s="43"/>
      <c r="G101" s="32" t="str">
        <f t="shared" ca="1" si="16"/>
        <v/>
      </c>
      <c r="H101" s="32" t="str">
        <f t="shared" ca="1" si="17"/>
        <v/>
      </c>
      <c r="I101" s="33" t="str">
        <f t="shared" ca="1" si="18"/>
        <v/>
      </c>
      <c r="J101" s="52"/>
      <c r="K101" s="56"/>
      <c r="L101" s="37" t="str">
        <f t="shared" si="12"/>
        <v/>
      </c>
      <c r="M101" s="37" t="str">
        <f t="shared" ca="1" si="13"/>
        <v/>
      </c>
      <c r="N101" s="37" t="str">
        <f t="shared" si="14"/>
        <v/>
      </c>
      <c r="O101" s="37" t="str">
        <f t="shared" ca="1" si="15"/>
        <v/>
      </c>
      <c r="P101" s="37" t="str">
        <f t="shared" ca="1" si="19"/>
        <v/>
      </c>
      <c r="Q101" s="37" t="str">
        <f t="shared" ca="1" si="20"/>
        <v/>
      </c>
    </row>
    <row r="102" spans="1:17" ht="22.5" customHeight="1" x14ac:dyDescent="0.25">
      <c r="A102" s="46">
        <v>97</v>
      </c>
      <c r="B102" s="46"/>
      <c r="C102" s="46"/>
      <c r="D102" s="46"/>
      <c r="E102" s="46"/>
      <c r="F102" s="43"/>
      <c r="G102" s="32" t="str">
        <f t="shared" ca="1" si="16"/>
        <v/>
      </c>
      <c r="H102" s="32" t="str">
        <f t="shared" ca="1" si="17"/>
        <v/>
      </c>
      <c r="I102" s="33" t="str">
        <f t="shared" ca="1" si="18"/>
        <v/>
      </c>
      <c r="J102" s="52"/>
      <c r="K102" s="56"/>
      <c r="L102" s="37" t="str">
        <f t="shared" si="12"/>
        <v/>
      </c>
      <c r="M102" s="37" t="str">
        <f t="shared" ref="M102:M133" ca="1" si="21">IF(I102="","",J102+P102)</f>
        <v/>
      </c>
      <c r="N102" s="37" t="str">
        <f t="shared" ref="N102:N133" si="22">IF(K102="","",K102*$N$5)</f>
        <v/>
      </c>
      <c r="O102" s="37" t="str">
        <f t="shared" ref="O102:O133" ca="1" si="23">IF(I102="","",K102+Q102)</f>
        <v/>
      </c>
      <c r="P102" s="37" t="str">
        <f t="shared" ca="1" si="19"/>
        <v/>
      </c>
      <c r="Q102" s="37" t="str">
        <f t="shared" ca="1" si="20"/>
        <v/>
      </c>
    </row>
    <row r="103" spans="1:17" ht="22.5" customHeight="1" x14ac:dyDescent="0.25">
      <c r="A103" s="46">
        <v>98</v>
      </c>
      <c r="B103" s="46"/>
      <c r="C103" s="46"/>
      <c r="D103" s="46"/>
      <c r="E103" s="46"/>
      <c r="F103" s="43"/>
      <c r="G103" s="32" t="str">
        <f t="shared" ca="1" si="16"/>
        <v/>
      </c>
      <c r="H103" s="32" t="str">
        <f t="shared" ca="1" si="17"/>
        <v/>
      </c>
      <c r="I103" s="33" t="str">
        <f t="shared" ca="1" si="18"/>
        <v/>
      </c>
      <c r="J103" s="52"/>
      <c r="K103" s="56"/>
      <c r="L103" s="37" t="str">
        <f t="shared" si="12"/>
        <v/>
      </c>
      <c r="M103" s="37" t="str">
        <f t="shared" ca="1" si="21"/>
        <v/>
      </c>
      <c r="N103" s="37" t="str">
        <f t="shared" si="22"/>
        <v/>
      </c>
      <c r="O103" s="37" t="str">
        <f t="shared" ca="1" si="23"/>
        <v/>
      </c>
      <c r="P103" s="37" t="str">
        <f t="shared" ca="1" si="19"/>
        <v/>
      </c>
      <c r="Q103" s="37" t="str">
        <f t="shared" ca="1" si="20"/>
        <v/>
      </c>
    </row>
    <row r="104" spans="1:17" ht="22.5" customHeight="1" x14ac:dyDescent="0.25">
      <c r="A104" s="46">
        <v>99</v>
      </c>
      <c r="B104" s="46"/>
      <c r="C104" s="46"/>
      <c r="D104" s="46"/>
      <c r="E104" s="46"/>
      <c r="F104" s="43"/>
      <c r="G104" s="32" t="str">
        <f t="shared" ca="1" si="16"/>
        <v/>
      </c>
      <c r="H104" s="32" t="str">
        <f t="shared" ca="1" si="17"/>
        <v/>
      </c>
      <c r="I104" s="33" t="str">
        <f t="shared" ca="1" si="18"/>
        <v/>
      </c>
      <c r="J104" s="52"/>
      <c r="K104" s="56"/>
      <c r="L104" s="37" t="str">
        <f t="shared" si="12"/>
        <v/>
      </c>
      <c r="M104" s="37" t="str">
        <f t="shared" ca="1" si="21"/>
        <v/>
      </c>
      <c r="N104" s="37" t="str">
        <f t="shared" si="22"/>
        <v/>
      </c>
      <c r="O104" s="37" t="str">
        <f t="shared" ca="1" si="23"/>
        <v/>
      </c>
      <c r="P104" s="37" t="str">
        <f t="shared" ca="1" si="19"/>
        <v/>
      </c>
      <c r="Q104" s="37" t="str">
        <f t="shared" ca="1" si="20"/>
        <v/>
      </c>
    </row>
    <row r="105" spans="1:17" ht="22.5" customHeight="1" x14ac:dyDescent="0.25">
      <c r="A105" s="46">
        <v>100</v>
      </c>
      <c r="B105" s="46"/>
      <c r="C105" s="46"/>
      <c r="D105" s="46"/>
      <c r="E105" s="46"/>
      <c r="F105" s="43"/>
      <c r="G105" s="32" t="str">
        <f t="shared" ca="1" si="16"/>
        <v/>
      </c>
      <c r="H105" s="32" t="str">
        <f t="shared" ca="1" si="17"/>
        <v/>
      </c>
      <c r="I105" s="33" t="str">
        <f t="shared" ca="1" si="18"/>
        <v/>
      </c>
      <c r="J105" s="52"/>
      <c r="K105" s="56"/>
      <c r="L105" s="37" t="str">
        <f t="shared" si="12"/>
        <v/>
      </c>
      <c r="M105" s="37" t="str">
        <f t="shared" ca="1" si="21"/>
        <v/>
      </c>
      <c r="N105" s="37" t="str">
        <f t="shared" si="22"/>
        <v/>
      </c>
      <c r="O105" s="37" t="str">
        <f t="shared" ca="1" si="23"/>
        <v/>
      </c>
      <c r="P105" s="37" t="str">
        <f t="shared" ca="1" si="19"/>
        <v/>
      </c>
      <c r="Q105" s="37" t="str">
        <f t="shared" ca="1" si="20"/>
        <v/>
      </c>
    </row>
    <row r="106" spans="1:17" ht="22.5" customHeight="1" x14ac:dyDescent="0.25">
      <c r="A106" s="46">
        <v>101</v>
      </c>
      <c r="B106" s="46"/>
      <c r="C106" s="46"/>
      <c r="D106" s="46"/>
      <c r="E106" s="46"/>
      <c r="F106" s="43"/>
      <c r="G106" s="32" t="str">
        <f t="shared" ca="1" si="16"/>
        <v/>
      </c>
      <c r="H106" s="32" t="str">
        <f t="shared" ca="1" si="17"/>
        <v/>
      </c>
      <c r="I106" s="33" t="str">
        <f t="shared" ca="1" si="18"/>
        <v/>
      </c>
      <c r="J106" s="52"/>
      <c r="K106" s="56"/>
      <c r="L106" s="37" t="str">
        <f t="shared" si="12"/>
        <v/>
      </c>
      <c r="M106" s="37" t="str">
        <f t="shared" ca="1" si="21"/>
        <v/>
      </c>
      <c r="N106" s="37" t="str">
        <f t="shared" si="22"/>
        <v/>
      </c>
      <c r="O106" s="37" t="str">
        <f t="shared" ca="1" si="23"/>
        <v/>
      </c>
      <c r="P106" s="37" t="str">
        <f t="shared" ca="1" si="19"/>
        <v/>
      </c>
      <c r="Q106" s="37" t="str">
        <f t="shared" ca="1" si="20"/>
        <v/>
      </c>
    </row>
    <row r="107" spans="1:17" ht="22.5" customHeight="1" x14ac:dyDescent="0.25">
      <c r="A107" s="46">
        <v>102</v>
      </c>
      <c r="B107" s="46"/>
      <c r="C107" s="46"/>
      <c r="D107" s="46"/>
      <c r="E107" s="46"/>
      <c r="F107" s="43"/>
      <c r="G107" s="32" t="str">
        <f t="shared" ca="1" si="16"/>
        <v/>
      </c>
      <c r="H107" s="32" t="str">
        <f t="shared" ca="1" si="17"/>
        <v/>
      </c>
      <c r="I107" s="33" t="str">
        <f t="shared" ca="1" si="18"/>
        <v/>
      </c>
      <c r="J107" s="52"/>
      <c r="K107" s="56"/>
      <c r="L107" s="37" t="str">
        <f t="shared" si="12"/>
        <v/>
      </c>
      <c r="M107" s="37" t="str">
        <f t="shared" ca="1" si="21"/>
        <v/>
      </c>
      <c r="N107" s="37" t="str">
        <f t="shared" si="22"/>
        <v/>
      </c>
      <c r="O107" s="37" t="str">
        <f t="shared" ca="1" si="23"/>
        <v/>
      </c>
      <c r="P107" s="37" t="str">
        <f t="shared" ca="1" si="19"/>
        <v/>
      </c>
      <c r="Q107" s="37" t="str">
        <f t="shared" ca="1" si="20"/>
        <v/>
      </c>
    </row>
    <row r="108" spans="1:17" ht="22.5" customHeight="1" x14ac:dyDescent="0.25">
      <c r="A108" s="46">
        <v>103</v>
      </c>
      <c r="B108" s="46"/>
      <c r="C108" s="46"/>
      <c r="D108" s="46"/>
      <c r="E108" s="46"/>
      <c r="F108" s="43"/>
      <c r="G108" s="32" t="str">
        <f t="shared" ca="1" si="16"/>
        <v/>
      </c>
      <c r="H108" s="32" t="str">
        <f t="shared" ca="1" si="17"/>
        <v/>
      </c>
      <c r="I108" s="33" t="str">
        <f t="shared" ca="1" si="18"/>
        <v/>
      </c>
      <c r="J108" s="52"/>
      <c r="K108" s="56"/>
      <c r="L108" s="37" t="str">
        <f t="shared" si="12"/>
        <v/>
      </c>
      <c r="M108" s="37" t="str">
        <f t="shared" ca="1" si="21"/>
        <v/>
      </c>
      <c r="N108" s="37" t="str">
        <f t="shared" si="22"/>
        <v/>
      </c>
      <c r="O108" s="37" t="str">
        <f t="shared" ca="1" si="23"/>
        <v/>
      </c>
      <c r="P108" s="37" t="str">
        <f t="shared" ca="1" si="19"/>
        <v/>
      </c>
      <c r="Q108" s="37" t="str">
        <f t="shared" ca="1" si="20"/>
        <v/>
      </c>
    </row>
    <row r="109" spans="1:17" ht="22.5" customHeight="1" x14ac:dyDescent="0.25">
      <c r="A109" s="46">
        <v>104</v>
      </c>
      <c r="B109" s="46"/>
      <c r="C109" s="46"/>
      <c r="D109" s="46"/>
      <c r="E109" s="46"/>
      <c r="F109" s="43"/>
      <c r="G109" s="32" t="str">
        <f t="shared" ca="1" si="16"/>
        <v/>
      </c>
      <c r="H109" s="32" t="str">
        <f t="shared" ca="1" si="17"/>
        <v/>
      </c>
      <c r="I109" s="33" t="str">
        <f t="shared" ca="1" si="18"/>
        <v/>
      </c>
      <c r="J109" s="52"/>
      <c r="K109" s="56"/>
      <c r="L109" s="37" t="str">
        <f t="shared" si="12"/>
        <v/>
      </c>
      <c r="M109" s="37" t="str">
        <f t="shared" ca="1" si="21"/>
        <v/>
      </c>
      <c r="N109" s="37" t="str">
        <f t="shared" si="22"/>
        <v/>
      </c>
      <c r="O109" s="37" t="str">
        <f t="shared" ca="1" si="23"/>
        <v/>
      </c>
      <c r="P109" s="37" t="str">
        <f t="shared" ca="1" si="19"/>
        <v/>
      </c>
      <c r="Q109" s="37" t="str">
        <f t="shared" ca="1" si="20"/>
        <v/>
      </c>
    </row>
    <row r="110" spans="1:17" ht="22.5" customHeight="1" x14ac:dyDescent="0.25">
      <c r="A110" s="46">
        <v>105</v>
      </c>
      <c r="B110" s="46"/>
      <c r="C110" s="46"/>
      <c r="D110" s="46"/>
      <c r="E110" s="46"/>
      <c r="F110" s="43"/>
      <c r="G110" s="32" t="str">
        <f t="shared" ca="1" si="16"/>
        <v/>
      </c>
      <c r="H110" s="32" t="str">
        <f t="shared" ca="1" si="17"/>
        <v/>
      </c>
      <c r="I110" s="33" t="str">
        <f t="shared" ca="1" si="18"/>
        <v/>
      </c>
      <c r="J110" s="52"/>
      <c r="K110" s="56"/>
      <c r="L110" s="37" t="str">
        <f t="shared" si="12"/>
        <v/>
      </c>
      <c r="M110" s="37" t="str">
        <f t="shared" ca="1" si="21"/>
        <v/>
      </c>
      <c r="N110" s="37" t="str">
        <f t="shared" si="22"/>
        <v/>
      </c>
      <c r="O110" s="37" t="str">
        <f t="shared" ca="1" si="23"/>
        <v/>
      </c>
      <c r="P110" s="37" t="str">
        <f t="shared" ca="1" si="19"/>
        <v/>
      </c>
      <c r="Q110" s="37" t="str">
        <f t="shared" ca="1" si="20"/>
        <v/>
      </c>
    </row>
    <row r="111" spans="1:17" ht="22.5" customHeight="1" x14ac:dyDescent="0.25">
      <c r="A111" s="46">
        <v>106</v>
      </c>
      <c r="B111" s="46"/>
      <c r="C111" s="46"/>
      <c r="D111" s="46"/>
      <c r="E111" s="46"/>
      <c r="F111" s="43"/>
      <c r="G111" s="32" t="str">
        <f t="shared" ca="1" si="16"/>
        <v/>
      </c>
      <c r="H111" s="32" t="str">
        <f t="shared" ca="1" si="17"/>
        <v/>
      </c>
      <c r="I111" s="33" t="str">
        <f t="shared" ca="1" si="18"/>
        <v/>
      </c>
      <c r="J111" s="52"/>
      <c r="K111" s="56"/>
      <c r="L111" s="37" t="str">
        <f t="shared" si="12"/>
        <v/>
      </c>
      <c r="M111" s="37" t="str">
        <f t="shared" ca="1" si="21"/>
        <v/>
      </c>
      <c r="N111" s="37" t="str">
        <f t="shared" si="22"/>
        <v/>
      </c>
      <c r="O111" s="37" t="str">
        <f t="shared" ca="1" si="23"/>
        <v/>
      </c>
      <c r="P111" s="37" t="str">
        <f t="shared" ca="1" si="19"/>
        <v/>
      </c>
      <c r="Q111" s="37" t="str">
        <f t="shared" ca="1" si="20"/>
        <v/>
      </c>
    </row>
    <row r="112" spans="1:17" ht="22.5" customHeight="1" x14ac:dyDescent="0.25">
      <c r="A112" s="46">
        <v>107</v>
      </c>
      <c r="B112" s="46"/>
      <c r="C112" s="46"/>
      <c r="D112" s="46"/>
      <c r="E112" s="46"/>
      <c r="F112" s="43"/>
      <c r="G112" s="32" t="str">
        <f t="shared" ca="1" si="16"/>
        <v/>
      </c>
      <c r="H112" s="32" t="str">
        <f t="shared" ca="1" si="17"/>
        <v/>
      </c>
      <c r="I112" s="33" t="str">
        <f t="shared" ca="1" si="18"/>
        <v/>
      </c>
      <c r="J112" s="52"/>
      <c r="K112" s="56"/>
      <c r="L112" s="37" t="str">
        <f t="shared" si="12"/>
        <v/>
      </c>
      <c r="M112" s="37" t="str">
        <f t="shared" ca="1" si="21"/>
        <v/>
      </c>
      <c r="N112" s="37" t="str">
        <f t="shared" si="22"/>
        <v/>
      </c>
      <c r="O112" s="37" t="str">
        <f t="shared" ca="1" si="23"/>
        <v/>
      </c>
      <c r="P112" s="37" t="str">
        <f t="shared" ca="1" si="19"/>
        <v/>
      </c>
      <c r="Q112" s="37" t="str">
        <f t="shared" ca="1" si="20"/>
        <v/>
      </c>
    </row>
    <row r="113" spans="1:17" ht="22.5" customHeight="1" x14ac:dyDescent="0.25">
      <c r="A113" s="46">
        <v>108</v>
      </c>
      <c r="B113" s="46"/>
      <c r="C113" s="46"/>
      <c r="D113" s="46"/>
      <c r="E113" s="46"/>
      <c r="F113" s="43"/>
      <c r="G113" s="32" t="str">
        <f t="shared" ca="1" si="16"/>
        <v/>
      </c>
      <c r="H113" s="32" t="str">
        <f t="shared" ca="1" si="17"/>
        <v/>
      </c>
      <c r="I113" s="33" t="str">
        <f t="shared" ca="1" si="18"/>
        <v/>
      </c>
      <c r="J113" s="52"/>
      <c r="K113" s="56"/>
      <c r="L113" s="37" t="str">
        <f t="shared" si="12"/>
        <v/>
      </c>
      <c r="M113" s="37" t="str">
        <f t="shared" ca="1" si="21"/>
        <v/>
      </c>
      <c r="N113" s="37" t="str">
        <f t="shared" si="22"/>
        <v/>
      </c>
      <c r="O113" s="37" t="str">
        <f t="shared" ca="1" si="23"/>
        <v/>
      </c>
      <c r="P113" s="37" t="str">
        <f t="shared" ca="1" si="19"/>
        <v/>
      </c>
      <c r="Q113" s="37" t="str">
        <f t="shared" ca="1" si="20"/>
        <v/>
      </c>
    </row>
    <row r="114" spans="1:17" ht="22.5" customHeight="1" x14ac:dyDescent="0.25">
      <c r="A114" s="46">
        <v>109</v>
      </c>
      <c r="B114" s="46"/>
      <c r="C114" s="46"/>
      <c r="D114" s="46"/>
      <c r="E114" s="46"/>
      <c r="F114" s="43"/>
      <c r="G114" s="32" t="str">
        <f t="shared" ca="1" si="16"/>
        <v/>
      </c>
      <c r="H114" s="32" t="str">
        <f t="shared" ca="1" si="17"/>
        <v/>
      </c>
      <c r="I114" s="33" t="str">
        <f t="shared" ca="1" si="18"/>
        <v/>
      </c>
      <c r="J114" s="52"/>
      <c r="K114" s="56"/>
      <c r="L114" s="37" t="str">
        <f t="shared" si="12"/>
        <v/>
      </c>
      <c r="M114" s="37" t="str">
        <f t="shared" ca="1" si="21"/>
        <v/>
      </c>
      <c r="N114" s="37" t="str">
        <f t="shared" si="22"/>
        <v/>
      </c>
      <c r="O114" s="37" t="str">
        <f t="shared" ca="1" si="23"/>
        <v/>
      </c>
      <c r="P114" s="37" t="str">
        <f t="shared" ca="1" si="19"/>
        <v/>
      </c>
      <c r="Q114" s="37" t="str">
        <f t="shared" ca="1" si="20"/>
        <v/>
      </c>
    </row>
    <row r="115" spans="1:17" ht="22.5" customHeight="1" x14ac:dyDescent="0.25">
      <c r="A115" s="46">
        <v>110</v>
      </c>
      <c r="B115" s="46"/>
      <c r="C115" s="46"/>
      <c r="D115" s="46"/>
      <c r="E115" s="46"/>
      <c r="F115" s="43"/>
      <c r="G115" s="32" t="str">
        <f t="shared" ca="1" si="16"/>
        <v/>
      </c>
      <c r="H115" s="32" t="str">
        <f t="shared" ca="1" si="17"/>
        <v/>
      </c>
      <c r="I115" s="33" t="str">
        <f t="shared" ca="1" si="18"/>
        <v/>
      </c>
      <c r="J115" s="52"/>
      <c r="K115" s="56"/>
      <c r="L115" s="37" t="str">
        <f t="shared" si="12"/>
        <v/>
      </c>
      <c r="M115" s="37" t="str">
        <f t="shared" ca="1" si="21"/>
        <v/>
      </c>
      <c r="N115" s="37" t="str">
        <f t="shared" si="22"/>
        <v/>
      </c>
      <c r="O115" s="37" t="str">
        <f t="shared" ca="1" si="23"/>
        <v/>
      </c>
      <c r="P115" s="37" t="str">
        <f t="shared" ca="1" si="19"/>
        <v/>
      </c>
      <c r="Q115" s="37" t="str">
        <f t="shared" ca="1" si="20"/>
        <v/>
      </c>
    </row>
    <row r="116" spans="1:17" ht="22.5" customHeight="1" x14ac:dyDescent="0.25">
      <c r="A116" s="46">
        <v>111</v>
      </c>
      <c r="B116" s="46"/>
      <c r="C116" s="46"/>
      <c r="D116" s="46"/>
      <c r="E116" s="46"/>
      <c r="F116" s="43"/>
      <c r="G116" s="32" t="str">
        <f t="shared" ca="1" si="16"/>
        <v/>
      </c>
      <c r="H116" s="32" t="str">
        <f t="shared" ca="1" si="17"/>
        <v/>
      </c>
      <c r="I116" s="33" t="str">
        <f t="shared" ca="1" si="18"/>
        <v/>
      </c>
      <c r="J116" s="52"/>
      <c r="K116" s="56"/>
      <c r="L116" s="37" t="str">
        <f t="shared" si="12"/>
        <v/>
      </c>
      <c r="M116" s="37" t="str">
        <f t="shared" ca="1" si="21"/>
        <v/>
      </c>
      <c r="N116" s="37" t="str">
        <f t="shared" si="22"/>
        <v/>
      </c>
      <c r="O116" s="37" t="str">
        <f t="shared" ca="1" si="23"/>
        <v/>
      </c>
      <c r="P116" s="37" t="str">
        <f t="shared" ca="1" si="19"/>
        <v/>
      </c>
      <c r="Q116" s="37" t="str">
        <f t="shared" ca="1" si="20"/>
        <v/>
      </c>
    </row>
    <row r="117" spans="1:17" ht="22.5" customHeight="1" x14ac:dyDescent="0.25">
      <c r="A117" s="46">
        <v>112</v>
      </c>
      <c r="B117" s="46"/>
      <c r="C117" s="46"/>
      <c r="D117" s="46"/>
      <c r="E117" s="46"/>
      <c r="F117" s="43"/>
      <c r="G117" s="32" t="str">
        <f t="shared" ca="1" si="16"/>
        <v/>
      </c>
      <c r="H117" s="32" t="str">
        <f t="shared" ca="1" si="17"/>
        <v/>
      </c>
      <c r="I117" s="33" t="str">
        <f t="shared" ca="1" si="18"/>
        <v/>
      </c>
      <c r="J117" s="52"/>
      <c r="K117" s="56"/>
      <c r="L117" s="37" t="str">
        <f t="shared" si="12"/>
        <v/>
      </c>
      <c r="M117" s="37" t="str">
        <f t="shared" ca="1" si="21"/>
        <v/>
      </c>
      <c r="N117" s="37" t="str">
        <f t="shared" si="22"/>
        <v/>
      </c>
      <c r="O117" s="37" t="str">
        <f t="shared" ca="1" si="23"/>
        <v/>
      </c>
      <c r="P117" s="37" t="str">
        <f t="shared" ca="1" si="19"/>
        <v/>
      </c>
      <c r="Q117" s="37" t="str">
        <f t="shared" ca="1" si="20"/>
        <v/>
      </c>
    </row>
    <row r="118" spans="1:17" ht="22.5" customHeight="1" x14ac:dyDescent="0.25">
      <c r="A118" s="46">
        <v>113</v>
      </c>
      <c r="B118" s="46"/>
      <c r="C118" s="46"/>
      <c r="D118" s="46"/>
      <c r="E118" s="46"/>
      <c r="F118" s="43"/>
      <c r="G118" s="32" t="str">
        <f t="shared" ca="1" si="16"/>
        <v/>
      </c>
      <c r="H118" s="32" t="str">
        <f t="shared" ca="1" si="17"/>
        <v/>
      </c>
      <c r="I118" s="33" t="str">
        <f t="shared" ca="1" si="18"/>
        <v/>
      </c>
      <c r="J118" s="52"/>
      <c r="K118" s="56"/>
      <c r="L118" s="37" t="str">
        <f t="shared" si="12"/>
        <v/>
      </c>
      <c r="M118" s="37" t="str">
        <f t="shared" ca="1" si="21"/>
        <v/>
      </c>
      <c r="N118" s="37" t="str">
        <f t="shared" si="22"/>
        <v/>
      </c>
      <c r="O118" s="37" t="str">
        <f t="shared" ca="1" si="23"/>
        <v/>
      </c>
      <c r="P118" s="37" t="str">
        <f t="shared" ca="1" si="19"/>
        <v/>
      </c>
      <c r="Q118" s="37" t="str">
        <f t="shared" ca="1" si="20"/>
        <v/>
      </c>
    </row>
    <row r="119" spans="1:17" ht="22.5" customHeight="1" x14ac:dyDescent="0.25">
      <c r="A119" s="46">
        <v>114</v>
      </c>
      <c r="B119" s="46"/>
      <c r="C119" s="46"/>
      <c r="D119" s="46"/>
      <c r="E119" s="46"/>
      <c r="F119" s="43"/>
      <c r="G119" s="32" t="str">
        <f t="shared" ca="1" si="16"/>
        <v/>
      </c>
      <c r="H119" s="32" t="str">
        <f t="shared" ca="1" si="17"/>
        <v/>
      </c>
      <c r="I119" s="33" t="str">
        <f t="shared" ca="1" si="18"/>
        <v/>
      </c>
      <c r="J119" s="52"/>
      <c r="K119" s="56"/>
      <c r="L119" s="37" t="str">
        <f t="shared" si="12"/>
        <v/>
      </c>
      <c r="M119" s="37" t="str">
        <f t="shared" ca="1" si="21"/>
        <v/>
      </c>
      <c r="N119" s="37" t="str">
        <f t="shared" si="22"/>
        <v/>
      </c>
      <c r="O119" s="37" t="str">
        <f t="shared" ca="1" si="23"/>
        <v/>
      </c>
      <c r="P119" s="37" t="str">
        <f t="shared" ca="1" si="19"/>
        <v/>
      </c>
      <c r="Q119" s="37" t="str">
        <f t="shared" ca="1" si="20"/>
        <v/>
      </c>
    </row>
    <row r="120" spans="1:17" ht="22.5" customHeight="1" x14ac:dyDescent="0.25">
      <c r="A120" s="46">
        <v>115</v>
      </c>
      <c r="B120" s="46"/>
      <c r="C120" s="46"/>
      <c r="D120" s="46"/>
      <c r="E120" s="46"/>
      <c r="F120" s="43"/>
      <c r="G120" s="32" t="str">
        <f t="shared" ca="1" si="16"/>
        <v/>
      </c>
      <c r="H120" s="32" t="str">
        <f t="shared" ca="1" si="17"/>
        <v/>
      </c>
      <c r="I120" s="33" t="str">
        <f t="shared" ca="1" si="18"/>
        <v/>
      </c>
      <c r="J120" s="52"/>
      <c r="K120" s="56"/>
      <c r="L120" s="37" t="str">
        <f t="shared" si="12"/>
        <v/>
      </c>
      <c r="M120" s="37" t="str">
        <f t="shared" ca="1" si="21"/>
        <v/>
      </c>
      <c r="N120" s="37" t="str">
        <f t="shared" si="22"/>
        <v/>
      </c>
      <c r="O120" s="37" t="str">
        <f t="shared" ca="1" si="23"/>
        <v/>
      </c>
      <c r="P120" s="37" t="str">
        <f t="shared" ca="1" si="19"/>
        <v/>
      </c>
      <c r="Q120" s="37" t="str">
        <f t="shared" ca="1" si="20"/>
        <v/>
      </c>
    </row>
    <row r="121" spans="1:17" ht="22.5" customHeight="1" x14ac:dyDescent="0.25">
      <c r="A121" s="46">
        <v>116</v>
      </c>
      <c r="B121" s="46"/>
      <c r="C121" s="46"/>
      <c r="D121" s="46"/>
      <c r="E121" s="46"/>
      <c r="F121" s="43"/>
      <c r="G121" s="32" t="str">
        <f t="shared" ca="1" si="16"/>
        <v/>
      </c>
      <c r="H121" s="32" t="str">
        <f t="shared" ca="1" si="17"/>
        <v/>
      </c>
      <c r="I121" s="33" t="str">
        <f t="shared" ca="1" si="18"/>
        <v/>
      </c>
      <c r="J121" s="52"/>
      <c r="K121" s="56"/>
      <c r="L121" s="37" t="str">
        <f t="shared" si="12"/>
        <v/>
      </c>
      <c r="M121" s="37" t="str">
        <f t="shared" ca="1" si="21"/>
        <v/>
      </c>
      <c r="N121" s="37" t="str">
        <f t="shared" si="22"/>
        <v/>
      </c>
      <c r="O121" s="37" t="str">
        <f t="shared" ca="1" si="23"/>
        <v/>
      </c>
      <c r="P121" s="37" t="str">
        <f t="shared" ca="1" si="19"/>
        <v/>
      </c>
      <c r="Q121" s="37" t="str">
        <f t="shared" ca="1" si="20"/>
        <v/>
      </c>
    </row>
    <row r="122" spans="1:17" ht="22.5" customHeight="1" x14ac:dyDescent="0.25">
      <c r="A122" s="46">
        <v>117</v>
      </c>
      <c r="B122" s="46"/>
      <c r="C122" s="46"/>
      <c r="D122" s="46"/>
      <c r="E122" s="46"/>
      <c r="F122" s="43"/>
      <c r="G122" s="32" t="str">
        <f t="shared" ca="1" si="16"/>
        <v/>
      </c>
      <c r="H122" s="32" t="str">
        <f t="shared" ca="1" si="17"/>
        <v/>
      </c>
      <c r="I122" s="33" t="str">
        <f t="shared" ca="1" si="18"/>
        <v/>
      </c>
      <c r="J122" s="52"/>
      <c r="K122" s="56"/>
      <c r="L122" s="37" t="str">
        <f t="shared" si="12"/>
        <v/>
      </c>
      <c r="M122" s="37" t="str">
        <f t="shared" ca="1" si="21"/>
        <v/>
      </c>
      <c r="N122" s="37" t="str">
        <f t="shared" si="22"/>
        <v/>
      </c>
      <c r="O122" s="37" t="str">
        <f t="shared" ca="1" si="23"/>
        <v/>
      </c>
      <c r="P122" s="37" t="str">
        <f t="shared" ca="1" si="19"/>
        <v/>
      </c>
      <c r="Q122" s="37" t="str">
        <f t="shared" ca="1" si="20"/>
        <v/>
      </c>
    </row>
    <row r="123" spans="1:17" ht="22.5" customHeight="1" x14ac:dyDescent="0.25">
      <c r="A123" s="46">
        <v>118</v>
      </c>
      <c r="B123" s="46"/>
      <c r="C123" s="46"/>
      <c r="D123" s="46"/>
      <c r="E123" s="46"/>
      <c r="F123" s="43"/>
      <c r="G123" s="32" t="str">
        <f t="shared" ca="1" si="16"/>
        <v/>
      </c>
      <c r="H123" s="32" t="str">
        <f t="shared" ca="1" si="17"/>
        <v/>
      </c>
      <c r="I123" s="33" t="str">
        <f t="shared" ca="1" si="18"/>
        <v/>
      </c>
      <c r="J123" s="52"/>
      <c r="K123" s="56"/>
      <c r="L123" s="37" t="str">
        <f t="shared" si="12"/>
        <v/>
      </c>
      <c r="M123" s="37" t="str">
        <f t="shared" ca="1" si="21"/>
        <v/>
      </c>
      <c r="N123" s="37" t="str">
        <f t="shared" si="22"/>
        <v/>
      </c>
      <c r="O123" s="37" t="str">
        <f t="shared" ca="1" si="23"/>
        <v/>
      </c>
      <c r="P123" s="37" t="str">
        <f t="shared" ca="1" si="19"/>
        <v/>
      </c>
      <c r="Q123" s="37" t="str">
        <f t="shared" ca="1" si="20"/>
        <v/>
      </c>
    </row>
    <row r="124" spans="1:17" ht="22.5" customHeight="1" x14ac:dyDescent="0.25">
      <c r="A124" s="46">
        <v>119</v>
      </c>
      <c r="B124" s="46"/>
      <c r="C124" s="46"/>
      <c r="D124" s="46"/>
      <c r="E124" s="46"/>
      <c r="F124" s="43"/>
      <c r="G124" s="32" t="str">
        <f t="shared" ca="1" si="16"/>
        <v/>
      </c>
      <c r="H124" s="32" t="str">
        <f t="shared" ca="1" si="17"/>
        <v/>
      </c>
      <c r="I124" s="33" t="str">
        <f t="shared" ca="1" si="18"/>
        <v/>
      </c>
      <c r="J124" s="52"/>
      <c r="K124" s="56"/>
      <c r="L124" s="37" t="str">
        <f t="shared" si="12"/>
        <v/>
      </c>
      <c r="M124" s="37" t="str">
        <f t="shared" ca="1" si="21"/>
        <v/>
      </c>
      <c r="N124" s="37" t="str">
        <f t="shared" si="22"/>
        <v/>
      </c>
      <c r="O124" s="37" t="str">
        <f t="shared" ca="1" si="23"/>
        <v/>
      </c>
      <c r="P124" s="37" t="str">
        <f t="shared" ca="1" si="19"/>
        <v/>
      </c>
      <c r="Q124" s="37" t="str">
        <f t="shared" ca="1" si="20"/>
        <v/>
      </c>
    </row>
    <row r="125" spans="1:17" ht="22.5" customHeight="1" x14ac:dyDescent="0.25">
      <c r="A125" s="46">
        <v>120</v>
      </c>
      <c r="B125" s="46"/>
      <c r="C125" s="46"/>
      <c r="D125" s="46"/>
      <c r="E125" s="46"/>
      <c r="F125" s="43"/>
      <c r="G125" s="32" t="str">
        <f t="shared" ca="1" si="16"/>
        <v/>
      </c>
      <c r="H125" s="32" t="str">
        <f t="shared" ca="1" si="17"/>
        <v/>
      </c>
      <c r="I125" s="33" t="str">
        <f t="shared" ca="1" si="18"/>
        <v/>
      </c>
      <c r="J125" s="52"/>
      <c r="K125" s="56"/>
      <c r="L125" s="37" t="str">
        <f t="shared" si="12"/>
        <v/>
      </c>
      <c r="M125" s="37" t="str">
        <f t="shared" ca="1" si="21"/>
        <v/>
      </c>
      <c r="N125" s="37" t="str">
        <f t="shared" si="22"/>
        <v/>
      </c>
      <c r="O125" s="37" t="str">
        <f t="shared" ca="1" si="23"/>
        <v/>
      </c>
      <c r="P125" s="37" t="str">
        <f t="shared" ca="1" si="19"/>
        <v/>
      </c>
      <c r="Q125" s="37" t="str">
        <f t="shared" ca="1" si="20"/>
        <v/>
      </c>
    </row>
    <row r="126" spans="1:17" ht="22.5" customHeight="1" x14ac:dyDescent="0.25">
      <c r="A126" s="46">
        <v>121</v>
      </c>
      <c r="B126" s="46"/>
      <c r="C126" s="46"/>
      <c r="D126" s="46"/>
      <c r="E126" s="46"/>
      <c r="F126" s="43"/>
      <c r="G126" s="32" t="str">
        <f t="shared" ca="1" si="16"/>
        <v/>
      </c>
      <c r="H126" s="32" t="str">
        <f t="shared" ca="1" si="17"/>
        <v/>
      </c>
      <c r="I126" s="33" t="str">
        <f t="shared" ca="1" si="18"/>
        <v/>
      </c>
      <c r="J126" s="52"/>
      <c r="K126" s="56"/>
      <c r="L126" s="37" t="str">
        <f t="shared" si="12"/>
        <v/>
      </c>
      <c r="M126" s="37" t="str">
        <f t="shared" ca="1" si="21"/>
        <v/>
      </c>
      <c r="N126" s="37" t="str">
        <f t="shared" si="22"/>
        <v/>
      </c>
      <c r="O126" s="37" t="str">
        <f t="shared" ca="1" si="23"/>
        <v/>
      </c>
      <c r="P126" s="37" t="str">
        <f t="shared" ca="1" si="19"/>
        <v/>
      </c>
      <c r="Q126" s="37" t="str">
        <f t="shared" ca="1" si="20"/>
        <v/>
      </c>
    </row>
    <row r="127" spans="1:17" ht="22.5" customHeight="1" x14ac:dyDescent="0.25">
      <c r="A127" s="46">
        <v>122</v>
      </c>
      <c r="B127" s="46"/>
      <c r="C127" s="46"/>
      <c r="D127" s="46"/>
      <c r="E127" s="46"/>
      <c r="F127" s="43"/>
      <c r="G127" s="32" t="str">
        <f t="shared" ca="1" si="16"/>
        <v/>
      </c>
      <c r="H127" s="32" t="str">
        <f t="shared" ca="1" si="17"/>
        <v/>
      </c>
      <c r="I127" s="33" t="str">
        <f t="shared" ca="1" si="18"/>
        <v/>
      </c>
      <c r="J127" s="52"/>
      <c r="K127" s="56"/>
      <c r="L127" s="37" t="str">
        <f t="shared" si="12"/>
        <v/>
      </c>
      <c r="M127" s="37" t="str">
        <f t="shared" ca="1" si="21"/>
        <v/>
      </c>
      <c r="N127" s="37" t="str">
        <f t="shared" si="22"/>
        <v/>
      </c>
      <c r="O127" s="37" t="str">
        <f t="shared" ca="1" si="23"/>
        <v/>
      </c>
      <c r="P127" s="37" t="str">
        <f t="shared" ca="1" si="19"/>
        <v/>
      </c>
      <c r="Q127" s="37" t="str">
        <f t="shared" ca="1" si="20"/>
        <v/>
      </c>
    </row>
    <row r="128" spans="1:17" ht="22.5" customHeight="1" x14ac:dyDescent="0.25">
      <c r="A128" s="46">
        <v>123</v>
      </c>
      <c r="B128" s="46"/>
      <c r="C128" s="46"/>
      <c r="D128" s="46"/>
      <c r="E128" s="46"/>
      <c r="F128" s="43"/>
      <c r="G128" s="32" t="str">
        <f t="shared" ca="1" si="16"/>
        <v/>
      </c>
      <c r="H128" s="32" t="str">
        <f t="shared" ca="1" si="17"/>
        <v/>
      </c>
      <c r="I128" s="33" t="str">
        <f t="shared" ca="1" si="18"/>
        <v/>
      </c>
      <c r="J128" s="52"/>
      <c r="K128" s="56"/>
      <c r="L128" s="37" t="str">
        <f t="shared" si="12"/>
        <v/>
      </c>
      <c r="M128" s="37" t="str">
        <f t="shared" ca="1" si="21"/>
        <v/>
      </c>
      <c r="N128" s="37" t="str">
        <f t="shared" si="22"/>
        <v/>
      </c>
      <c r="O128" s="37" t="str">
        <f t="shared" ca="1" si="23"/>
        <v/>
      </c>
      <c r="P128" s="37" t="str">
        <f t="shared" ca="1" si="19"/>
        <v/>
      </c>
      <c r="Q128" s="37" t="str">
        <f t="shared" ca="1" si="20"/>
        <v/>
      </c>
    </row>
    <row r="129" spans="1:17" ht="22.5" customHeight="1" x14ac:dyDescent="0.25">
      <c r="A129" s="46">
        <v>124</v>
      </c>
      <c r="B129" s="46"/>
      <c r="C129" s="46"/>
      <c r="D129" s="46"/>
      <c r="E129" s="46"/>
      <c r="F129" s="43"/>
      <c r="G129" s="32" t="str">
        <f t="shared" ca="1" si="16"/>
        <v/>
      </c>
      <c r="H129" s="32" t="str">
        <f t="shared" ca="1" si="17"/>
        <v/>
      </c>
      <c r="I129" s="33" t="str">
        <f t="shared" ca="1" si="18"/>
        <v/>
      </c>
      <c r="J129" s="52"/>
      <c r="K129" s="56"/>
      <c r="L129" s="37" t="str">
        <f t="shared" si="12"/>
        <v/>
      </c>
      <c r="M129" s="37" t="str">
        <f t="shared" ca="1" si="21"/>
        <v/>
      </c>
      <c r="N129" s="37" t="str">
        <f t="shared" si="22"/>
        <v/>
      </c>
      <c r="O129" s="37" t="str">
        <f t="shared" ca="1" si="23"/>
        <v/>
      </c>
      <c r="P129" s="37" t="str">
        <f t="shared" ca="1" si="19"/>
        <v/>
      </c>
      <c r="Q129" s="37" t="str">
        <f t="shared" ca="1" si="20"/>
        <v/>
      </c>
    </row>
    <row r="130" spans="1:17" ht="22.5" customHeight="1" x14ac:dyDescent="0.25">
      <c r="A130" s="46">
        <v>125</v>
      </c>
      <c r="B130" s="46"/>
      <c r="C130" s="46"/>
      <c r="D130" s="46"/>
      <c r="E130" s="46"/>
      <c r="F130" s="43"/>
      <c r="G130" s="32" t="str">
        <f t="shared" ca="1" si="16"/>
        <v/>
      </c>
      <c r="H130" s="32" t="str">
        <f t="shared" ca="1" si="17"/>
        <v/>
      </c>
      <c r="I130" s="33" t="str">
        <f t="shared" ca="1" si="18"/>
        <v/>
      </c>
      <c r="J130" s="52"/>
      <c r="K130" s="56"/>
      <c r="L130" s="37" t="str">
        <f t="shared" si="12"/>
        <v/>
      </c>
      <c r="M130" s="37" t="str">
        <f t="shared" ca="1" si="21"/>
        <v/>
      </c>
      <c r="N130" s="37" t="str">
        <f t="shared" si="22"/>
        <v/>
      </c>
      <c r="O130" s="37" t="str">
        <f t="shared" ca="1" si="23"/>
        <v/>
      </c>
      <c r="P130" s="37" t="str">
        <f t="shared" ca="1" si="19"/>
        <v/>
      </c>
      <c r="Q130" s="37" t="str">
        <f t="shared" ca="1" si="20"/>
        <v/>
      </c>
    </row>
    <row r="131" spans="1:17" ht="22.5" customHeight="1" x14ac:dyDescent="0.25">
      <c r="A131" s="46">
        <v>126</v>
      </c>
      <c r="B131" s="46"/>
      <c r="C131" s="46"/>
      <c r="D131" s="46"/>
      <c r="E131" s="46"/>
      <c r="F131" s="43"/>
      <c r="G131" s="32" t="str">
        <f t="shared" ca="1" si="16"/>
        <v/>
      </c>
      <c r="H131" s="32" t="str">
        <f t="shared" ca="1" si="17"/>
        <v/>
      </c>
      <c r="I131" s="33" t="str">
        <f t="shared" ca="1" si="18"/>
        <v/>
      </c>
      <c r="J131" s="52"/>
      <c r="K131" s="56"/>
      <c r="L131" s="37" t="str">
        <f t="shared" si="12"/>
        <v/>
      </c>
      <c r="M131" s="37" t="str">
        <f t="shared" ca="1" si="21"/>
        <v/>
      </c>
      <c r="N131" s="37" t="str">
        <f t="shared" si="22"/>
        <v/>
      </c>
      <c r="O131" s="37" t="str">
        <f t="shared" ca="1" si="23"/>
        <v/>
      </c>
      <c r="P131" s="37" t="str">
        <f t="shared" ca="1" si="19"/>
        <v/>
      </c>
      <c r="Q131" s="37" t="str">
        <f t="shared" ca="1" si="20"/>
        <v/>
      </c>
    </row>
    <row r="132" spans="1:17" ht="22.5" customHeight="1" x14ac:dyDescent="0.25">
      <c r="A132" s="46">
        <v>127</v>
      </c>
      <c r="B132" s="46"/>
      <c r="C132" s="46"/>
      <c r="D132" s="46"/>
      <c r="E132" s="46"/>
      <c r="F132" s="43"/>
      <c r="G132" s="32" t="str">
        <f t="shared" ca="1" si="16"/>
        <v/>
      </c>
      <c r="H132" s="32" t="str">
        <f t="shared" ca="1" si="17"/>
        <v/>
      </c>
      <c r="I132" s="33" t="str">
        <f t="shared" ca="1" si="18"/>
        <v/>
      </c>
      <c r="J132" s="52"/>
      <c r="K132" s="56"/>
      <c r="L132" s="37" t="str">
        <f t="shared" si="12"/>
        <v/>
      </c>
      <c r="M132" s="37" t="str">
        <f t="shared" ca="1" si="21"/>
        <v/>
      </c>
      <c r="N132" s="37" t="str">
        <f t="shared" si="22"/>
        <v/>
      </c>
      <c r="O132" s="37" t="str">
        <f t="shared" ca="1" si="23"/>
        <v/>
      </c>
      <c r="P132" s="37" t="str">
        <f t="shared" ca="1" si="19"/>
        <v/>
      </c>
      <c r="Q132" s="37" t="str">
        <f t="shared" ca="1" si="20"/>
        <v/>
      </c>
    </row>
    <row r="133" spans="1:17" ht="22.5" customHeight="1" x14ac:dyDescent="0.25">
      <c r="A133" s="46">
        <v>128</v>
      </c>
      <c r="B133" s="46"/>
      <c r="C133" s="46"/>
      <c r="D133" s="46"/>
      <c r="E133" s="46"/>
      <c r="F133" s="43"/>
      <c r="G133" s="32" t="str">
        <f t="shared" ca="1" si="16"/>
        <v/>
      </c>
      <c r="H133" s="32" t="str">
        <f t="shared" ca="1" si="17"/>
        <v/>
      </c>
      <c r="I133" s="33" t="str">
        <f t="shared" ca="1" si="18"/>
        <v/>
      </c>
      <c r="J133" s="52"/>
      <c r="K133" s="56"/>
      <c r="L133" s="37" t="str">
        <f t="shared" si="12"/>
        <v/>
      </c>
      <c r="M133" s="37" t="str">
        <f t="shared" ca="1" si="21"/>
        <v/>
      </c>
      <c r="N133" s="37" t="str">
        <f t="shared" si="22"/>
        <v/>
      </c>
      <c r="O133" s="37" t="str">
        <f t="shared" ca="1" si="23"/>
        <v/>
      </c>
      <c r="P133" s="37" t="str">
        <f t="shared" ca="1" si="19"/>
        <v/>
      </c>
      <c r="Q133" s="37" t="str">
        <f t="shared" ca="1" si="20"/>
        <v/>
      </c>
    </row>
    <row r="134" spans="1:17" ht="22.5" customHeight="1" x14ac:dyDescent="0.25">
      <c r="A134" s="46">
        <v>129</v>
      </c>
      <c r="B134" s="46"/>
      <c r="C134" s="46"/>
      <c r="D134" s="46"/>
      <c r="E134" s="46"/>
      <c r="F134" s="43"/>
      <c r="G134" s="32" t="str">
        <f t="shared" ca="1" si="16"/>
        <v/>
      </c>
      <c r="H134" s="32" t="str">
        <f t="shared" ca="1" si="17"/>
        <v/>
      </c>
      <c r="I134" s="33" t="str">
        <f t="shared" ca="1" si="18"/>
        <v/>
      </c>
      <c r="J134" s="52"/>
      <c r="K134" s="56"/>
      <c r="L134" s="37" t="str">
        <f t="shared" ref="L134:L197" si="24">IF(J134="","",J134*$L$5)</f>
        <v/>
      </c>
      <c r="M134" s="37" t="str">
        <f t="shared" ref="M134:M165" ca="1" si="25">IF(I134="","",J134+P134)</f>
        <v/>
      </c>
      <c r="N134" s="37" t="str">
        <f t="shared" ref="N134:N165" si="26">IF(K134="","",K134*$N$5)</f>
        <v/>
      </c>
      <c r="O134" s="37" t="str">
        <f t="shared" ref="O134:O165" ca="1" si="27">IF(I134="","",K134+Q134)</f>
        <v/>
      </c>
      <c r="P134" s="37" t="str">
        <f t="shared" ca="1" si="19"/>
        <v/>
      </c>
      <c r="Q134" s="37" t="str">
        <f t="shared" ca="1" si="20"/>
        <v/>
      </c>
    </row>
    <row r="135" spans="1:17" ht="22.5" customHeight="1" x14ac:dyDescent="0.25">
      <c r="A135" s="46">
        <v>130</v>
      </c>
      <c r="B135" s="46"/>
      <c r="C135" s="46"/>
      <c r="D135" s="46"/>
      <c r="E135" s="46"/>
      <c r="F135" s="43"/>
      <c r="G135" s="32" t="str">
        <f t="shared" ref="G135:G198" ca="1" si="28">IF(F135="","",DATEDIF(F135,TODAY(),"m"))</f>
        <v/>
      </c>
      <c r="H135" s="32" t="str">
        <f t="shared" ref="H135:H198" ca="1" si="29">IF(G135="","",IF(G135&gt;=12,12,G135))</f>
        <v/>
      </c>
      <c r="I135" s="33" t="str">
        <f t="shared" ref="I135:I198" ca="1" si="30">IF(H135="","",H135/12)</f>
        <v/>
      </c>
      <c r="J135" s="52"/>
      <c r="K135" s="56"/>
      <c r="L135" s="37" t="str">
        <f t="shared" si="24"/>
        <v/>
      </c>
      <c r="M135" s="37" t="str">
        <f t="shared" ca="1" si="25"/>
        <v/>
      </c>
      <c r="N135" s="37" t="str">
        <f t="shared" si="26"/>
        <v/>
      </c>
      <c r="O135" s="37" t="str">
        <f t="shared" ca="1" si="27"/>
        <v/>
      </c>
      <c r="P135" s="37" t="str">
        <f t="shared" ref="P135:P198" ca="1" si="31">IF(H135&lt;6,0,IF(I135="","",L135*I135))</f>
        <v/>
      </c>
      <c r="Q135" s="37" t="str">
        <f t="shared" ref="Q135:Q198" ca="1" si="32">IF(H135&lt;6,0,IF(I135="","",N135*I135))</f>
        <v/>
      </c>
    </row>
    <row r="136" spans="1:17" ht="22.5" customHeight="1" x14ac:dyDescent="0.25">
      <c r="A136" s="46">
        <v>131</v>
      </c>
      <c r="B136" s="46"/>
      <c r="C136" s="46"/>
      <c r="D136" s="46"/>
      <c r="E136" s="46"/>
      <c r="F136" s="43"/>
      <c r="G136" s="32" t="str">
        <f t="shared" ca="1" si="28"/>
        <v/>
      </c>
      <c r="H136" s="32" t="str">
        <f t="shared" ca="1" si="29"/>
        <v/>
      </c>
      <c r="I136" s="33" t="str">
        <f t="shared" ca="1" si="30"/>
        <v/>
      </c>
      <c r="J136" s="52"/>
      <c r="K136" s="56"/>
      <c r="L136" s="37" t="str">
        <f t="shared" si="24"/>
        <v/>
      </c>
      <c r="M136" s="37" t="str">
        <f t="shared" ca="1" si="25"/>
        <v/>
      </c>
      <c r="N136" s="37" t="str">
        <f t="shared" si="26"/>
        <v/>
      </c>
      <c r="O136" s="37" t="str">
        <f t="shared" ca="1" si="27"/>
        <v/>
      </c>
      <c r="P136" s="37" t="str">
        <f t="shared" ca="1" si="31"/>
        <v/>
      </c>
      <c r="Q136" s="37" t="str">
        <f t="shared" ca="1" si="32"/>
        <v/>
      </c>
    </row>
    <row r="137" spans="1:17" ht="22.5" customHeight="1" x14ac:dyDescent="0.25">
      <c r="A137" s="46">
        <v>132</v>
      </c>
      <c r="B137" s="46"/>
      <c r="C137" s="46"/>
      <c r="D137" s="46"/>
      <c r="E137" s="46"/>
      <c r="F137" s="43"/>
      <c r="G137" s="32" t="str">
        <f t="shared" ca="1" si="28"/>
        <v/>
      </c>
      <c r="H137" s="32" t="str">
        <f t="shared" ca="1" si="29"/>
        <v/>
      </c>
      <c r="I137" s="33" t="str">
        <f t="shared" ca="1" si="30"/>
        <v/>
      </c>
      <c r="J137" s="52"/>
      <c r="K137" s="56"/>
      <c r="L137" s="37" t="str">
        <f t="shared" si="24"/>
        <v/>
      </c>
      <c r="M137" s="37" t="str">
        <f t="shared" ca="1" si="25"/>
        <v/>
      </c>
      <c r="N137" s="37" t="str">
        <f t="shared" si="26"/>
        <v/>
      </c>
      <c r="O137" s="37" t="str">
        <f t="shared" ca="1" si="27"/>
        <v/>
      </c>
      <c r="P137" s="37" t="str">
        <f t="shared" ca="1" si="31"/>
        <v/>
      </c>
      <c r="Q137" s="37" t="str">
        <f t="shared" ca="1" si="32"/>
        <v/>
      </c>
    </row>
    <row r="138" spans="1:17" ht="22.5" customHeight="1" x14ac:dyDescent="0.25">
      <c r="A138" s="46">
        <v>133</v>
      </c>
      <c r="B138" s="46"/>
      <c r="C138" s="46"/>
      <c r="D138" s="46"/>
      <c r="E138" s="46"/>
      <c r="F138" s="43"/>
      <c r="G138" s="32" t="str">
        <f t="shared" ca="1" si="28"/>
        <v/>
      </c>
      <c r="H138" s="32" t="str">
        <f t="shared" ca="1" si="29"/>
        <v/>
      </c>
      <c r="I138" s="33" t="str">
        <f t="shared" ca="1" si="30"/>
        <v/>
      </c>
      <c r="J138" s="53"/>
      <c r="K138" s="57"/>
      <c r="L138" s="37" t="str">
        <f t="shared" si="24"/>
        <v/>
      </c>
      <c r="M138" s="37" t="str">
        <f t="shared" ca="1" si="25"/>
        <v/>
      </c>
      <c r="N138" s="37" t="str">
        <f t="shared" si="26"/>
        <v/>
      </c>
      <c r="O138" s="37" t="str">
        <f t="shared" ca="1" si="27"/>
        <v/>
      </c>
      <c r="P138" s="37" t="str">
        <f t="shared" ca="1" si="31"/>
        <v/>
      </c>
      <c r="Q138" s="37" t="str">
        <f t="shared" ca="1" si="32"/>
        <v/>
      </c>
    </row>
    <row r="139" spans="1:17" ht="22.5" customHeight="1" x14ac:dyDescent="0.25">
      <c r="A139" s="46">
        <v>134</v>
      </c>
      <c r="B139" s="46"/>
      <c r="C139" s="46"/>
      <c r="D139" s="46"/>
      <c r="E139" s="46"/>
      <c r="F139" s="43"/>
      <c r="G139" s="32" t="str">
        <f t="shared" ca="1" si="28"/>
        <v/>
      </c>
      <c r="H139" s="32" t="str">
        <f t="shared" ca="1" si="29"/>
        <v/>
      </c>
      <c r="I139" s="33" t="str">
        <f t="shared" ca="1" si="30"/>
        <v/>
      </c>
      <c r="J139" s="53"/>
      <c r="K139" s="57"/>
      <c r="L139" s="37" t="str">
        <f t="shared" si="24"/>
        <v/>
      </c>
      <c r="M139" s="37" t="str">
        <f t="shared" ca="1" si="25"/>
        <v/>
      </c>
      <c r="N139" s="37" t="str">
        <f t="shared" si="26"/>
        <v/>
      </c>
      <c r="O139" s="37" t="str">
        <f t="shared" ca="1" si="27"/>
        <v/>
      </c>
      <c r="P139" s="37" t="str">
        <f t="shared" ca="1" si="31"/>
        <v/>
      </c>
      <c r="Q139" s="37" t="str">
        <f t="shared" ca="1" si="32"/>
        <v/>
      </c>
    </row>
    <row r="140" spans="1:17" ht="22.5" customHeight="1" x14ac:dyDescent="0.25">
      <c r="A140" s="46">
        <v>135</v>
      </c>
      <c r="B140" s="46"/>
      <c r="C140" s="46"/>
      <c r="D140" s="46"/>
      <c r="E140" s="46"/>
      <c r="F140" s="43"/>
      <c r="G140" s="32" t="str">
        <f t="shared" ca="1" si="28"/>
        <v/>
      </c>
      <c r="H140" s="32" t="str">
        <f t="shared" ca="1" si="29"/>
        <v/>
      </c>
      <c r="I140" s="33" t="str">
        <f t="shared" ca="1" si="30"/>
        <v/>
      </c>
      <c r="J140" s="53"/>
      <c r="K140" s="57"/>
      <c r="L140" s="37" t="str">
        <f t="shared" si="24"/>
        <v/>
      </c>
      <c r="M140" s="37" t="str">
        <f t="shared" ca="1" si="25"/>
        <v/>
      </c>
      <c r="N140" s="37" t="str">
        <f t="shared" si="26"/>
        <v/>
      </c>
      <c r="O140" s="37" t="str">
        <f t="shared" ca="1" si="27"/>
        <v/>
      </c>
      <c r="P140" s="37" t="str">
        <f t="shared" ca="1" si="31"/>
        <v/>
      </c>
      <c r="Q140" s="37" t="str">
        <f t="shared" ca="1" si="32"/>
        <v/>
      </c>
    </row>
    <row r="141" spans="1:17" ht="22.5" customHeight="1" x14ac:dyDescent="0.25">
      <c r="A141" s="46">
        <v>136</v>
      </c>
      <c r="B141" s="46"/>
      <c r="C141" s="46"/>
      <c r="D141" s="46"/>
      <c r="E141" s="46"/>
      <c r="F141" s="43"/>
      <c r="G141" s="32" t="str">
        <f t="shared" ca="1" si="28"/>
        <v/>
      </c>
      <c r="H141" s="32" t="str">
        <f t="shared" ca="1" si="29"/>
        <v/>
      </c>
      <c r="I141" s="33" t="str">
        <f t="shared" ca="1" si="30"/>
        <v/>
      </c>
      <c r="J141" s="53"/>
      <c r="K141" s="57"/>
      <c r="L141" s="37" t="str">
        <f t="shared" si="24"/>
        <v/>
      </c>
      <c r="M141" s="37" t="str">
        <f t="shared" ca="1" si="25"/>
        <v/>
      </c>
      <c r="N141" s="37" t="str">
        <f t="shared" si="26"/>
        <v/>
      </c>
      <c r="O141" s="37" t="str">
        <f t="shared" ca="1" si="27"/>
        <v/>
      </c>
      <c r="P141" s="37" t="str">
        <f t="shared" ca="1" si="31"/>
        <v/>
      </c>
      <c r="Q141" s="37" t="str">
        <f t="shared" ca="1" si="32"/>
        <v/>
      </c>
    </row>
    <row r="142" spans="1:17" ht="22.5" customHeight="1" x14ac:dyDescent="0.25">
      <c r="A142" s="46">
        <v>137</v>
      </c>
      <c r="B142" s="46"/>
      <c r="C142" s="46"/>
      <c r="D142" s="46"/>
      <c r="E142" s="46"/>
      <c r="F142" s="43"/>
      <c r="G142" s="32" t="str">
        <f t="shared" ca="1" si="28"/>
        <v/>
      </c>
      <c r="H142" s="32" t="str">
        <f t="shared" ca="1" si="29"/>
        <v/>
      </c>
      <c r="I142" s="33" t="str">
        <f t="shared" ca="1" si="30"/>
        <v/>
      </c>
      <c r="J142" s="53"/>
      <c r="K142" s="57"/>
      <c r="L142" s="37" t="str">
        <f t="shared" si="24"/>
        <v/>
      </c>
      <c r="M142" s="37" t="str">
        <f t="shared" ca="1" si="25"/>
        <v/>
      </c>
      <c r="N142" s="37" t="str">
        <f t="shared" si="26"/>
        <v/>
      </c>
      <c r="O142" s="37" t="str">
        <f t="shared" ca="1" si="27"/>
        <v/>
      </c>
      <c r="P142" s="37" t="str">
        <f t="shared" ca="1" si="31"/>
        <v/>
      </c>
      <c r="Q142" s="37" t="str">
        <f t="shared" ca="1" si="32"/>
        <v/>
      </c>
    </row>
    <row r="143" spans="1:17" ht="22.5" customHeight="1" x14ac:dyDescent="0.25">
      <c r="A143" s="46">
        <v>138</v>
      </c>
      <c r="B143" s="46"/>
      <c r="C143" s="46"/>
      <c r="D143" s="46"/>
      <c r="E143" s="46"/>
      <c r="F143" s="43"/>
      <c r="G143" s="32" t="str">
        <f t="shared" ca="1" si="28"/>
        <v/>
      </c>
      <c r="H143" s="32" t="str">
        <f t="shared" ca="1" si="29"/>
        <v/>
      </c>
      <c r="I143" s="33" t="str">
        <f t="shared" ca="1" si="30"/>
        <v/>
      </c>
      <c r="J143" s="53"/>
      <c r="K143" s="57"/>
      <c r="L143" s="37" t="str">
        <f t="shared" si="24"/>
        <v/>
      </c>
      <c r="M143" s="37" t="str">
        <f t="shared" ca="1" si="25"/>
        <v/>
      </c>
      <c r="N143" s="37" t="str">
        <f t="shared" si="26"/>
        <v/>
      </c>
      <c r="O143" s="37" t="str">
        <f t="shared" ca="1" si="27"/>
        <v/>
      </c>
      <c r="P143" s="37" t="str">
        <f t="shared" ca="1" si="31"/>
        <v/>
      </c>
      <c r="Q143" s="37" t="str">
        <f t="shared" ca="1" si="32"/>
        <v/>
      </c>
    </row>
    <row r="144" spans="1:17" ht="22.5" customHeight="1" x14ac:dyDescent="0.25">
      <c r="A144" s="46">
        <v>139</v>
      </c>
      <c r="B144" s="46"/>
      <c r="C144" s="46"/>
      <c r="D144" s="46"/>
      <c r="E144" s="46"/>
      <c r="F144" s="43"/>
      <c r="G144" s="32" t="str">
        <f t="shared" ca="1" si="28"/>
        <v/>
      </c>
      <c r="H144" s="32" t="str">
        <f t="shared" ca="1" si="29"/>
        <v/>
      </c>
      <c r="I144" s="33" t="str">
        <f t="shared" ca="1" si="30"/>
        <v/>
      </c>
      <c r="J144" s="53"/>
      <c r="K144" s="57"/>
      <c r="L144" s="37" t="str">
        <f t="shared" si="24"/>
        <v/>
      </c>
      <c r="M144" s="37" t="str">
        <f t="shared" ca="1" si="25"/>
        <v/>
      </c>
      <c r="N144" s="37" t="str">
        <f t="shared" si="26"/>
        <v/>
      </c>
      <c r="O144" s="37" t="str">
        <f t="shared" ca="1" si="27"/>
        <v/>
      </c>
      <c r="P144" s="37" t="str">
        <f t="shared" ca="1" si="31"/>
        <v/>
      </c>
      <c r="Q144" s="37" t="str">
        <f t="shared" ca="1" si="32"/>
        <v/>
      </c>
    </row>
    <row r="145" spans="1:17" ht="22.5" customHeight="1" x14ac:dyDescent="0.25">
      <c r="A145" s="46">
        <v>140</v>
      </c>
      <c r="B145" s="46"/>
      <c r="C145" s="46"/>
      <c r="D145" s="46"/>
      <c r="E145" s="46"/>
      <c r="F145" s="43"/>
      <c r="G145" s="32" t="str">
        <f t="shared" ca="1" si="28"/>
        <v/>
      </c>
      <c r="H145" s="32" t="str">
        <f t="shared" ca="1" si="29"/>
        <v/>
      </c>
      <c r="I145" s="33" t="str">
        <f t="shared" ca="1" si="30"/>
        <v/>
      </c>
      <c r="J145" s="53"/>
      <c r="K145" s="57"/>
      <c r="L145" s="37" t="str">
        <f t="shared" si="24"/>
        <v/>
      </c>
      <c r="M145" s="37" t="str">
        <f t="shared" ca="1" si="25"/>
        <v/>
      </c>
      <c r="N145" s="37" t="str">
        <f t="shared" si="26"/>
        <v/>
      </c>
      <c r="O145" s="37" t="str">
        <f t="shared" ca="1" si="27"/>
        <v/>
      </c>
      <c r="P145" s="37" t="str">
        <f t="shared" ca="1" si="31"/>
        <v/>
      </c>
      <c r="Q145" s="37" t="str">
        <f t="shared" ca="1" si="32"/>
        <v/>
      </c>
    </row>
    <row r="146" spans="1:17" ht="22.5" customHeight="1" x14ac:dyDescent="0.25">
      <c r="A146" s="46">
        <v>141</v>
      </c>
      <c r="B146" s="46"/>
      <c r="C146" s="46"/>
      <c r="D146" s="46"/>
      <c r="E146" s="46"/>
      <c r="F146" s="43"/>
      <c r="G146" s="32" t="str">
        <f t="shared" ca="1" si="28"/>
        <v/>
      </c>
      <c r="H146" s="32" t="str">
        <f t="shared" ca="1" si="29"/>
        <v/>
      </c>
      <c r="I146" s="33" t="str">
        <f t="shared" ca="1" si="30"/>
        <v/>
      </c>
      <c r="J146" s="53"/>
      <c r="K146" s="57"/>
      <c r="L146" s="37" t="str">
        <f t="shared" si="24"/>
        <v/>
      </c>
      <c r="M146" s="37" t="str">
        <f t="shared" ca="1" si="25"/>
        <v/>
      </c>
      <c r="N146" s="37" t="str">
        <f t="shared" si="26"/>
        <v/>
      </c>
      <c r="O146" s="37" t="str">
        <f t="shared" ca="1" si="27"/>
        <v/>
      </c>
      <c r="P146" s="37" t="str">
        <f t="shared" ca="1" si="31"/>
        <v/>
      </c>
      <c r="Q146" s="37" t="str">
        <f t="shared" ca="1" si="32"/>
        <v/>
      </c>
    </row>
    <row r="147" spans="1:17" ht="22.5" customHeight="1" x14ac:dyDescent="0.25">
      <c r="A147" s="46">
        <v>142</v>
      </c>
      <c r="B147" s="46"/>
      <c r="C147" s="46"/>
      <c r="D147" s="46"/>
      <c r="E147" s="46"/>
      <c r="F147" s="43"/>
      <c r="G147" s="32" t="str">
        <f t="shared" ca="1" si="28"/>
        <v/>
      </c>
      <c r="H147" s="32" t="str">
        <f t="shared" ca="1" si="29"/>
        <v/>
      </c>
      <c r="I147" s="33" t="str">
        <f t="shared" ca="1" si="30"/>
        <v/>
      </c>
      <c r="J147" s="53"/>
      <c r="K147" s="57"/>
      <c r="L147" s="37" t="str">
        <f t="shared" si="24"/>
        <v/>
      </c>
      <c r="M147" s="37" t="str">
        <f t="shared" ca="1" si="25"/>
        <v/>
      </c>
      <c r="N147" s="37" t="str">
        <f t="shared" si="26"/>
        <v/>
      </c>
      <c r="O147" s="37" t="str">
        <f t="shared" ca="1" si="27"/>
        <v/>
      </c>
      <c r="P147" s="37" t="str">
        <f t="shared" ca="1" si="31"/>
        <v/>
      </c>
      <c r="Q147" s="37" t="str">
        <f t="shared" ca="1" si="32"/>
        <v/>
      </c>
    </row>
    <row r="148" spans="1:17" ht="22.5" customHeight="1" x14ac:dyDescent="0.25">
      <c r="A148" s="46">
        <v>143</v>
      </c>
      <c r="B148" s="46"/>
      <c r="C148" s="46"/>
      <c r="D148" s="46"/>
      <c r="E148" s="46"/>
      <c r="F148" s="43"/>
      <c r="G148" s="32" t="str">
        <f t="shared" ca="1" si="28"/>
        <v/>
      </c>
      <c r="H148" s="32" t="str">
        <f t="shared" ca="1" si="29"/>
        <v/>
      </c>
      <c r="I148" s="33" t="str">
        <f t="shared" ca="1" si="30"/>
        <v/>
      </c>
      <c r="J148" s="53"/>
      <c r="K148" s="57"/>
      <c r="L148" s="37" t="str">
        <f t="shared" si="24"/>
        <v/>
      </c>
      <c r="M148" s="37" t="str">
        <f t="shared" ca="1" si="25"/>
        <v/>
      </c>
      <c r="N148" s="37" t="str">
        <f t="shared" si="26"/>
        <v/>
      </c>
      <c r="O148" s="37" t="str">
        <f t="shared" ca="1" si="27"/>
        <v/>
      </c>
      <c r="P148" s="37" t="str">
        <f t="shared" ca="1" si="31"/>
        <v/>
      </c>
      <c r="Q148" s="37" t="str">
        <f t="shared" ca="1" si="32"/>
        <v/>
      </c>
    </row>
    <row r="149" spans="1:17" ht="22.5" customHeight="1" x14ac:dyDescent="0.25">
      <c r="A149" s="46">
        <v>144</v>
      </c>
      <c r="B149" s="46"/>
      <c r="C149" s="46"/>
      <c r="D149" s="46"/>
      <c r="E149" s="46"/>
      <c r="F149" s="43"/>
      <c r="G149" s="32" t="str">
        <f t="shared" ca="1" si="28"/>
        <v/>
      </c>
      <c r="H149" s="32" t="str">
        <f t="shared" ca="1" si="29"/>
        <v/>
      </c>
      <c r="I149" s="33" t="str">
        <f t="shared" ca="1" si="30"/>
        <v/>
      </c>
      <c r="J149" s="53"/>
      <c r="K149" s="57"/>
      <c r="L149" s="37" t="str">
        <f t="shared" si="24"/>
        <v/>
      </c>
      <c r="M149" s="37" t="str">
        <f t="shared" ca="1" si="25"/>
        <v/>
      </c>
      <c r="N149" s="37" t="str">
        <f t="shared" si="26"/>
        <v/>
      </c>
      <c r="O149" s="37" t="str">
        <f t="shared" ca="1" si="27"/>
        <v/>
      </c>
      <c r="P149" s="37" t="str">
        <f t="shared" ca="1" si="31"/>
        <v/>
      </c>
      <c r="Q149" s="37" t="str">
        <f t="shared" ca="1" si="32"/>
        <v/>
      </c>
    </row>
    <row r="150" spans="1:17" ht="22.5" customHeight="1" x14ac:dyDescent="0.25">
      <c r="A150" s="46">
        <v>145</v>
      </c>
      <c r="B150" s="46"/>
      <c r="C150" s="46"/>
      <c r="D150" s="46"/>
      <c r="E150" s="46"/>
      <c r="F150" s="43"/>
      <c r="G150" s="32" t="str">
        <f t="shared" ca="1" si="28"/>
        <v/>
      </c>
      <c r="H150" s="32" t="str">
        <f t="shared" ca="1" si="29"/>
        <v/>
      </c>
      <c r="I150" s="33" t="str">
        <f t="shared" ca="1" si="30"/>
        <v/>
      </c>
      <c r="J150" s="53"/>
      <c r="K150" s="57"/>
      <c r="L150" s="37" t="str">
        <f t="shared" si="24"/>
        <v/>
      </c>
      <c r="M150" s="37" t="str">
        <f t="shared" ca="1" si="25"/>
        <v/>
      </c>
      <c r="N150" s="37" t="str">
        <f t="shared" si="26"/>
        <v/>
      </c>
      <c r="O150" s="37" t="str">
        <f t="shared" ca="1" si="27"/>
        <v/>
      </c>
      <c r="P150" s="37" t="str">
        <f t="shared" ca="1" si="31"/>
        <v/>
      </c>
      <c r="Q150" s="37" t="str">
        <f t="shared" ca="1" si="32"/>
        <v/>
      </c>
    </row>
    <row r="151" spans="1:17" ht="22.5" customHeight="1" x14ac:dyDescent="0.25">
      <c r="A151" s="46">
        <v>146</v>
      </c>
      <c r="B151" s="46"/>
      <c r="C151" s="46"/>
      <c r="D151" s="46"/>
      <c r="E151" s="46"/>
      <c r="F151" s="43"/>
      <c r="G151" s="32" t="str">
        <f t="shared" ca="1" si="28"/>
        <v/>
      </c>
      <c r="H151" s="32" t="str">
        <f t="shared" ca="1" si="29"/>
        <v/>
      </c>
      <c r="I151" s="33" t="str">
        <f t="shared" ca="1" si="30"/>
        <v/>
      </c>
      <c r="J151" s="53"/>
      <c r="K151" s="57"/>
      <c r="L151" s="37" t="str">
        <f t="shared" si="24"/>
        <v/>
      </c>
      <c r="M151" s="37" t="str">
        <f t="shared" ca="1" si="25"/>
        <v/>
      </c>
      <c r="N151" s="37" t="str">
        <f t="shared" si="26"/>
        <v/>
      </c>
      <c r="O151" s="37" t="str">
        <f t="shared" ca="1" si="27"/>
        <v/>
      </c>
      <c r="P151" s="37" t="str">
        <f t="shared" ca="1" si="31"/>
        <v/>
      </c>
      <c r="Q151" s="37" t="str">
        <f t="shared" ca="1" si="32"/>
        <v/>
      </c>
    </row>
    <row r="152" spans="1:17" ht="22.5" customHeight="1" x14ac:dyDescent="0.25">
      <c r="A152" s="46">
        <v>147</v>
      </c>
      <c r="B152" s="46"/>
      <c r="C152" s="46"/>
      <c r="D152" s="46"/>
      <c r="E152" s="46"/>
      <c r="F152" s="43"/>
      <c r="G152" s="32" t="str">
        <f t="shared" ca="1" si="28"/>
        <v/>
      </c>
      <c r="H152" s="32" t="str">
        <f t="shared" ca="1" si="29"/>
        <v/>
      </c>
      <c r="I152" s="33" t="str">
        <f t="shared" ca="1" si="30"/>
        <v/>
      </c>
      <c r="J152" s="53"/>
      <c r="K152" s="57"/>
      <c r="L152" s="37" t="str">
        <f t="shared" si="24"/>
        <v/>
      </c>
      <c r="M152" s="37" t="str">
        <f t="shared" ca="1" si="25"/>
        <v/>
      </c>
      <c r="N152" s="37" t="str">
        <f t="shared" si="26"/>
        <v/>
      </c>
      <c r="O152" s="37" t="str">
        <f t="shared" ca="1" si="27"/>
        <v/>
      </c>
      <c r="P152" s="37" t="str">
        <f t="shared" ca="1" si="31"/>
        <v/>
      </c>
      <c r="Q152" s="37" t="str">
        <f t="shared" ca="1" si="32"/>
        <v/>
      </c>
    </row>
    <row r="153" spans="1:17" ht="22.5" customHeight="1" x14ac:dyDescent="0.25">
      <c r="A153" s="46">
        <v>148</v>
      </c>
      <c r="B153" s="46"/>
      <c r="C153" s="46"/>
      <c r="D153" s="46"/>
      <c r="E153" s="46"/>
      <c r="F153" s="43"/>
      <c r="G153" s="32" t="str">
        <f t="shared" ca="1" si="28"/>
        <v/>
      </c>
      <c r="H153" s="32" t="str">
        <f t="shared" ca="1" si="29"/>
        <v/>
      </c>
      <c r="I153" s="33" t="str">
        <f t="shared" ca="1" si="30"/>
        <v/>
      </c>
      <c r="J153" s="53"/>
      <c r="K153" s="57"/>
      <c r="L153" s="37" t="str">
        <f t="shared" si="24"/>
        <v/>
      </c>
      <c r="M153" s="37" t="str">
        <f t="shared" ca="1" si="25"/>
        <v/>
      </c>
      <c r="N153" s="37" t="str">
        <f t="shared" si="26"/>
        <v/>
      </c>
      <c r="O153" s="37" t="str">
        <f t="shared" ca="1" si="27"/>
        <v/>
      </c>
      <c r="P153" s="37" t="str">
        <f t="shared" ca="1" si="31"/>
        <v/>
      </c>
      <c r="Q153" s="37" t="str">
        <f t="shared" ca="1" si="32"/>
        <v/>
      </c>
    </row>
    <row r="154" spans="1:17" ht="22.5" customHeight="1" x14ac:dyDescent="0.25">
      <c r="A154" s="46">
        <v>149</v>
      </c>
      <c r="B154" s="46"/>
      <c r="C154" s="46"/>
      <c r="D154" s="46"/>
      <c r="E154" s="46"/>
      <c r="F154" s="43"/>
      <c r="G154" s="32" t="str">
        <f t="shared" ca="1" si="28"/>
        <v/>
      </c>
      <c r="H154" s="32" t="str">
        <f t="shared" ca="1" si="29"/>
        <v/>
      </c>
      <c r="I154" s="33" t="str">
        <f t="shared" ca="1" si="30"/>
        <v/>
      </c>
      <c r="J154" s="53"/>
      <c r="K154" s="57"/>
      <c r="L154" s="37" t="str">
        <f t="shared" si="24"/>
        <v/>
      </c>
      <c r="M154" s="37" t="str">
        <f t="shared" ca="1" si="25"/>
        <v/>
      </c>
      <c r="N154" s="37" t="str">
        <f t="shared" si="26"/>
        <v/>
      </c>
      <c r="O154" s="37" t="str">
        <f t="shared" ca="1" si="27"/>
        <v/>
      </c>
      <c r="P154" s="37" t="str">
        <f t="shared" ca="1" si="31"/>
        <v/>
      </c>
      <c r="Q154" s="37" t="str">
        <f t="shared" ca="1" si="32"/>
        <v/>
      </c>
    </row>
    <row r="155" spans="1:17" ht="22.5" customHeight="1" x14ac:dyDescent="0.25">
      <c r="A155" s="46">
        <v>150</v>
      </c>
      <c r="B155" s="46"/>
      <c r="C155" s="46"/>
      <c r="D155" s="46"/>
      <c r="E155" s="46"/>
      <c r="F155" s="43"/>
      <c r="G155" s="32" t="str">
        <f t="shared" ca="1" si="28"/>
        <v/>
      </c>
      <c r="H155" s="32" t="str">
        <f t="shared" ca="1" si="29"/>
        <v/>
      </c>
      <c r="I155" s="33" t="str">
        <f t="shared" ca="1" si="30"/>
        <v/>
      </c>
      <c r="J155" s="53"/>
      <c r="K155" s="57"/>
      <c r="L155" s="37" t="str">
        <f t="shared" si="24"/>
        <v/>
      </c>
      <c r="M155" s="37" t="str">
        <f t="shared" ca="1" si="25"/>
        <v/>
      </c>
      <c r="N155" s="37" t="str">
        <f t="shared" si="26"/>
        <v/>
      </c>
      <c r="O155" s="37" t="str">
        <f t="shared" ca="1" si="27"/>
        <v/>
      </c>
      <c r="P155" s="37" t="str">
        <f t="shared" ca="1" si="31"/>
        <v/>
      </c>
      <c r="Q155" s="37" t="str">
        <f t="shared" ca="1" si="32"/>
        <v/>
      </c>
    </row>
    <row r="156" spans="1:17" ht="22.5" customHeight="1" x14ac:dyDescent="0.25">
      <c r="A156" s="46">
        <v>151</v>
      </c>
      <c r="B156" s="46"/>
      <c r="C156" s="46"/>
      <c r="D156" s="46"/>
      <c r="E156" s="46"/>
      <c r="F156" s="43"/>
      <c r="G156" s="32" t="str">
        <f t="shared" ca="1" si="28"/>
        <v/>
      </c>
      <c r="H156" s="32" t="str">
        <f t="shared" ca="1" si="29"/>
        <v/>
      </c>
      <c r="I156" s="33" t="str">
        <f t="shared" ca="1" si="30"/>
        <v/>
      </c>
      <c r="J156" s="53"/>
      <c r="K156" s="57"/>
      <c r="L156" s="37" t="str">
        <f t="shared" si="24"/>
        <v/>
      </c>
      <c r="M156" s="37" t="str">
        <f t="shared" ca="1" si="25"/>
        <v/>
      </c>
      <c r="N156" s="37" t="str">
        <f t="shared" si="26"/>
        <v/>
      </c>
      <c r="O156" s="37" t="str">
        <f t="shared" ca="1" si="27"/>
        <v/>
      </c>
      <c r="P156" s="37" t="str">
        <f t="shared" ca="1" si="31"/>
        <v/>
      </c>
      <c r="Q156" s="37" t="str">
        <f t="shared" ca="1" si="32"/>
        <v/>
      </c>
    </row>
    <row r="157" spans="1:17" ht="22.5" customHeight="1" x14ac:dyDescent="0.25">
      <c r="A157" s="46">
        <v>152</v>
      </c>
      <c r="B157" s="46"/>
      <c r="C157" s="46"/>
      <c r="D157" s="46"/>
      <c r="E157" s="46"/>
      <c r="F157" s="43"/>
      <c r="G157" s="32" t="str">
        <f t="shared" ca="1" si="28"/>
        <v/>
      </c>
      <c r="H157" s="32" t="str">
        <f t="shared" ca="1" si="29"/>
        <v/>
      </c>
      <c r="I157" s="33" t="str">
        <f t="shared" ca="1" si="30"/>
        <v/>
      </c>
      <c r="J157" s="53"/>
      <c r="K157" s="57"/>
      <c r="L157" s="37" t="str">
        <f t="shared" si="24"/>
        <v/>
      </c>
      <c r="M157" s="37" t="str">
        <f t="shared" ca="1" si="25"/>
        <v/>
      </c>
      <c r="N157" s="37" t="str">
        <f t="shared" si="26"/>
        <v/>
      </c>
      <c r="O157" s="37" t="str">
        <f t="shared" ca="1" si="27"/>
        <v/>
      </c>
      <c r="P157" s="37" t="str">
        <f t="shared" ca="1" si="31"/>
        <v/>
      </c>
      <c r="Q157" s="37" t="str">
        <f t="shared" ca="1" si="32"/>
        <v/>
      </c>
    </row>
    <row r="158" spans="1:17" ht="22.5" customHeight="1" x14ac:dyDescent="0.25">
      <c r="A158" s="46">
        <v>153</v>
      </c>
      <c r="B158" s="46"/>
      <c r="C158" s="46"/>
      <c r="D158" s="46"/>
      <c r="E158" s="46"/>
      <c r="F158" s="43"/>
      <c r="G158" s="32" t="str">
        <f t="shared" ca="1" si="28"/>
        <v/>
      </c>
      <c r="H158" s="32" t="str">
        <f t="shared" ca="1" si="29"/>
        <v/>
      </c>
      <c r="I158" s="33" t="str">
        <f t="shared" ca="1" si="30"/>
        <v/>
      </c>
      <c r="J158" s="53"/>
      <c r="K158" s="57"/>
      <c r="L158" s="37" t="str">
        <f t="shared" si="24"/>
        <v/>
      </c>
      <c r="M158" s="37" t="str">
        <f t="shared" ca="1" si="25"/>
        <v/>
      </c>
      <c r="N158" s="37" t="str">
        <f t="shared" si="26"/>
        <v/>
      </c>
      <c r="O158" s="37" t="str">
        <f t="shared" ca="1" si="27"/>
        <v/>
      </c>
      <c r="P158" s="37" t="str">
        <f t="shared" ca="1" si="31"/>
        <v/>
      </c>
      <c r="Q158" s="37" t="str">
        <f t="shared" ca="1" si="32"/>
        <v/>
      </c>
    </row>
    <row r="159" spans="1:17" ht="22.5" customHeight="1" x14ac:dyDescent="0.25">
      <c r="A159" s="46">
        <v>154</v>
      </c>
      <c r="B159" s="46"/>
      <c r="C159" s="46"/>
      <c r="D159" s="46"/>
      <c r="E159" s="46"/>
      <c r="F159" s="43"/>
      <c r="G159" s="32" t="str">
        <f t="shared" ca="1" si="28"/>
        <v/>
      </c>
      <c r="H159" s="32" t="str">
        <f t="shared" ca="1" si="29"/>
        <v/>
      </c>
      <c r="I159" s="33" t="str">
        <f t="shared" ca="1" si="30"/>
        <v/>
      </c>
      <c r="J159" s="53"/>
      <c r="K159" s="57"/>
      <c r="L159" s="37" t="str">
        <f t="shared" si="24"/>
        <v/>
      </c>
      <c r="M159" s="37" t="str">
        <f t="shared" ca="1" si="25"/>
        <v/>
      </c>
      <c r="N159" s="37" t="str">
        <f t="shared" si="26"/>
        <v/>
      </c>
      <c r="O159" s="37" t="str">
        <f t="shared" ca="1" si="27"/>
        <v/>
      </c>
      <c r="P159" s="37" t="str">
        <f t="shared" ca="1" si="31"/>
        <v/>
      </c>
      <c r="Q159" s="37" t="str">
        <f t="shared" ca="1" si="32"/>
        <v/>
      </c>
    </row>
    <row r="160" spans="1:17" ht="22.5" customHeight="1" x14ac:dyDescent="0.25">
      <c r="A160" s="46">
        <v>155</v>
      </c>
      <c r="B160" s="46"/>
      <c r="C160" s="46"/>
      <c r="D160" s="46"/>
      <c r="E160" s="46"/>
      <c r="F160" s="43"/>
      <c r="G160" s="32" t="str">
        <f t="shared" ca="1" si="28"/>
        <v/>
      </c>
      <c r="H160" s="32" t="str">
        <f t="shared" ca="1" si="29"/>
        <v/>
      </c>
      <c r="I160" s="33" t="str">
        <f t="shared" ca="1" si="30"/>
        <v/>
      </c>
      <c r="J160" s="53"/>
      <c r="K160" s="57"/>
      <c r="L160" s="37" t="str">
        <f t="shared" si="24"/>
        <v/>
      </c>
      <c r="M160" s="37" t="str">
        <f t="shared" ca="1" si="25"/>
        <v/>
      </c>
      <c r="N160" s="37" t="str">
        <f t="shared" si="26"/>
        <v/>
      </c>
      <c r="O160" s="37" t="str">
        <f t="shared" ca="1" si="27"/>
        <v/>
      </c>
      <c r="P160" s="37" t="str">
        <f t="shared" ca="1" si="31"/>
        <v/>
      </c>
      <c r="Q160" s="37" t="str">
        <f t="shared" ca="1" si="32"/>
        <v/>
      </c>
    </row>
    <row r="161" spans="1:17" ht="22.5" customHeight="1" x14ac:dyDescent="0.25">
      <c r="A161" s="46">
        <v>156</v>
      </c>
      <c r="B161" s="46"/>
      <c r="C161" s="46"/>
      <c r="D161" s="46"/>
      <c r="E161" s="46"/>
      <c r="F161" s="43"/>
      <c r="G161" s="32" t="str">
        <f t="shared" ca="1" si="28"/>
        <v/>
      </c>
      <c r="H161" s="32" t="str">
        <f t="shared" ca="1" si="29"/>
        <v/>
      </c>
      <c r="I161" s="33" t="str">
        <f t="shared" ca="1" si="30"/>
        <v/>
      </c>
      <c r="J161" s="53"/>
      <c r="K161" s="57"/>
      <c r="L161" s="37" t="str">
        <f t="shared" si="24"/>
        <v/>
      </c>
      <c r="M161" s="37" t="str">
        <f t="shared" ca="1" si="25"/>
        <v/>
      </c>
      <c r="N161" s="37" t="str">
        <f t="shared" si="26"/>
        <v/>
      </c>
      <c r="O161" s="37" t="str">
        <f t="shared" ca="1" si="27"/>
        <v/>
      </c>
      <c r="P161" s="37" t="str">
        <f t="shared" ca="1" si="31"/>
        <v/>
      </c>
      <c r="Q161" s="37" t="str">
        <f t="shared" ca="1" si="32"/>
        <v/>
      </c>
    </row>
    <row r="162" spans="1:17" ht="22.5" customHeight="1" x14ac:dyDescent="0.25">
      <c r="A162" s="46">
        <v>157</v>
      </c>
      <c r="B162" s="46"/>
      <c r="C162" s="46"/>
      <c r="D162" s="46"/>
      <c r="E162" s="46"/>
      <c r="F162" s="43"/>
      <c r="G162" s="32" t="str">
        <f t="shared" ca="1" si="28"/>
        <v/>
      </c>
      <c r="H162" s="32" t="str">
        <f t="shared" ca="1" si="29"/>
        <v/>
      </c>
      <c r="I162" s="33" t="str">
        <f t="shared" ca="1" si="30"/>
        <v/>
      </c>
      <c r="J162" s="53"/>
      <c r="K162" s="57"/>
      <c r="L162" s="37" t="str">
        <f t="shared" si="24"/>
        <v/>
      </c>
      <c r="M162" s="37" t="str">
        <f t="shared" ca="1" si="25"/>
        <v/>
      </c>
      <c r="N162" s="37" t="str">
        <f t="shared" si="26"/>
        <v/>
      </c>
      <c r="O162" s="37" t="str">
        <f t="shared" ca="1" si="27"/>
        <v/>
      </c>
      <c r="P162" s="37" t="str">
        <f t="shared" ca="1" si="31"/>
        <v/>
      </c>
      <c r="Q162" s="37" t="str">
        <f t="shared" ca="1" si="32"/>
        <v/>
      </c>
    </row>
    <row r="163" spans="1:17" ht="22.5" customHeight="1" x14ac:dyDescent="0.25">
      <c r="A163" s="46">
        <v>158</v>
      </c>
      <c r="B163" s="46"/>
      <c r="C163" s="46"/>
      <c r="D163" s="46"/>
      <c r="E163" s="46"/>
      <c r="F163" s="43"/>
      <c r="G163" s="32" t="str">
        <f t="shared" ca="1" si="28"/>
        <v/>
      </c>
      <c r="H163" s="32" t="str">
        <f t="shared" ca="1" si="29"/>
        <v/>
      </c>
      <c r="I163" s="33" t="str">
        <f t="shared" ca="1" si="30"/>
        <v/>
      </c>
      <c r="J163" s="53"/>
      <c r="K163" s="57"/>
      <c r="L163" s="37" t="str">
        <f t="shared" si="24"/>
        <v/>
      </c>
      <c r="M163" s="37" t="str">
        <f t="shared" ca="1" si="25"/>
        <v/>
      </c>
      <c r="N163" s="37" t="str">
        <f t="shared" si="26"/>
        <v/>
      </c>
      <c r="O163" s="37" t="str">
        <f t="shared" ca="1" si="27"/>
        <v/>
      </c>
      <c r="P163" s="37" t="str">
        <f t="shared" ca="1" si="31"/>
        <v/>
      </c>
      <c r="Q163" s="37" t="str">
        <f t="shared" ca="1" si="32"/>
        <v/>
      </c>
    </row>
    <row r="164" spans="1:17" ht="22.5" customHeight="1" x14ac:dyDescent="0.25">
      <c r="A164" s="46">
        <v>159</v>
      </c>
      <c r="B164" s="46"/>
      <c r="C164" s="46"/>
      <c r="D164" s="46"/>
      <c r="E164" s="46"/>
      <c r="F164" s="43"/>
      <c r="G164" s="32" t="str">
        <f t="shared" ca="1" si="28"/>
        <v/>
      </c>
      <c r="H164" s="32" t="str">
        <f t="shared" ca="1" si="29"/>
        <v/>
      </c>
      <c r="I164" s="33" t="str">
        <f t="shared" ca="1" si="30"/>
        <v/>
      </c>
      <c r="J164" s="53"/>
      <c r="K164" s="57"/>
      <c r="L164" s="37" t="str">
        <f t="shared" si="24"/>
        <v/>
      </c>
      <c r="M164" s="37" t="str">
        <f t="shared" ca="1" si="25"/>
        <v/>
      </c>
      <c r="N164" s="37" t="str">
        <f t="shared" si="26"/>
        <v/>
      </c>
      <c r="O164" s="37" t="str">
        <f t="shared" ca="1" si="27"/>
        <v/>
      </c>
      <c r="P164" s="37" t="str">
        <f t="shared" ca="1" si="31"/>
        <v/>
      </c>
      <c r="Q164" s="37" t="str">
        <f t="shared" ca="1" si="32"/>
        <v/>
      </c>
    </row>
    <row r="165" spans="1:17" ht="22.5" customHeight="1" x14ac:dyDescent="0.25">
      <c r="A165" s="46">
        <v>160</v>
      </c>
      <c r="B165" s="46"/>
      <c r="C165" s="46"/>
      <c r="D165" s="46"/>
      <c r="E165" s="46"/>
      <c r="F165" s="43"/>
      <c r="G165" s="32" t="str">
        <f t="shared" ca="1" si="28"/>
        <v/>
      </c>
      <c r="H165" s="32" t="str">
        <f t="shared" ca="1" si="29"/>
        <v/>
      </c>
      <c r="I165" s="33" t="str">
        <f t="shared" ca="1" si="30"/>
        <v/>
      </c>
      <c r="J165" s="53"/>
      <c r="K165" s="57"/>
      <c r="L165" s="37" t="str">
        <f t="shared" si="24"/>
        <v/>
      </c>
      <c r="M165" s="37" t="str">
        <f t="shared" ca="1" si="25"/>
        <v/>
      </c>
      <c r="N165" s="37" t="str">
        <f t="shared" si="26"/>
        <v/>
      </c>
      <c r="O165" s="37" t="str">
        <f t="shared" ca="1" si="27"/>
        <v/>
      </c>
      <c r="P165" s="37" t="str">
        <f t="shared" ca="1" si="31"/>
        <v/>
      </c>
      <c r="Q165" s="37" t="str">
        <f t="shared" ca="1" si="32"/>
        <v/>
      </c>
    </row>
    <row r="166" spans="1:17" ht="22.5" customHeight="1" x14ac:dyDescent="0.25">
      <c r="A166" s="46">
        <v>161</v>
      </c>
      <c r="B166" s="46"/>
      <c r="C166" s="46"/>
      <c r="D166" s="46"/>
      <c r="E166" s="46"/>
      <c r="F166" s="43"/>
      <c r="G166" s="32" t="str">
        <f t="shared" ca="1" si="28"/>
        <v/>
      </c>
      <c r="H166" s="32" t="str">
        <f t="shared" ca="1" si="29"/>
        <v/>
      </c>
      <c r="I166" s="33" t="str">
        <f t="shared" ca="1" si="30"/>
        <v/>
      </c>
      <c r="J166" s="53"/>
      <c r="K166" s="57"/>
      <c r="L166" s="37" t="str">
        <f t="shared" si="24"/>
        <v/>
      </c>
      <c r="M166" s="37" t="str">
        <f t="shared" ref="M166:M197" ca="1" si="33">IF(I166="","",J166+P166)</f>
        <v/>
      </c>
      <c r="N166" s="37" t="str">
        <f t="shared" ref="N166:N197" si="34">IF(K166="","",K166*$N$5)</f>
        <v/>
      </c>
      <c r="O166" s="37" t="str">
        <f t="shared" ref="O166:O197" ca="1" si="35">IF(I166="","",K166+Q166)</f>
        <v/>
      </c>
      <c r="P166" s="37" t="str">
        <f t="shared" ca="1" si="31"/>
        <v/>
      </c>
      <c r="Q166" s="37" t="str">
        <f t="shared" ca="1" si="32"/>
        <v/>
      </c>
    </row>
    <row r="167" spans="1:17" ht="22.5" customHeight="1" x14ac:dyDescent="0.25">
      <c r="A167" s="46">
        <v>162</v>
      </c>
      <c r="B167" s="46"/>
      <c r="C167" s="46"/>
      <c r="D167" s="46"/>
      <c r="E167" s="46"/>
      <c r="F167" s="43"/>
      <c r="G167" s="32" t="str">
        <f t="shared" ca="1" si="28"/>
        <v/>
      </c>
      <c r="H167" s="32" t="str">
        <f t="shared" ca="1" si="29"/>
        <v/>
      </c>
      <c r="I167" s="33" t="str">
        <f t="shared" ca="1" si="30"/>
        <v/>
      </c>
      <c r="J167" s="53"/>
      <c r="K167" s="57"/>
      <c r="L167" s="37" t="str">
        <f t="shared" si="24"/>
        <v/>
      </c>
      <c r="M167" s="37" t="str">
        <f t="shared" ca="1" si="33"/>
        <v/>
      </c>
      <c r="N167" s="37" t="str">
        <f t="shared" si="34"/>
        <v/>
      </c>
      <c r="O167" s="37" t="str">
        <f t="shared" ca="1" si="35"/>
        <v/>
      </c>
      <c r="P167" s="37" t="str">
        <f t="shared" ca="1" si="31"/>
        <v/>
      </c>
      <c r="Q167" s="37" t="str">
        <f t="shared" ca="1" si="32"/>
        <v/>
      </c>
    </row>
    <row r="168" spans="1:17" ht="22.5" customHeight="1" x14ac:dyDescent="0.25">
      <c r="A168" s="46">
        <v>163</v>
      </c>
      <c r="B168" s="46"/>
      <c r="C168" s="46"/>
      <c r="D168" s="46"/>
      <c r="E168" s="46"/>
      <c r="F168" s="43"/>
      <c r="G168" s="32" t="str">
        <f t="shared" ca="1" si="28"/>
        <v/>
      </c>
      <c r="H168" s="32" t="str">
        <f t="shared" ca="1" si="29"/>
        <v/>
      </c>
      <c r="I168" s="33" t="str">
        <f t="shared" ca="1" si="30"/>
        <v/>
      </c>
      <c r="J168" s="53"/>
      <c r="K168" s="57"/>
      <c r="L168" s="37" t="str">
        <f t="shared" si="24"/>
        <v/>
      </c>
      <c r="M168" s="37" t="str">
        <f t="shared" ca="1" si="33"/>
        <v/>
      </c>
      <c r="N168" s="37" t="str">
        <f t="shared" si="34"/>
        <v/>
      </c>
      <c r="O168" s="37" t="str">
        <f t="shared" ca="1" si="35"/>
        <v/>
      </c>
      <c r="P168" s="37" t="str">
        <f t="shared" ca="1" si="31"/>
        <v/>
      </c>
      <c r="Q168" s="37" t="str">
        <f t="shared" ca="1" si="32"/>
        <v/>
      </c>
    </row>
    <row r="169" spans="1:17" ht="22.5" customHeight="1" x14ac:dyDescent="0.25">
      <c r="A169" s="46">
        <v>164</v>
      </c>
      <c r="B169" s="46"/>
      <c r="C169" s="46"/>
      <c r="D169" s="46"/>
      <c r="E169" s="46"/>
      <c r="F169" s="43"/>
      <c r="G169" s="32" t="str">
        <f t="shared" ca="1" si="28"/>
        <v/>
      </c>
      <c r="H169" s="32" t="str">
        <f t="shared" ca="1" si="29"/>
        <v/>
      </c>
      <c r="I169" s="33" t="str">
        <f t="shared" ca="1" si="30"/>
        <v/>
      </c>
      <c r="J169" s="53"/>
      <c r="K169" s="57"/>
      <c r="L169" s="37" t="str">
        <f t="shared" si="24"/>
        <v/>
      </c>
      <c r="M169" s="37" t="str">
        <f t="shared" ca="1" si="33"/>
        <v/>
      </c>
      <c r="N169" s="37" t="str">
        <f t="shared" si="34"/>
        <v/>
      </c>
      <c r="O169" s="37" t="str">
        <f t="shared" ca="1" si="35"/>
        <v/>
      </c>
      <c r="P169" s="37" t="str">
        <f t="shared" ca="1" si="31"/>
        <v/>
      </c>
      <c r="Q169" s="37" t="str">
        <f t="shared" ca="1" si="32"/>
        <v/>
      </c>
    </row>
    <row r="170" spans="1:17" ht="22.5" customHeight="1" x14ac:dyDescent="0.25">
      <c r="A170" s="46">
        <v>165</v>
      </c>
      <c r="B170" s="46"/>
      <c r="C170" s="46"/>
      <c r="D170" s="46"/>
      <c r="E170" s="46"/>
      <c r="F170" s="43"/>
      <c r="G170" s="32" t="str">
        <f t="shared" ca="1" si="28"/>
        <v/>
      </c>
      <c r="H170" s="32" t="str">
        <f t="shared" ca="1" si="29"/>
        <v/>
      </c>
      <c r="I170" s="33" t="str">
        <f t="shared" ca="1" si="30"/>
        <v/>
      </c>
      <c r="J170" s="53"/>
      <c r="K170" s="57"/>
      <c r="L170" s="37" t="str">
        <f t="shared" si="24"/>
        <v/>
      </c>
      <c r="M170" s="37" t="str">
        <f t="shared" ca="1" si="33"/>
        <v/>
      </c>
      <c r="N170" s="37" t="str">
        <f t="shared" si="34"/>
        <v/>
      </c>
      <c r="O170" s="37" t="str">
        <f t="shared" ca="1" si="35"/>
        <v/>
      </c>
      <c r="P170" s="37" t="str">
        <f t="shared" ca="1" si="31"/>
        <v/>
      </c>
      <c r="Q170" s="37" t="str">
        <f t="shared" ca="1" si="32"/>
        <v/>
      </c>
    </row>
    <row r="171" spans="1:17" ht="22.5" customHeight="1" x14ac:dyDescent="0.25">
      <c r="A171" s="46">
        <v>166</v>
      </c>
      <c r="B171" s="46"/>
      <c r="C171" s="46"/>
      <c r="D171" s="46"/>
      <c r="E171" s="46"/>
      <c r="F171" s="43"/>
      <c r="G171" s="32" t="str">
        <f t="shared" ca="1" si="28"/>
        <v/>
      </c>
      <c r="H171" s="32" t="str">
        <f t="shared" ca="1" si="29"/>
        <v/>
      </c>
      <c r="I171" s="33" t="str">
        <f t="shared" ca="1" si="30"/>
        <v/>
      </c>
      <c r="J171" s="53"/>
      <c r="K171" s="57"/>
      <c r="L171" s="37" t="str">
        <f t="shared" si="24"/>
        <v/>
      </c>
      <c r="M171" s="37" t="str">
        <f t="shared" ca="1" si="33"/>
        <v/>
      </c>
      <c r="N171" s="37" t="str">
        <f t="shared" si="34"/>
        <v/>
      </c>
      <c r="O171" s="37" t="str">
        <f t="shared" ca="1" si="35"/>
        <v/>
      </c>
      <c r="P171" s="37" t="str">
        <f t="shared" ca="1" si="31"/>
        <v/>
      </c>
      <c r="Q171" s="37" t="str">
        <f t="shared" ca="1" si="32"/>
        <v/>
      </c>
    </row>
    <row r="172" spans="1:17" ht="22.5" customHeight="1" x14ac:dyDescent="0.25">
      <c r="A172" s="46">
        <v>167</v>
      </c>
      <c r="B172" s="46"/>
      <c r="C172" s="46"/>
      <c r="D172" s="46"/>
      <c r="E172" s="46"/>
      <c r="F172" s="43"/>
      <c r="G172" s="32" t="str">
        <f t="shared" ca="1" si="28"/>
        <v/>
      </c>
      <c r="H172" s="32" t="str">
        <f t="shared" ca="1" si="29"/>
        <v/>
      </c>
      <c r="I172" s="33" t="str">
        <f t="shared" ca="1" si="30"/>
        <v/>
      </c>
      <c r="J172" s="53"/>
      <c r="K172" s="57"/>
      <c r="L172" s="37" t="str">
        <f t="shared" si="24"/>
        <v/>
      </c>
      <c r="M172" s="37" t="str">
        <f t="shared" ca="1" si="33"/>
        <v/>
      </c>
      <c r="N172" s="37" t="str">
        <f t="shared" si="34"/>
        <v/>
      </c>
      <c r="O172" s="37" t="str">
        <f t="shared" ca="1" si="35"/>
        <v/>
      </c>
      <c r="P172" s="37" t="str">
        <f t="shared" ca="1" si="31"/>
        <v/>
      </c>
      <c r="Q172" s="37" t="str">
        <f t="shared" ca="1" si="32"/>
        <v/>
      </c>
    </row>
    <row r="173" spans="1:17" ht="22.5" customHeight="1" x14ac:dyDescent="0.25">
      <c r="A173" s="46">
        <v>168</v>
      </c>
      <c r="B173" s="46"/>
      <c r="C173" s="46"/>
      <c r="D173" s="46"/>
      <c r="E173" s="46"/>
      <c r="F173" s="43"/>
      <c r="G173" s="32" t="str">
        <f t="shared" ca="1" si="28"/>
        <v/>
      </c>
      <c r="H173" s="32" t="str">
        <f t="shared" ca="1" si="29"/>
        <v/>
      </c>
      <c r="I173" s="33" t="str">
        <f t="shared" ca="1" si="30"/>
        <v/>
      </c>
      <c r="J173" s="53"/>
      <c r="K173" s="57"/>
      <c r="L173" s="37" t="str">
        <f t="shared" si="24"/>
        <v/>
      </c>
      <c r="M173" s="37" t="str">
        <f t="shared" ca="1" si="33"/>
        <v/>
      </c>
      <c r="N173" s="37" t="str">
        <f t="shared" si="34"/>
        <v/>
      </c>
      <c r="O173" s="37" t="str">
        <f t="shared" ca="1" si="35"/>
        <v/>
      </c>
      <c r="P173" s="37" t="str">
        <f t="shared" ca="1" si="31"/>
        <v/>
      </c>
      <c r="Q173" s="37" t="str">
        <f t="shared" ca="1" si="32"/>
        <v/>
      </c>
    </row>
    <row r="174" spans="1:17" ht="22.5" customHeight="1" x14ac:dyDescent="0.25">
      <c r="A174" s="46">
        <v>169</v>
      </c>
      <c r="B174" s="46"/>
      <c r="C174" s="46"/>
      <c r="D174" s="46"/>
      <c r="E174" s="46"/>
      <c r="F174" s="43"/>
      <c r="G174" s="32" t="str">
        <f t="shared" ca="1" si="28"/>
        <v/>
      </c>
      <c r="H174" s="32" t="str">
        <f t="shared" ca="1" si="29"/>
        <v/>
      </c>
      <c r="I174" s="33" t="str">
        <f t="shared" ca="1" si="30"/>
        <v/>
      </c>
      <c r="J174" s="53"/>
      <c r="K174" s="57"/>
      <c r="L174" s="37" t="str">
        <f t="shared" si="24"/>
        <v/>
      </c>
      <c r="M174" s="37" t="str">
        <f t="shared" ca="1" si="33"/>
        <v/>
      </c>
      <c r="N174" s="37" t="str">
        <f t="shared" si="34"/>
        <v/>
      </c>
      <c r="O174" s="37" t="str">
        <f t="shared" ca="1" si="35"/>
        <v/>
      </c>
      <c r="P174" s="37" t="str">
        <f t="shared" ca="1" si="31"/>
        <v/>
      </c>
      <c r="Q174" s="37" t="str">
        <f t="shared" ca="1" si="32"/>
        <v/>
      </c>
    </row>
    <row r="175" spans="1:17" ht="22.5" customHeight="1" x14ac:dyDescent="0.25">
      <c r="A175" s="46">
        <v>170</v>
      </c>
      <c r="B175" s="46"/>
      <c r="C175" s="46"/>
      <c r="D175" s="46"/>
      <c r="E175" s="46"/>
      <c r="F175" s="43"/>
      <c r="G175" s="32" t="str">
        <f t="shared" ca="1" si="28"/>
        <v/>
      </c>
      <c r="H175" s="32" t="str">
        <f t="shared" ca="1" si="29"/>
        <v/>
      </c>
      <c r="I175" s="33" t="str">
        <f t="shared" ca="1" si="30"/>
        <v/>
      </c>
      <c r="J175" s="53"/>
      <c r="K175" s="57"/>
      <c r="L175" s="37" t="str">
        <f t="shared" si="24"/>
        <v/>
      </c>
      <c r="M175" s="37" t="str">
        <f t="shared" ca="1" si="33"/>
        <v/>
      </c>
      <c r="N175" s="37" t="str">
        <f t="shared" si="34"/>
        <v/>
      </c>
      <c r="O175" s="37" t="str">
        <f t="shared" ca="1" si="35"/>
        <v/>
      </c>
      <c r="P175" s="37" t="str">
        <f t="shared" ca="1" si="31"/>
        <v/>
      </c>
      <c r="Q175" s="37" t="str">
        <f t="shared" ca="1" si="32"/>
        <v/>
      </c>
    </row>
    <row r="176" spans="1:17" ht="22.5" customHeight="1" x14ac:dyDescent="0.25">
      <c r="A176" s="46">
        <v>171</v>
      </c>
      <c r="B176" s="46"/>
      <c r="C176" s="46"/>
      <c r="D176" s="46"/>
      <c r="E176" s="46"/>
      <c r="F176" s="43"/>
      <c r="G176" s="32" t="str">
        <f t="shared" ca="1" si="28"/>
        <v/>
      </c>
      <c r="H176" s="32" t="str">
        <f t="shared" ca="1" si="29"/>
        <v/>
      </c>
      <c r="I176" s="33" t="str">
        <f t="shared" ca="1" si="30"/>
        <v/>
      </c>
      <c r="J176" s="53"/>
      <c r="K176" s="57"/>
      <c r="L176" s="37" t="str">
        <f t="shared" si="24"/>
        <v/>
      </c>
      <c r="M176" s="37" t="str">
        <f t="shared" ca="1" si="33"/>
        <v/>
      </c>
      <c r="N176" s="37" t="str">
        <f t="shared" si="34"/>
        <v/>
      </c>
      <c r="O176" s="37" t="str">
        <f t="shared" ca="1" si="35"/>
        <v/>
      </c>
      <c r="P176" s="37" t="str">
        <f t="shared" ca="1" si="31"/>
        <v/>
      </c>
      <c r="Q176" s="37" t="str">
        <f t="shared" ca="1" si="32"/>
        <v/>
      </c>
    </row>
    <row r="177" spans="1:17" ht="22.5" customHeight="1" x14ac:dyDescent="0.25">
      <c r="A177" s="46">
        <v>172</v>
      </c>
      <c r="B177" s="46"/>
      <c r="C177" s="46"/>
      <c r="D177" s="46"/>
      <c r="E177" s="46"/>
      <c r="F177" s="43"/>
      <c r="G177" s="32" t="str">
        <f t="shared" ca="1" si="28"/>
        <v/>
      </c>
      <c r="H177" s="32" t="str">
        <f t="shared" ca="1" si="29"/>
        <v/>
      </c>
      <c r="I177" s="33" t="str">
        <f t="shared" ca="1" si="30"/>
        <v/>
      </c>
      <c r="J177" s="53"/>
      <c r="K177" s="57"/>
      <c r="L177" s="37" t="str">
        <f t="shared" si="24"/>
        <v/>
      </c>
      <c r="M177" s="37" t="str">
        <f t="shared" ca="1" si="33"/>
        <v/>
      </c>
      <c r="N177" s="37" t="str">
        <f t="shared" si="34"/>
        <v/>
      </c>
      <c r="O177" s="37" t="str">
        <f t="shared" ca="1" si="35"/>
        <v/>
      </c>
      <c r="P177" s="37" t="str">
        <f t="shared" ca="1" si="31"/>
        <v/>
      </c>
      <c r="Q177" s="37" t="str">
        <f t="shared" ca="1" si="32"/>
        <v/>
      </c>
    </row>
    <row r="178" spans="1:17" ht="22.5" customHeight="1" x14ac:dyDescent="0.25">
      <c r="A178" s="46">
        <v>173</v>
      </c>
      <c r="B178" s="46"/>
      <c r="C178" s="46"/>
      <c r="D178" s="46"/>
      <c r="E178" s="46"/>
      <c r="F178" s="43"/>
      <c r="G178" s="32" t="str">
        <f t="shared" ca="1" si="28"/>
        <v/>
      </c>
      <c r="H178" s="32" t="str">
        <f t="shared" ca="1" si="29"/>
        <v/>
      </c>
      <c r="I178" s="33" t="str">
        <f t="shared" ca="1" si="30"/>
        <v/>
      </c>
      <c r="J178" s="53"/>
      <c r="K178" s="57"/>
      <c r="L178" s="37" t="str">
        <f t="shared" si="24"/>
        <v/>
      </c>
      <c r="M178" s="37" t="str">
        <f t="shared" ca="1" si="33"/>
        <v/>
      </c>
      <c r="N178" s="37" t="str">
        <f t="shared" si="34"/>
        <v/>
      </c>
      <c r="O178" s="37" t="str">
        <f t="shared" ca="1" si="35"/>
        <v/>
      </c>
      <c r="P178" s="37" t="str">
        <f t="shared" ca="1" si="31"/>
        <v/>
      </c>
      <c r="Q178" s="37" t="str">
        <f t="shared" ca="1" si="32"/>
        <v/>
      </c>
    </row>
    <row r="179" spans="1:17" ht="22.5" customHeight="1" x14ac:dyDescent="0.25">
      <c r="A179" s="46">
        <v>174</v>
      </c>
      <c r="B179" s="46"/>
      <c r="C179" s="46"/>
      <c r="D179" s="46"/>
      <c r="E179" s="46"/>
      <c r="F179" s="43"/>
      <c r="G179" s="32" t="str">
        <f t="shared" ca="1" si="28"/>
        <v/>
      </c>
      <c r="H179" s="32" t="str">
        <f t="shared" ca="1" si="29"/>
        <v/>
      </c>
      <c r="I179" s="33" t="str">
        <f t="shared" ca="1" si="30"/>
        <v/>
      </c>
      <c r="J179" s="53"/>
      <c r="K179" s="57"/>
      <c r="L179" s="37" t="str">
        <f t="shared" si="24"/>
        <v/>
      </c>
      <c r="M179" s="37" t="str">
        <f t="shared" ca="1" si="33"/>
        <v/>
      </c>
      <c r="N179" s="37" t="str">
        <f t="shared" si="34"/>
        <v/>
      </c>
      <c r="O179" s="37" t="str">
        <f t="shared" ca="1" si="35"/>
        <v/>
      </c>
      <c r="P179" s="37" t="str">
        <f t="shared" ca="1" si="31"/>
        <v/>
      </c>
      <c r="Q179" s="37" t="str">
        <f t="shared" ca="1" si="32"/>
        <v/>
      </c>
    </row>
    <row r="180" spans="1:17" ht="22.5" customHeight="1" x14ac:dyDescent="0.25">
      <c r="A180" s="46">
        <v>175</v>
      </c>
      <c r="B180" s="46"/>
      <c r="C180" s="46"/>
      <c r="D180" s="46"/>
      <c r="E180" s="46"/>
      <c r="F180" s="43"/>
      <c r="G180" s="32" t="str">
        <f t="shared" ca="1" si="28"/>
        <v/>
      </c>
      <c r="H180" s="32" t="str">
        <f t="shared" ca="1" si="29"/>
        <v/>
      </c>
      <c r="I180" s="33" t="str">
        <f t="shared" ca="1" si="30"/>
        <v/>
      </c>
      <c r="J180" s="53"/>
      <c r="K180" s="57"/>
      <c r="L180" s="37" t="str">
        <f t="shared" si="24"/>
        <v/>
      </c>
      <c r="M180" s="37" t="str">
        <f t="shared" ca="1" si="33"/>
        <v/>
      </c>
      <c r="N180" s="37" t="str">
        <f t="shared" si="34"/>
        <v/>
      </c>
      <c r="O180" s="37" t="str">
        <f t="shared" ca="1" si="35"/>
        <v/>
      </c>
      <c r="P180" s="37" t="str">
        <f t="shared" ca="1" si="31"/>
        <v/>
      </c>
      <c r="Q180" s="37" t="str">
        <f t="shared" ca="1" si="32"/>
        <v/>
      </c>
    </row>
    <row r="181" spans="1:17" ht="22.5" customHeight="1" x14ac:dyDescent="0.25">
      <c r="A181" s="46">
        <v>176</v>
      </c>
      <c r="B181" s="46"/>
      <c r="C181" s="46"/>
      <c r="D181" s="46"/>
      <c r="E181" s="46"/>
      <c r="F181" s="43"/>
      <c r="G181" s="32" t="str">
        <f t="shared" ca="1" si="28"/>
        <v/>
      </c>
      <c r="H181" s="32" t="str">
        <f t="shared" ca="1" si="29"/>
        <v/>
      </c>
      <c r="I181" s="33" t="str">
        <f t="shared" ca="1" si="30"/>
        <v/>
      </c>
      <c r="J181" s="53"/>
      <c r="K181" s="57"/>
      <c r="L181" s="37" t="str">
        <f t="shared" si="24"/>
        <v/>
      </c>
      <c r="M181" s="37" t="str">
        <f t="shared" ca="1" si="33"/>
        <v/>
      </c>
      <c r="N181" s="37" t="str">
        <f t="shared" si="34"/>
        <v/>
      </c>
      <c r="O181" s="37" t="str">
        <f t="shared" ca="1" si="35"/>
        <v/>
      </c>
      <c r="P181" s="37" t="str">
        <f t="shared" ca="1" si="31"/>
        <v/>
      </c>
      <c r="Q181" s="37" t="str">
        <f t="shared" ca="1" si="32"/>
        <v/>
      </c>
    </row>
    <row r="182" spans="1:17" ht="22.5" customHeight="1" x14ac:dyDescent="0.25">
      <c r="A182" s="46">
        <v>177</v>
      </c>
      <c r="B182" s="46"/>
      <c r="C182" s="46"/>
      <c r="D182" s="46"/>
      <c r="E182" s="46"/>
      <c r="F182" s="43"/>
      <c r="G182" s="32" t="str">
        <f t="shared" ca="1" si="28"/>
        <v/>
      </c>
      <c r="H182" s="32" t="str">
        <f t="shared" ca="1" si="29"/>
        <v/>
      </c>
      <c r="I182" s="33" t="str">
        <f t="shared" ca="1" si="30"/>
        <v/>
      </c>
      <c r="J182" s="53"/>
      <c r="K182" s="57"/>
      <c r="L182" s="37" t="str">
        <f t="shared" si="24"/>
        <v/>
      </c>
      <c r="M182" s="37" t="str">
        <f t="shared" ca="1" si="33"/>
        <v/>
      </c>
      <c r="N182" s="37" t="str">
        <f t="shared" si="34"/>
        <v/>
      </c>
      <c r="O182" s="37" t="str">
        <f t="shared" ca="1" si="35"/>
        <v/>
      </c>
      <c r="P182" s="37" t="str">
        <f t="shared" ca="1" si="31"/>
        <v/>
      </c>
      <c r="Q182" s="37" t="str">
        <f t="shared" ca="1" si="32"/>
        <v/>
      </c>
    </row>
    <row r="183" spans="1:17" ht="22.5" customHeight="1" x14ac:dyDescent="0.25">
      <c r="A183" s="46">
        <v>178</v>
      </c>
      <c r="B183" s="46"/>
      <c r="C183" s="46"/>
      <c r="D183" s="46"/>
      <c r="E183" s="46"/>
      <c r="F183" s="43"/>
      <c r="G183" s="32" t="str">
        <f t="shared" ca="1" si="28"/>
        <v/>
      </c>
      <c r="H183" s="32" t="str">
        <f t="shared" ca="1" si="29"/>
        <v/>
      </c>
      <c r="I183" s="33" t="str">
        <f t="shared" ca="1" si="30"/>
        <v/>
      </c>
      <c r="J183" s="53"/>
      <c r="K183" s="57"/>
      <c r="L183" s="37" t="str">
        <f t="shared" si="24"/>
        <v/>
      </c>
      <c r="M183" s="37" t="str">
        <f t="shared" ca="1" si="33"/>
        <v/>
      </c>
      <c r="N183" s="37" t="str">
        <f t="shared" si="34"/>
        <v/>
      </c>
      <c r="O183" s="37" t="str">
        <f t="shared" ca="1" si="35"/>
        <v/>
      </c>
      <c r="P183" s="37" t="str">
        <f t="shared" ca="1" si="31"/>
        <v/>
      </c>
      <c r="Q183" s="37" t="str">
        <f t="shared" ca="1" si="32"/>
        <v/>
      </c>
    </row>
    <row r="184" spans="1:17" ht="22.5" customHeight="1" x14ac:dyDescent="0.25">
      <c r="A184" s="46">
        <v>179</v>
      </c>
      <c r="B184" s="46"/>
      <c r="C184" s="46"/>
      <c r="D184" s="46"/>
      <c r="E184" s="46"/>
      <c r="F184" s="43"/>
      <c r="G184" s="32" t="str">
        <f t="shared" ca="1" si="28"/>
        <v/>
      </c>
      <c r="H184" s="32" t="str">
        <f t="shared" ca="1" si="29"/>
        <v/>
      </c>
      <c r="I184" s="33" t="str">
        <f t="shared" ca="1" si="30"/>
        <v/>
      </c>
      <c r="J184" s="53"/>
      <c r="K184" s="57"/>
      <c r="L184" s="37" t="str">
        <f t="shared" si="24"/>
        <v/>
      </c>
      <c r="M184" s="37" t="str">
        <f t="shared" ca="1" si="33"/>
        <v/>
      </c>
      <c r="N184" s="37" t="str">
        <f t="shared" si="34"/>
        <v/>
      </c>
      <c r="O184" s="37" t="str">
        <f t="shared" ca="1" si="35"/>
        <v/>
      </c>
      <c r="P184" s="37" t="str">
        <f t="shared" ca="1" si="31"/>
        <v/>
      </c>
      <c r="Q184" s="37" t="str">
        <f t="shared" ca="1" si="32"/>
        <v/>
      </c>
    </row>
    <row r="185" spans="1:17" ht="22.5" customHeight="1" x14ac:dyDescent="0.25">
      <c r="A185" s="46">
        <v>180</v>
      </c>
      <c r="B185" s="46"/>
      <c r="C185" s="46"/>
      <c r="D185" s="46"/>
      <c r="E185" s="46"/>
      <c r="F185" s="43"/>
      <c r="G185" s="32" t="str">
        <f t="shared" ca="1" si="28"/>
        <v/>
      </c>
      <c r="H185" s="32" t="str">
        <f t="shared" ca="1" si="29"/>
        <v/>
      </c>
      <c r="I185" s="33" t="str">
        <f t="shared" ca="1" si="30"/>
        <v/>
      </c>
      <c r="J185" s="53"/>
      <c r="K185" s="57"/>
      <c r="L185" s="37" t="str">
        <f t="shared" si="24"/>
        <v/>
      </c>
      <c r="M185" s="37" t="str">
        <f t="shared" ca="1" si="33"/>
        <v/>
      </c>
      <c r="N185" s="37" t="str">
        <f t="shared" si="34"/>
        <v/>
      </c>
      <c r="O185" s="37" t="str">
        <f t="shared" ca="1" si="35"/>
        <v/>
      </c>
      <c r="P185" s="37" t="str">
        <f t="shared" ca="1" si="31"/>
        <v/>
      </c>
      <c r="Q185" s="37" t="str">
        <f t="shared" ca="1" si="32"/>
        <v/>
      </c>
    </row>
    <row r="186" spans="1:17" ht="22.5" customHeight="1" x14ac:dyDescent="0.25">
      <c r="A186" s="46">
        <v>181</v>
      </c>
      <c r="B186" s="46"/>
      <c r="C186" s="46"/>
      <c r="D186" s="46"/>
      <c r="E186" s="46"/>
      <c r="F186" s="43"/>
      <c r="G186" s="32" t="str">
        <f t="shared" ca="1" si="28"/>
        <v/>
      </c>
      <c r="H186" s="32" t="str">
        <f t="shared" ca="1" si="29"/>
        <v/>
      </c>
      <c r="I186" s="33" t="str">
        <f t="shared" ca="1" si="30"/>
        <v/>
      </c>
      <c r="J186" s="53"/>
      <c r="K186" s="57"/>
      <c r="L186" s="37" t="str">
        <f t="shared" si="24"/>
        <v/>
      </c>
      <c r="M186" s="37" t="str">
        <f t="shared" ca="1" si="33"/>
        <v/>
      </c>
      <c r="N186" s="37" t="str">
        <f t="shared" si="34"/>
        <v/>
      </c>
      <c r="O186" s="37" t="str">
        <f t="shared" ca="1" si="35"/>
        <v/>
      </c>
      <c r="P186" s="37" t="str">
        <f t="shared" ca="1" si="31"/>
        <v/>
      </c>
      <c r="Q186" s="37" t="str">
        <f t="shared" ca="1" si="32"/>
        <v/>
      </c>
    </row>
    <row r="187" spans="1:17" ht="22.5" customHeight="1" x14ac:dyDescent="0.25">
      <c r="A187" s="46">
        <v>182</v>
      </c>
      <c r="B187" s="46"/>
      <c r="C187" s="46"/>
      <c r="D187" s="46"/>
      <c r="E187" s="46"/>
      <c r="F187" s="43"/>
      <c r="G187" s="32" t="str">
        <f t="shared" ca="1" si="28"/>
        <v/>
      </c>
      <c r="H187" s="32" t="str">
        <f t="shared" ca="1" si="29"/>
        <v/>
      </c>
      <c r="I187" s="33" t="str">
        <f t="shared" ca="1" si="30"/>
        <v/>
      </c>
      <c r="J187" s="53"/>
      <c r="K187" s="57"/>
      <c r="L187" s="37" t="str">
        <f t="shared" si="24"/>
        <v/>
      </c>
      <c r="M187" s="37" t="str">
        <f t="shared" ca="1" si="33"/>
        <v/>
      </c>
      <c r="N187" s="37" t="str">
        <f t="shared" si="34"/>
        <v/>
      </c>
      <c r="O187" s="37" t="str">
        <f t="shared" ca="1" si="35"/>
        <v/>
      </c>
      <c r="P187" s="37" t="str">
        <f t="shared" ca="1" si="31"/>
        <v/>
      </c>
      <c r="Q187" s="37" t="str">
        <f t="shared" ca="1" si="32"/>
        <v/>
      </c>
    </row>
    <row r="188" spans="1:17" ht="22.5" customHeight="1" x14ac:dyDescent="0.25">
      <c r="A188" s="46">
        <v>183</v>
      </c>
      <c r="B188" s="46"/>
      <c r="C188" s="46"/>
      <c r="D188" s="46"/>
      <c r="E188" s="46"/>
      <c r="F188" s="43"/>
      <c r="G188" s="32" t="str">
        <f t="shared" ca="1" si="28"/>
        <v/>
      </c>
      <c r="H188" s="32" t="str">
        <f t="shared" ca="1" si="29"/>
        <v/>
      </c>
      <c r="I188" s="33" t="str">
        <f t="shared" ca="1" si="30"/>
        <v/>
      </c>
      <c r="J188" s="53"/>
      <c r="K188" s="57"/>
      <c r="L188" s="37" t="str">
        <f t="shared" si="24"/>
        <v/>
      </c>
      <c r="M188" s="37" t="str">
        <f t="shared" ca="1" si="33"/>
        <v/>
      </c>
      <c r="N188" s="37" t="str">
        <f t="shared" si="34"/>
        <v/>
      </c>
      <c r="O188" s="37" t="str">
        <f t="shared" ca="1" si="35"/>
        <v/>
      </c>
      <c r="P188" s="37" t="str">
        <f t="shared" ca="1" si="31"/>
        <v/>
      </c>
      <c r="Q188" s="37" t="str">
        <f t="shared" ca="1" si="32"/>
        <v/>
      </c>
    </row>
    <row r="189" spans="1:17" ht="22.5" customHeight="1" x14ac:dyDescent="0.25">
      <c r="A189" s="46">
        <v>184</v>
      </c>
      <c r="B189" s="46"/>
      <c r="C189" s="46"/>
      <c r="D189" s="46"/>
      <c r="E189" s="46"/>
      <c r="F189" s="43"/>
      <c r="G189" s="32" t="str">
        <f t="shared" ca="1" si="28"/>
        <v/>
      </c>
      <c r="H189" s="32" t="str">
        <f t="shared" ca="1" si="29"/>
        <v/>
      </c>
      <c r="I189" s="33" t="str">
        <f t="shared" ca="1" si="30"/>
        <v/>
      </c>
      <c r="J189" s="53"/>
      <c r="K189" s="57"/>
      <c r="L189" s="37" t="str">
        <f t="shared" si="24"/>
        <v/>
      </c>
      <c r="M189" s="37" t="str">
        <f t="shared" ca="1" si="33"/>
        <v/>
      </c>
      <c r="N189" s="37" t="str">
        <f t="shared" si="34"/>
        <v/>
      </c>
      <c r="O189" s="37" t="str">
        <f t="shared" ca="1" si="35"/>
        <v/>
      </c>
      <c r="P189" s="37" t="str">
        <f t="shared" ca="1" si="31"/>
        <v/>
      </c>
      <c r="Q189" s="37" t="str">
        <f t="shared" ca="1" si="32"/>
        <v/>
      </c>
    </row>
    <row r="190" spans="1:17" ht="22.5" customHeight="1" x14ac:dyDescent="0.25">
      <c r="A190" s="46">
        <v>185</v>
      </c>
      <c r="B190" s="46"/>
      <c r="C190" s="46"/>
      <c r="D190" s="46"/>
      <c r="E190" s="46"/>
      <c r="F190" s="43"/>
      <c r="G190" s="32" t="str">
        <f t="shared" ca="1" si="28"/>
        <v/>
      </c>
      <c r="H190" s="32" t="str">
        <f t="shared" ca="1" si="29"/>
        <v/>
      </c>
      <c r="I190" s="33" t="str">
        <f t="shared" ca="1" si="30"/>
        <v/>
      </c>
      <c r="J190" s="53"/>
      <c r="K190" s="57"/>
      <c r="L190" s="37" t="str">
        <f t="shared" si="24"/>
        <v/>
      </c>
      <c r="M190" s="37" t="str">
        <f t="shared" ca="1" si="33"/>
        <v/>
      </c>
      <c r="N190" s="37" t="str">
        <f t="shared" si="34"/>
        <v/>
      </c>
      <c r="O190" s="37" t="str">
        <f t="shared" ca="1" si="35"/>
        <v/>
      </c>
      <c r="P190" s="37" t="str">
        <f t="shared" ca="1" si="31"/>
        <v/>
      </c>
      <c r="Q190" s="37" t="str">
        <f t="shared" ca="1" si="32"/>
        <v/>
      </c>
    </row>
    <row r="191" spans="1:17" ht="22.5" customHeight="1" x14ac:dyDescent="0.25">
      <c r="A191" s="46">
        <v>186</v>
      </c>
      <c r="B191" s="46"/>
      <c r="C191" s="46"/>
      <c r="D191" s="46"/>
      <c r="E191" s="46"/>
      <c r="F191" s="43"/>
      <c r="G191" s="32" t="str">
        <f t="shared" ca="1" si="28"/>
        <v/>
      </c>
      <c r="H191" s="32" t="str">
        <f t="shared" ca="1" si="29"/>
        <v/>
      </c>
      <c r="I191" s="33" t="str">
        <f t="shared" ca="1" si="30"/>
        <v/>
      </c>
      <c r="J191" s="53"/>
      <c r="K191" s="57"/>
      <c r="L191" s="37" t="str">
        <f t="shared" si="24"/>
        <v/>
      </c>
      <c r="M191" s="37" t="str">
        <f t="shared" ca="1" si="33"/>
        <v/>
      </c>
      <c r="N191" s="37" t="str">
        <f t="shared" si="34"/>
        <v/>
      </c>
      <c r="O191" s="37" t="str">
        <f t="shared" ca="1" si="35"/>
        <v/>
      </c>
      <c r="P191" s="37" t="str">
        <f t="shared" ca="1" si="31"/>
        <v/>
      </c>
      <c r="Q191" s="37" t="str">
        <f t="shared" ca="1" si="32"/>
        <v/>
      </c>
    </row>
    <row r="192" spans="1:17" ht="22.5" customHeight="1" x14ac:dyDescent="0.25">
      <c r="A192" s="46">
        <v>187</v>
      </c>
      <c r="B192" s="46"/>
      <c r="C192" s="46"/>
      <c r="D192" s="46"/>
      <c r="E192" s="46"/>
      <c r="F192" s="43"/>
      <c r="G192" s="32" t="str">
        <f t="shared" ca="1" si="28"/>
        <v/>
      </c>
      <c r="H192" s="32" t="str">
        <f t="shared" ca="1" si="29"/>
        <v/>
      </c>
      <c r="I192" s="33" t="str">
        <f t="shared" ca="1" si="30"/>
        <v/>
      </c>
      <c r="J192" s="53"/>
      <c r="K192" s="57"/>
      <c r="L192" s="37" t="str">
        <f t="shared" si="24"/>
        <v/>
      </c>
      <c r="M192" s="37" t="str">
        <f t="shared" ca="1" si="33"/>
        <v/>
      </c>
      <c r="N192" s="37" t="str">
        <f t="shared" si="34"/>
        <v/>
      </c>
      <c r="O192" s="37" t="str">
        <f t="shared" ca="1" si="35"/>
        <v/>
      </c>
      <c r="P192" s="37" t="str">
        <f t="shared" ca="1" si="31"/>
        <v/>
      </c>
      <c r="Q192" s="37" t="str">
        <f t="shared" ca="1" si="32"/>
        <v/>
      </c>
    </row>
    <row r="193" spans="1:17" ht="22.5" customHeight="1" x14ac:dyDescent="0.25">
      <c r="A193" s="46">
        <v>188</v>
      </c>
      <c r="B193" s="46"/>
      <c r="C193" s="46"/>
      <c r="D193" s="46"/>
      <c r="E193" s="46"/>
      <c r="F193" s="43"/>
      <c r="G193" s="32" t="str">
        <f t="shared" ca="1" si="28"/>
        <v/>
      </c>
      <c r="H193" s="32" t="str">
        <f t="shared" ca="1" si="29"/>
        <v/>
      </c>
      <c r="I193" s="33" t="str">
        <f t="shared" ca="1" si="30"/>
        <v/>
      </c>
      <c r="J193" s="53"/>
      <c r="K193" s="57"/>
      <c r="L193" s="37" t="str">
        <f t="shared" si="24"/>
        <v/>
      </c>
      <c r="M193" s="37" t="str">
        <f t="shared" ca="1" si="33"/>
        <v/>
      </c>
      <c r="N193" s="37" t="str">
        <f t="shared" si="34"/>
        <v/>
      </c>
      <c r="O193" s="37" t="str">
        <f t="shared" ca="1" si="35"/>
        <v/>
      </c>
      <c r="P193" s="37" t="str">
        <f t="shared" ca="1" si="31"/>
        <v/>
      </c>
      <c r="Q193" s="37" t="str">
        <f t="shared" ca="1" si="32"/>
        <v/>
      </c>
    </row>
    <row r="194" spans="1:17" ht="22.5" customHeight="1" x14ac:dyDescent="0.25">
      <c r="A194" s="46">
        <v>189</v>
      </c>
      <c r="B194" s="46"/>
      <c r="C194" s="46"/>
      <c r="D194" s="46"/>
      <c r="E194" s="46"/>
      <c r="F194" s="43"/>
      <c r="G194" s="32" t="str">
        <f t="shared" ca="1" si="28"/>
        <v/>
      </c>
      <c r="H194" s="32" t="str">
        <f t="shared" ca="1" si="29"/>
        <v/>
      </c>
      <c r="I194" s="33" t="str">
        <f t="shared" ca="1" si="30"/>
        <v/>
      </c>
      <c r="J194" s="53"/>
      <c r="K194" s="57"/>
      <c r="L194" s="37" t="str">
        <f t="shared" si="24"/>
        <v/>
      </c>
      <c r="M194" s="37" t="str">
        <f t="shared" ca="1" si="33"/>
        <v/>
      </c>
      <c r="N194" s="37" t="str">
        <f t="shared" si="34"/>
        <v/>
      </c>
      <c r="O194" s="37" t="str">
        <f t="shared" ca="1" si="35"/>
        <v/>
      </c>
      <c r="P194" s="37" t="str">
        <f t="shared" ca="1" si="31"/>
        <v/>
      </c>
      <c r="Q194" s="37" t="str">
        <f t="shared" ca="1" si="32"/>
        <v/>
      </c>
    </row>
    <row r="195" spans="1:17" ht="22.5" customHeight="1" x14ac:dyDescent="0.25">
      <c r="A195" s="46">
        <v>190</v>
      </c>
      <c r="B195" s="46"/>
      <c r="C195" s="46"/>
      <c r="D195" s="46"/>
      <c r="E195" s="46"/>
      <c r="F195" s="43"/>
      <c r="G195" s="32" t="str">
        <f t="shared" ca="1" si="28"/>
        <v/>
      </c>
      <c r="H195" s="32" t="str">
        <f t="shared" ca="1" si="29"/>
        <v/>
      </c>
      <c r="I195" s="33" t="str">
        <f t="shared" ca="1" si="30"/>
        <v/>
      </c>
      <c r="J195" s="53"/>
      <c r="K195" s="57"/>
      <c r="L195" s="37" t="str">
        <f t="shared" si="24"/>
        <v/>
      </c>
      <c r="M195" s="37" t="str">
        <f t="shared" ca="1" si="33"/>
        <v/>
      </c>
      <c r="N195" s="37" t="str">
        <f t="shared" si="34"/>
        <v/>
      </c>
      <c r="O195" s="37" t="str">
        <f t="shared" ca="1" si="35"/>
        <v/>
      </c>
      <c r="P195" s="37" t="str">
        <f t="shared" ca="1" si="31"/>
        <v/>
      </c>
      <c r="Q195" s="37" t="str">
        <f t="shared" ca="1" si="32"/>
        <v/>
      </c>
    </row>
    <row r="196" spans="1:17" ht="22.5" customHeight="1" x14ac:dyDescent="0.25">
      <c r="A196" s="46">
        <v>191</v>
      </c>
      <c r="B196" s="46"/>
      <c r="C196" s="46"/>
      <c r="D196" s="46"/>
      <c r="E196" s="46"/>
      <c r="F196" s="43"/>
      <c r="G196" s="32" t="str">
        <f t="shared" ca="1" si="28"/>
        <v/>
      </c>
      <c r="H196" s="32" t="str">
        <f t="shared" ca="1" si="29"/>
        <v/>
      </c>
      <c r="I196" s="33" t="str">
        <f t="shared" ca="1" si="30"/>
        <v/>
      </c>
      <c r="J196" s="53"/>
      <c r="K196" s="57"/>
      <c r="L196" s="37" t="str">
        <f t="shared" si="24"/>
        <v/>
      </c>
      <c r="M196" s="37" t="str">
        <f t="shared" ca="1" si="33"/>
        <v/>
      </c>
      <c r="N196" s="37" t="str">
        <f t="shared" si="34"/>
        <v/>
      </c>
      <c r="O196" s="37" t="str">
        <f t="shared" ca="1" si="35"/>
        <v/>
      </c>
      <c r="P196" s="37" t="str">
        <f t="shared" ca="1" si="31"/>
        <v/>
      </c>
      <c r="Q196" s="37" t="str">
        <f t="shared" ca="1" si="32"/>
        <v/>
      </c>
    </row>
    <row r="197" spans="1:17" ht="22.5" customHeight="1" x14ac:dyDescent="0.25">
      <c r="A197" s="46">
        <v>192</v>
      </c>
      <c r="B197" s="46"/>
      <c r="C197" s="46"/>
      <c r="D197" s="46"/>
      <c r="E197" s="46"/>
      <c r="F197" s="43"/>
      <c r="G197" s="32" t="str">
        <f t="shared" ca="1" si="28"/>
        <v/>
      </c>
      <c r="H197" s="32" t="str">
        <f t="shared" ca="1" si="29"/>
        <v/>
      </c>
      <c r="I197" s="33" t="str">
        <f t="shared" ca="1" si="30"/>
        <v/>
      </c>
      <c r="J197" s="53"/>
      <c r="K197" s="57"/>
      <c r="L197" s="37" t="str">
        <f t="shared" si="24"/>
        <v/>
      </c>
      <c r="M197" s="37" t="str">
        <f t="shared" ca="1" si="33"/>
        <v/>
      </c>
      <c r="N197" s="37" t="str">
        <f t="shared" si="34"/>
        <v/>
      </c>
      <c r="O197" s="37" t="str">
        <f t="shared" ca="1" si="35"/>
        <v/>
      </c>
      <c r="P197" s="37" t="str">
        <f t="shared" ca="1" si="31"/>
        <v/>
      </c>
      <c r="Q197" s="37" t="str">
        <f t="shared" ca="1" si="32"/>
        <v/>
      </c>
    </row>
    <row r="198" spans="1:17" ht="22.5" customHeight="1" x14ac:dyDescent="0.25">
      <c r="A198" s="46">
        <v>193</v>
      </c>
      <c r="B198" s="46"/>
      <c r="C198" s="46"/>
      <c r="D198" s="46"/>
      <c r="E198" s="46"/>
      <c r="F198" s="43"/>
      <c r="G198" s="32" t="str">
        <f t="shared" ca="1" si="28"/>
        <v/>
      </c>
      <c r="H198" s="32" t="str">
        <f t="shared" ca="1" si="29"/>
        <v/>
      </c>
      <c r="I198" s="33" t="str">
        <f t="shared" ca="1" si="30"/>
        <v/>
      </c>
      <c r="J198" s="53"/>
      <c r="K198" s="57"/>
      <c r="L198" s="37" t="str">
        <f t="shared" ref="L198:L205" si="36">IF(J198="","",J198*$L$5)</f>
        <v/>
      </c>
      <c r="M198" s="37" t="str">
        <f t="shared" ref="M198:M205" ca="1" si="37">IF(I198="","",J198+P198)</f>
        <v/>
      </c>
      <c r="N198" s="37" t="str">
        <f t="shared" ref="N198:N205" si="38">IF(K198="","",K198*$N$5)</f>
        <v/>
      </c>
      <c r="O198" s="37" t="str">
        <f t="shared" ref="O198:O205" ca="1" si="39">IF(I198="","",K198+Q198)</f>
        <v/>
      </c>
      <c r="P198" s="37" t="str">
        <f t="shared" ca="1" si="31"/>
        <v/>
      </c>
      <c r="Q198" s="37" t="str">
        <f t="shared" ca="1" si="32"/>
        <v/>
      </c>
    </row>
    <row r="199" spans="1:17" ht="22.5" customHeight="1" x14ac:dyDescent="0.25">
      <c r="A199" s="46">
        <v>194</v>
      </c>
      <c r="B199" s="46"/>
      <c r="C199" s="46"/>
      <c r="D199" s="46"/>
      <c r="E199" s="46"/>
      <c r="F199" s="43"/>
      <c r="G199" s="32" t="str">
        <f t="shared" ref="G199:G205" ca="1" si="40">IF(F199="","",DATEDIF(F199,TODAY(),"m"))</f>
        <v/>
      </c>
      <c r="H199" s="32" t="str">
        <f t="shared" ref="H199:H205" ca="1" si="41">IF(G199="","",IF(G199&gt;=12,12,G199))</f>
        <v/>
      </c>
      <c r="I199" s="33" t="str">
        <f t="shared" ref="I199:I205" ca="1" si="42">IF(H199="","",H199/12)</f>
        <v/>
      </c>
      <c r="J199" s="53"/>
      <c r="K199" s="57"/>
      <c r="L199" s="37" t="str">
        <f t="shared" si="36"/>
        <v/>
      </c>
      <c r="M199" s="37" t="str">
        <f t="shared" ca="1" si="37"/>
        <v/>
      </c>
      <c r="N199" s="37" t="str">
        <f t="shared" si="38"/>
        <v/>
      </c>
      <c r="O199" s="37" t="str">
        <f t="shared" ca="1" si="39"/>
        <v/>
      </c>
      <c r="P199" s="37" t="str">
        <f t="shared" ref="P199:P205" ca="1" si="43">IF(H199&lt;6,0,IF(I199="","",L199*I199))</f>
        <v/>
      </c>
      <c r="Q199" s="37" t="str">
        <f t="shared" ref="Q199:Q205" ca="1" si="44">IF(H199&lt;6,0,IF(I199="","",N199*I199))</f>
        <v/>
      </c>
    </row>
    <row r="200" spans="1:17" ht="22.5" customHeight="1" x14ac:dyDescent="0.25">
      <c r="A200" s="46">
        <v>195</v>
      </c>
      <c r="B200" s="46"/>
      <c r="C200" s="46"/>
      <c r="D200" s="46"/>
      <c r="E200" s="46"/>
      <c r="F200" s="43"/>
      <c r="G200" s="32" t="str">
        <f t="shared" ca="1" si="40"/>
        <v/>
      </c>
      <c r="H200" s="32" t="str">
        <f t="shared" ca="1" si="41"/>
        <v/>
      </c>
      <c r="I200" s="33" t="str">
        <f t="shared" ca="1" si="42"/>
        <v/>
      </c>
      <c r="J200" s="53"/>
      <c r="K200" s="57"/>
      <c r="L200" s="37" t="str">
        <f t="shared" si="36"/>
        <v/>
      </c>
      <c r="M200" s="37" t="str">
        <f t="shared" ca="1" si="37"/>
        <v/>
      </c>
      <c r="N200" s="37" t="str">
        <f t="shared" si="38"/>
        <v/>
      </c>
      <c r="O200" s="37" t="str">
        <f t="shared" ca="1" si="39"/>
        <v/>
      </c>
      <c r="P200" s="37" t="str">
        <f t="shared" ca="1" si="43"/>
        <v/>
      </c>
      <c r="Q200" s="37" t="str">
        <f t="shared" ca="1" si="44"/>
        <v/>
      </c>
    </row>
    <row r="201" spans="1:17" ht="22.5" customHeight="1" x14ac:dyDescent="0.25">
      <c r="A201" s="46">
        <v>196</v>
      </c>
      <c r="B201" s="46"/>
      <c r="C201" s="46"/>
      <c r="D201" s="46"/>
      <c r="E201" s="46"/>
      <c r="F201" s="43"/>
      <c r="G201" s="32" t="str">
        <f t="shared" ca="1" si="40"/>
        <v/>
      </c>
      <c r="H201" s="32" t="str">
        <f t="shared" ca="1" si="41"/>
        <v/>
      </c>
      <c r="I201" s="33" t="str">
        <f t="shared" ca="1" si="42"/>
        <v/>
      </c>
      <c r="J201" s="53"/>
      <c r="K201" s="57"/>
      <c r="L201" s="37" t="str">
        <f t="shared" si="36"/>
        <v/>
      </c>
      <c r="M201" s="37" t="str">
        <f t="shared" ca="1" si="37"/>
        <v/>
      </c>
      <c r="N201" s="37" t="str">
        <f t="shared" si="38"/>
        <v/>
      </c>
      <c r="O201" s="37" t="str">
        <f t="shared" ca="1" si="39"/>
        <v/>
      </c>
      <c r="P201" s="37" t="str">
        <f t="shared" ca="1" si="43"/>
        <v/>
      </c>
      <c r="Q201" s="37" t="str">
        <f t="shared" ca="1" si="44"/>
        <v/>
      </c>
    </row>
    <row r="202" spans="1:17" ht="22.5" customHeight="1" x14ac:dyDescent="0.25">
      <c r="A202" s="46">
        <v>197</v>
      </c>
      <c r="B202" s="46"/>
      <c r="C202" s="46"/>
      <c r="D202" s="46"/>
      <c r="E202" s="46"/>
      <c r="F202" s="43"/>
      <c r="G202" s="32" t="str">
        <f t="shared" ca="1" si="40"/>
        <v/>
      </c>
      <c r="H202" s="32" t="str">
        <f t="shared" ca="1" si="41"/>
        <v/>
      </c>
      <c r="I202" s="33" t="str">
        <f t="shared" ca="1" si="42"/>
        <v/>
      </c>
      <c r="J202" s="53"/>
      <c r="K202" s="57"/>
      <c r="L202" s="37" t="str">
        <f t="shared" si="36"/>
        <v/>
      </c>
      <c r="M202" s="37" t="str">
        <f t="shared" ca="1" si="37"/>
        <v/>
      </c>
      <c r="N202" s="37" t="str">
        <f t="shared" si="38"/>
        <v/>
      </c>
      <c r="O202" s="37" t="str">
        <f t="shared" ca="1" si="39"/>
        <v/>
      </c>
      <c r="P202" s="37" t="str">
        <f t="shared" ca="1" si="43"/>
        <v/>
      </c>
      <c r="Q202" s="37" t="str">
        <f t="shared" ca="1" si="44"/>
        <v/>
      </c>
    </row>
    <row r="203" spans="1:17" ht="22.5" customHeight="1" x14ac:dyDescent="0.25">
      <c r="A203" s="46">
        <v>198</v>
      </c>
      <c r="B203" s="46"/>
      <c r="C203" s="46"/>
      <c r="D203" s="46"/>
      <c r="E203" s="46"/>
      <c r="F203" s="43"/>
      <c r="G203" s="32" t="str">
        <f t="shared" ca="1" si="40"/>
        <v/>
      </c>
      <c r="H203" s="32" t="str">
        <f t="shared" ca="1" si="41"/>
        <v/>
      </c>
      <c r="I203" s="33" t="str">
        <f t="shared" ca="1" si="42"/>
        <v/>
      </c>
      <c r="J203" s="53"/>
      <c r="K203" s="57"/>
      <c r="L203" s="37" t="str">
        <f t="shared" si="36"/>
        <v/>
      </c>
      <c r="M203" s="37" t="str">
        <f t="shared" ca="1" si="37"/>
        <v/>
      </c>
      <c r="N203" s="37" t="str">
        <f t="shared" si="38"/>
        <v/>
      </c>
      <c r="O203" s="37" t="str">
        <f t="shared" ca="1" si="39"/>
        <v/>
      </c>
      <c r="P203" s="37" t="str">
        <f t="shared" ca="1" si="43"/>
        <v/>
      </c>
      <c r="Q203" s="37" t="str">
        <f t="shared" ca="1" si="44"/>
        <v/>
      </c>
    </row>
    <row r="204" spans="1:17" ht="22.5" customHeight="1" x14ac:dyDescent="0.25">
      <c r="A204" s="46">
        <v>199</v>
      </c>
      <c r="B204" s="46"/>
      <c r="C204" s="46"/>
      <c r="D204" s="46"/>
      <c r="E204" s="46"/>
      <c r="F204" s="43"/>
      <c r="G204" s="32" t="str">
        <f t="shared" ca="1" si="40"/>
        <v/>
      </c>
      <c r="H204" s="32" t="str">
        <f t="shared" ca="1" si="41"/>
        <v/>
      </c>
      <c r="I204" s="33" t="str">
        <f t="shared" ca="1" si="42"/>
        <v/>
      </c>
      <c r="J204" s="53"/>
      <c r="K204" s="57"/>
      <c r="L204" s="37" t="str">
        <f t="shared" si="36"/>
        <v/>
      </c>
      <c r="M204" s="37" t="str">
        <f t="shared" ca="1" si="37"/>
        <v/>
      </c>
      <c r="N204" s="37" t="str">
        <f t="shared" si="38"/>
        <v/>
      </c>
      <c r="O204" s="37" t="str">
        <f t="shared" ca="1" si="39"/>
        <v/>
      </c>
      <c r="P204" s="37" t="str">
        <f t="shared" ca="1" si="43"/>
        <v/>
      </c>
      <c r="Q204" s="37" t="str">
        <f t="shared" ca="1" si="44"/>
        <v/>
      </c>
    </row>
    <row r="205" spans="1:17" ht="22.5" customHeight="1" thickBot="1" x14ac:dyDescent="0.3">
      <c r="A205" s="47">
        <v>200</v>
      </c>
      <c r="B205" s="47"/>
      <c r="C205" s="47"/>
      <c r="D205" s="47"/>
      <c r="E205" s="47"/>
      <c r="F205" s="44"/>
      <c r="G205" s="34" t="str">
        <f t="shared" ca="1" si="40"/>
        <v/>
      </c>
      <c r="H205" s="34" t="str">
        <f t="shared" ca="1" si="41"/>
        <v/>
      </c>
      <c r="I205" s="35" t="str">
        <f t="shared" ca="1" si="42"/>
        <v/>
      </c>
      <c r="J205" s="54"/>
      <c r="K205" s="58"/>
      <c r="L205" s="39" t="str">
        <f t="shared" si="36"/>
        <v/>
      </c>
      <c r="M205" s="39" t="str">
        <f t="shared" ca="1" si="37"/>
        <v/>
      </c>
      <c r="N205" s="39" t="str">
        <f t="shared" si="38"/>
        <v/>
      </c>
      <c r="O205" s="39" t="str">
        <f t="shared" ca="1" si="39"/>
        <v/>
      </c>
      <c r="P205" s="39" t="str">
        <f t="shared" ca="1" si="43"/>
        <v/>
      </c>
      <c r="Q205" s="39" t="str">
        <f t="shared" ca="1" si="44"/>
        <v/>
      </c>
    </row>
    <row r="206" spans="1:17" ht="7.5" customHeight="1" thickTop="1" thickBot="1" x14ac:dyDescent="0.3"/>
    <row r="207" spans="1:17" ht="39.75" customHeight="1" thickTop="1" thickBot="1" x14ac:dyDescent="0.3">
      <c r="L207" s="2">
        <f t="shared" ref="L207:Q207" si="45">SUBTOTAL(9,L6:L205)</f>
        <v>1400</v>
      </c>
      <c r="M207" s="3">
        <f t="shared" ca="1" si="45"/>
        <v>15400</v>
      </c>
      <c r="N207" s="4">
        <f t="shared" si="45"/>
        <v>1300</v>
      </c>
      <c r="O207" s="5">
        <f t="shared" ca="1" si="45"/>
        <v>14300</v>
      </c>
      <c r="P207" s="3">
        <f t="shared" ca="1" si="45"/>
        <v>1400</v>
      </c>
      <c r="Q207" s="5">
        <f t="shared" ca="1" si="45"/>
        <v>1300</v>
      </c>
    </row>
    <row r="208" spans="1:17" ht="15.75" thickTop="1" x14ac:dyDescent="0.25"/>
  </sheetData>
  <sheetProtection password="C44E" sheet="1" objects="1" scenarios="1" formatCells="0" formatColumns="0" formatRows="0" insertColumns="0" insertRows="0" insertHyperlinks="0" deleteColumns="0" deleteRows="0" sort="0" autoFilter="0" pivotTables="0"/>
  <mergeCells count="5">
    <mergeCell ref="L3:M3"/>
    <mergeCell ref="N3:O3"/>
    <mergeCell ref="L4:M4"/>
    <mergeCell ref="N4:O4"/>
    <mergeCell ref="A2:Q2"/>
  </mergeCells>
  <conditionalFormatting sqref="B6:B16 B18:B22 B30:B205">
    <cfRule type="duplicateValues" dxfId="7" priority="5"/>
  </conditionalFormatting>
  <conditionalFormatting sqref="B17">
    <cfRule type="duplicateValues" dxfId="6" priority="4"/>
  </conditionalFormatting>
  <conditionalFormatting sqref="B23">
    <cfRule type="duplicateValues" dxfId="5" priority="3"/>
  </conditionalFormatting>
  <conditionalFormatting sqref="B24:B26">
    <cfRule type="duplicateValues" dxfId="4" priority="2"/>
  </conditionalFormatting>
  <conditionalFormatting sqref="B27:B29">
    <cfRule type="duplicateValues" dxfId="3" priority="1"/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09"/>
  <sheetViews>
    <sheetView showGridLines="0" rightToLeft="1" zoomScale="70" zoomScaleNormal="70" zoomScalePageLayoutView="40" workbookViewId="0">
      <pane ySplit="6" topLeftCell="A7" activePane="bottomLeft" state="frozen"/>
      <selection pane="bottomLeft"/>
    </sheetView>
  </sheetViews>
  <sheetFormatPr defaultRowHeight="15" x14ac:dyDescent="0.25"/>
  <cols>
    <col min="1" max="1" width="5.42578125" customWidth="1"/>
    <col min="3" max="3" width="28.42578125" bestFit="1" customWidth="1"/>
    <col min="4" max="4" width="28.85546875" bestFit="1" customWidth="1"/>
    <col min="5" max="5" width="19.28515625" bestFit="1" customWidth="1"/>
    <col min="6" max="6" width="12.5703125" style="1" bestFit="1" customWidth="1"/>
    <col min="7" max="7" width="5.85546875" hidden="1" customWidth="1"/>
    <col min="8" max="8" width="5.85546875" customWidth="1"/>
    <col min="9" max="9" width="7" customWidth="1"/>
    <col min="10" max="11" width="10.7109375" bestFit="1" customWidth="1"/>
    <col min="12" max="12" width="11.42578125" bestFit="1" customWidth="1"/>
    <col min="13" max="13" width="13.5703125" bestFit="1" customWidth="1"/>
    <col min="14" max="14" width="11.42578125" bestFit="1" customWidth="1"/>
    <col min="15" max="15" width="13.5703125" bestFit="1" customWidth="1"/>
    <col min="16" max="17" width="14.42578125" customWidth="1"/>
    <col min="26" max="26" width="19.42578125" bestFit="1" customWidth="1"/>
  </cols>
  <sheetData>
    <row r="1" spans="1:28" ht="28.5" customHeight="1" thickBot="1" x14ac:dyDescent="0.3">
      <c r="C1" s="11"/>
      <c r="D1" s="11"/>
      <c r="E1" s="11"/>
    </row>
    <row r="2" spans="1:28" ht="41.25" customHeight="1" thickTop="1" thickBot="1" x14ac:dyDescent="0.3">
      <c r="C2" s="11"/>
      <c r="D2" s="10" t="s">
        <v>4</v>
      </c>
      <c r="E2" s="11"/>
      <c r="I2" s="74" t="str">
        <f>" إدارة " &amp;D3</f>
        <v xml:space="preserve"> إدارة المبيعات</v>
      </c>
      <c r="J2" s="74"/>
      <c r="K2" s="74"/>
      <c r="L2" s="74"/>
      <c r="M2" s="74"/>
      <c r="N2" s="74"/>
    </row>
    <row r="3" spans="1:28" ht="41.25" customHeight="1" thickTop="1" thickBot="1" x14ac:dyDescent="0.3">
      <c r="A3" s="8"/>
      <c r="B3" s="8"/>
      <c r="C3" s="27"/>
      <c r="D3" s="21" t="s">
        <v>22</v>
      </c>
      <c r="E3" s="27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</row>
    <row r="4" spans="1:28" ht="34.5" customHeight="1" thickTop="1" thickBot="1" x14ac:dyDescent="0.3">
      <c r="A4" s="11"/>
      <c r="B4" s="11"/>
      <c r="C4" s="11"/>
      <c r="D4" s="11"/>
      <c r="E4" s="11"/>
      <c r="F4" s="12"/>
      <c r="G4" s="12"/>
      <c r="H4" s="12"/>
      <c r="I4" s="12"/>
      <c r="J4" s="12"/>
      <c r="K4" s="13"/>
      <c r="L4" s="69" t="s">
        <v>7</v>
      </c>
      <c r="M4" s="70"/>
      <c r="N4" s="71" t="s">
        <v>8</v>
      </c>
      <c r="O4" s="72"/>
      <c r="P4" s="14" t="s">
        <v>7</v>
      </c>
      <c r="Q4" s="15" t="s">
        <v>8</v>
      </c>
    </row>
    <row r="5" spans="1:28" ht="2.25" customHeight="1" thickTop="1" thickBot="1" x14ac:dyDescent="0.3">
      <c r="A5" s="11"/>
      <c r="B5" s="11"/>
      <c r="C5" s="11"/>
      <c r="D5" s="11"/>
      <c r="E5" s="11"/>
      <c r="F5" s="12"/>
      <c r="G5" s="12"/>
      <c r="H5" s="12"/>
      <c r="I5" s="12"/>
      <c r="J5" s="12"/>
      <c r="K5" s="12"/>
      <c r="L5" s="16"/>
      <c r="M5" s="16"/>
      <c r="N5" s="16"/>
      <c r="O5" s="16"/>
      <c r="P5" s="16"/>
      <c r="Q5" s="16"/>
    </row>
    <row r="6" spans="1:28" ht="94.5" thickTop="1" thickBot="1" x14ac:dyDescent="0.3">
      <c r="A6" s="17" t="s">
        <v>0</v>
      </c>
      <c r="B6" s="18" t="s">
        <v>1</v>
      </c>
      <c r="C6" s="17" t="s">
        <v>2</v>
      </c>
      <c r="D6" s="17" t="s">
        <v>3</v>
      </c>
      <c r="E6" s="17" t="s">
        <v>4</v>
      </c>
      <c r="F6" s="19" t="s">
        <v>5</v>
      </c>
      <c r="G6" s="20" t="s">
        <v>6</v>
      </c>
      <c r="H6" s="20" t="s">
        <v>6</v>
      </c>
      <c r="I6" s="20" t="s">
        <v>35</v>
      </c>
      <c r="J6" s="23" t="s">
        <v>7</v>
      </c>
      <c r="K6" s="25" t="s">
        <v>8</v>
      </c>
      <c r="L6" s="22">
        <v>0.1</v>
      </c>
      <c r="M6" s="23" t="s">
        <v>9</v>
      </c>
      <c r="N6" s="24">
        <v>0.1</v>
      </c>
      <c r="O6" s="25" t="s">
        <v>9</v>
      </c>
      <c r="P6" s="26" t="s">
        <v>10</v>
      </c>
      <c r="Q6" s="26" t="s">
        <v>10</v>
      </c>
    </row>
    <row r="7" spans="1:28" ht="22.5" customHeight="1" thickTop="1" x14ac:dyDescent="0.25">
      <c r="A7" s="32">
        <f>IF(B7="","",SUBTOTAL(3,B$7:B7))</f>
        <v>1</v>
      </c>
      <c r="B7" s="32">
        <f>IF('سجل حساب الزيادة السنوية'!B6="","",'سجل حساب الزيادة السنوية'!B6)</f>
        <v>1</v>
      </c>
      <c r="C7" s="32" t="str">
        <f>IF(B7="","",VLOOKUP(B7,'سجل حساب الزيادة السنوية'!$B$6:$Q$205,2,0))</f>
        <v>احمد محمد</v>
      </c>
      <c r="D7" s="32" t="str">
        <f>IF(B7="","",VLOOKUP(B7,'سجل حساب الزيادة السنوية'!$B$6:$Q$205,3,0))</f>
        <v>مندوب مبيعات</v>
      </c>
      <c r="E7" s="32" t="str">
        <f>IF(B7="","",VLOOKUP(B7,'سجل حساب الزيادة السنوية'!$B$6:$Q$205,4,0))</f>
        <v>المبيعات</v>
      </c>
      <c r="F7" s="36">
        <f>IF(B7="","",VLOOKUP(B7,'سجل حساب الزيادة السنوية'!$B$6:$Q$205,5,0))</f>
        <v>43891</v>
      </c>
      <c r="G7" s="32">
        <f ca="1">IF(B7="","",VLOOKUP(B7,'سجل حساب الزيادة السنوية'!$B$6:$Q$205,6,0))</f>
        <v>24</v>
      </c>
      <c r="H7" s="32">
        <f ca="1">IF(B7="","",VLOOKUP(B7,'سجل حساب الزيادة السنوية'!$B$6:$Q$205,7,0))</f>
        <v>12</v>
      </c>
      <c r="I7" s="33">
        <f ca="1">IF(B7="","",VLOOKUP(B7,'سجل حساب الزيادة السنوية'!$B$6:$Q$205,8,0))</f>
        <v>1</v>
      </c>
      <c r="J7" s="61">
        <f>IF(B7="","",VLOOKUP(B7,'سجل حساب الزيادة السنوية'!$B$6:$Q$205,9,0))</f>
        <v>8000</v>
      </c>
      <c r="K7" s="59">
        <f>IF(B7="","",VLOOKUP(B7,'سجل حساب الزيادة السنوية'!$B$6:$Q$205,10,0))</f>
        <v>7500</v>
      </c>
      <c r="L7" s="37">
        <f>IF(B7="","",VLOOKUP(B7,'سجل حساب الزيادة السنوية'!$B$6:$Q$205,11,0))</f>
        <v>800</v>
      </c>
      <c r="M7" s="37">
        <f ca="1">IF(B7="","",VLOOKUP(B7,'سجل حساب الزيادة السنوية'!$B$6:$Q$205,12,0))</f>
        <v>8800</v>
      </c>
      <c r="N7" s="37">
        <f>IF(B7="","",VLOOKUP(B7,'سجل حساب الزيادة السنوية'!$B$6:$Q$205,13,0))</f>
        <v>750</v>
      </c>
      <c r="O7" s="37">
        <f ca="1">IF(B7="","",VLOOKUP(B7,'سجل حساب الزيادة السنوية'!$B$6:$Q$205,14,0))</f>
        <v>8250</v>
      </c>
      <c r="P7" s="37">
        <f ca="1">IF(B7="","",VLOOKUP(B7,'سجل حساب الزيادة السنوية'!$B$6:$Q$205,15,0))</f>
        <v>800</v>
      </c>
      <c r="Q7" s="37">
        <f ca="1">IF(B7="","",VLOOKUP(B7,'سجل حساب الزيادة السنوية'!$B$6:$Q$205,16,0))</f>
        <v>750</v>
      </c>
      <c r="Z7" s="9" t="s">
        <v>12</v>
      </c>
    </row>
    <row r="8" spans="1:28" ht="22.5" customHeight="1" x14ac:dyDescent="0.25">
      <c r="A8" s="32">
        <f>IF(B8="","",SUBTOTAL(3,B$7:B8))</f>
        <v>2</v>
      </c>
      <c r="B8" s="32">
        <f>IF('سجل حساب الزيادة السنوية'!B7="","",'سجل حساب الزيادة السنوية'!B7)</f>
        <v>1260</v>
      </c>
      <c r="C8" s="32" t="str">
        <f>IF(B8="","",VLOOKUP(B8,'سجل حساب الزيادة السنوية'!$B$6:$Q$205,2,0))</f>
        <v xml:space="preserve">احمد عبد الهادي </v>
      </c>
      <c r="D8" s="32" t="str">
        <f>IF(B8="","",VLOOKUP(B8,'سجل حساب الزيادة السنوية'!$B$6:$Q$205,3,0))</f>
        <v>محاسب</v>
      </c>
      <c r="E8" s="32" t="str">
        <f>IF(B8="","",VLOOKUP(B8,'سجل حساب الزيادة السنوية'!$B$6:$Q$205,4,0))</f>
        <v>الحسابات</v>
      </c>
      <c r="F8" s="36">
        <f>IF(B8="","",VLOOKUP(B8,'سجل حساب الزيادة السنوية'!$B$6:$Q$205,5,0))</f>
        <v>42430</v>
      </c>
      <c r="G8" s="32">
        <f ca="1">IF(B8="","",VLOOKUP(B8,'سجل حساب الزيادة السنوية'!$B$6:$Q$205,6,0))</f>
        <v>72</v>
      </c>
      <c r="H8" s="32">
        <f ca="1">IF(B8="","",VLOOKUP(B8,'سجل حساب الزيادة السنوية'!$B$6:$Q$205,7,0))</f>
        <v>12</v>
      </c>
      <c r="I8" s="33">
        <f ca="1">IF(B8="","",VLOOKUP(B8,'سجل حساب الزيادة السنوية'!$B$6:$Q$205,8,0))</f>
        <v>1</v>
      </c>
      <c r="J8" s="61">
        <f>IF(B8="","",VLOOKUP(B8,'سجل حساب الزيادة السنوية'!$B$6:$Q$205,9,0))</f>
        <v>6000</v>
      </c>
      <c r="K8" s="59">
        <f>IF(B8="","",VLOOKUP(B8,'سجل حساب الزيادة السنوية'!$B$6:$Q$205,10,0))</f>
        <v>5500</v>
      </c>
      <c r="L8" s="37">
        <f>IF(B8="","",VLOOKUP(B8,'سجل حساب الزيادة السنوية'!$B$6:$Q$205,11,0))</f>
        <v>600</v>
      </c>
      <c r="M8" s="37">
        <f ca="1">IF(B8="","",VLOOKUP(B8,'سجل حساب الزيادة السنوية'!$B$6:$Q$205,12,0))</f>
        <v>6600</v>
      </c>
      <c r="N8" s="37">
        <f>IF(B8="","",VLOOKUP(B8,'سجل حساب الزيادة السنوية'!$B$6:$Q$205,13,0))</f>
        <v>550</v>
      </c>
      <c r="O8" s="37">
        <f ca="1">IF(B8="","",VLOOKUP(B8,'سجل حساب الزيادة السنوية'!$B$6:$Q$205,14,0))</f>
        <v>6050</v>
      </c>
      <c r="P8" s="37">
        <f ca="1">IF(B8="","",VLOOKUP(B8,'سجل حساب الزيادة السنوية'!$B$6:$Q$205,15,0))</f>
        <v>600</v>
      </c>
      <c r="Q8" s="37">
        <f ca="1">IF(B8="","",VLOOKUP(B8,'سجل حساب الزيادة السنوية'!$B$6:$Q$205,16,0))</f>
        <v>550</v>
      </c>
      <c r="W8" s="28"/>
      <c r="X8" s="28"/>
      <c r="Y8" s="28"/>
      <c r="Z8" s="29" t="s">
        <v>12</v>
      </c>
      <c r="AA8" s="28"/>
      <c r="AB8" s="28"/>
    </row>
    <row r="9" spans="1:28" ht="22.5" customHeight="1" x14ac:dyDescent="0.25">
      <c r="A9" s="32" t="str">
        <f>IF(B9="","",SUBTOTAL(3,B$7:B9))</f>
        <v/>
      </c>
      <c r="B9" s="32" t="str">
        <f>IF('سجل حساب الزيادة السنوية'!B8="","",'سجل حساب الزيادة السنوية'!B8)</f>
        <v/>
      </c>
      <c r="C9" s="32" t="str">
        <f>IF(B9="","",VLOOKUP(B9,'سجل حساب الزيادة السنوية'!$B$6:$Q$205,2,0))</f>
        <v/>
      </c>
      <c r="D9" s="32" t="str">
        <f>IF(B9="","",VLOOKUP(B9,'سجل حساب الزيادة السنوية'!$B$6:$Q$205,3,0))</f>
        <v/>
      </c>
      <c r="E9" s="32" t="str">
        <f>IF(B9="","",VLOOKUP(B9,'سجل حساب الزيادة السنوية'!$B$6:$Q$205,4,0))</f>
        <v/>
      </c>
      <c r="F9" s="36" t="str">
        <f>IF(B9="","",VLOOKUP(B9,'سجل حساب الزيادة السنوية'!$B$6:$Q$205,5,0))</f>
        <v/>
      </c>
      <c r="G9" s="32" t="str">
        <f>IF(B9="","",VLOOKUP(B9,'سجل حساب الزيادة السنوية'!$B$6:$Q$205,6,0))</f>
        <v/>
      </c>
      <c r="H9" s="32" t="str">
        <f>IF(B9="","",VLOOKUP(B9,'سجل حساب الزيادة السنوية'!$B$6:$Q$205,7,0))</f>
        <v/>
      </c>
      <c r="I9" s="33" t="str">
        <f>IF(B9="","",VLOOKUP(B9,'سجل حساب الزيادة السنوية'!$B$6:$Q$205,8,0))</f>
        <v/>
      </c>
      <c r="J9" s="61" t="str">
        <f>IF(B9="","",VLOOKUP(B9,'سجل حساب الزيادة السنوية'!$B$6:$Q$205,9,0))</f>
        <v/>
      </c>
      <c r="K9" s="59" t="str">
        <f>IF(B9="","",VLOOKUP(B9,'سجل حساب الزيادة السنوية'!$B$6:$Q$205,10,0))</f>
        <v/>
      </c>
      <c r="L9" s="37" t="str">
        <f>IF(B9="","",VLOOKUP(B9,'سجل حساب الزيادة السنوية'!$B$6:$Q$205,11,0))</f>
        <v/>
      </c>
      <c r="M9" s="37" t="str">
        <f>IF(B9="","",VLOOKUP(B9,'سجل حساب الزيادة السنوية'!$B$6:$Q$205,12,0))</f>
        <v/>
      </c>
      <c r="N9" s="37" t="str">
        <f>IF(B9="","",VLOOKUP(B9,'سجل حساب الزيادة السنوية'!$B$6:$Q$205,13,0))</f>
        <v/>
      </c>
      <c r="O9" s="37" t="str">
        <f>IF(B9="","",VLOOKUP(B9,'سجل حساب الزيادة السنوية'!$B$6:$Q$205,14,0))</f>
        <v/>
      </c>
      <c r="P9" s="37" t="str">
        <f>IF(B9="","",VLOOKUP(B9,'سجل حساب الزيادة السنوية'!$B$6:$Q$205,15,0))</f>
        <v/>
      </c>
      <c r="Q9" s="37" t="str">
        <f>IF(B9="","",VLOOKUP(B9,'سجل حساب الزيادة السنوية'!$B$6:$Q$205,16,0))</f>
        <v/>
      </c>
      <c r="W9" s="28"/>
      <c r="X9" s="28"/>
      <c r="Y9" s="28"/>
      <c r="Z9" s="29" t="s">
        <v>13</v>
      </c>
      <c r="AA9" s="28"/>
      <c r="AB9" s="28"/>
    </row>
    <row r="10" spans="1:28" ht="22.5" customHeight="1" x14ac:dyDescent="0.25">
      <c r="A10" s="32" t="str">
        <f>IF(B10="","",SUBTOTAL(3,B$7:B10))</f>
        <v/>
      </c>
      <c r="B10" s="32" t="str">
        <f>IF('سجل حساب الزيادة السنوية'!B9="","",'سجل حساب الزيادة السنوية'!B9)</f>
        <v/>
      </c>
      <c r="C10" s="32" t="str">
        <f>IF(B10="","",VLOOKUP(B10,'سجل حساب الزيادة السنوية'!$B$6:$Q$205,2,0))</f>
        <v/>
      </c>
      <c r="D10" s="32" t="str">
        <f>IF(B10="","",VLOOKUP(B10,'سجل حساب الزيادة السنوية'!$B$6:$Q$205,3,0))</f>
        <v/>
      </c>
      <c r="E10" s="32" t="str">
        <f>IF(B10="","",VLOOKUP(B10,'سجل حساب الزيادة السنوية'!$B$6:$Q$205,4,0))</f>
        <v/>
      </c>
      <c r="F10" s="36" t="str">
        <f>IF(B10="","",VLOOKUP(B10,'سجل حساب الزيادة السنوية'!$B$6:$Q$205,5,0))</f>
        <v/>
      </c>
      <c r="G10" s="32" t="str">
        <f>IF(B10="","",VLOOKUP(B10,'سجل حساب الزيادة السنوية'!$B$6:$Q$205,6,0))</f>
        <v/>
      </c>
      <c r="H10" s="32" t="str">
        <f>IF(B10="","",VLOOKUP(B10,'سجل حساب الزيادة السنوية'!$B$6:$Q$205,7,0))</f>
        <v/>
      </c>
      <c r="I10" s="33" t="str">
        <f>IF(B10="","",VLOOKUP(B10,'سجل حساب الزيادة السنوية'!$B$6:$Q$205,8,0))</f>
        <v/>
      </c>
      <c r="J10" s="61" t="str">
        <f>IF(B10="","",VLOOKUP(B10,'سجل حساب الزيادة السنوية'!$B$6:$Q$205,9,0))</f>
        <v/>
      </c>
      <c r="K10" s="59" t="str">
        <f>IF(B10="","",VLOOKUP(B10,'سجل حساب الزيادة السنوية'!$B$6:$Q$205,10,0))</f>
        <v/>
      </c>
      <c r="L10" s="37" t="str">
        <f>IF(B10="","",VLOOKUP(B10,'سجل حساب الزيادة السنوية'!$B$6:$Q$205,11,0))</f>
        <v/>
      </c>
      <c r="M10" s="37" t="str">
        <f>IF(B10="","",VLOOKUP(B10,'سجل حساب الزيادة السنوية'!$B$6:$Q$205,12,0))</f>
        <v/>
      </c>
      <c r="N10" s="37" t="str">
        <f>IF(B10="","",VLOOKUP(B10,'سجل حساب الزيادة السنوية'!$B$6:$Q$205,13,0))</f>
        <v/>
      </c>
      <c r="O10" s="37" t="str">
        <f>IF(B10="","",VLOOKUP(B10,'سجل حساب الزيادة السنوية'!$B$6:$Q$205,14,0))</f>
        <v/>
      </c>
      <c r="P10" s="37" t="str">
        <f>IF(B10="","",VLOOKUP(B10,'سجل حساب الزيادة السنوية'!$B$6:$Q$205,15,0))</f>
        <v/>
      </c>
      <c r="Q10" s="37" t="str">
        <f>IF(B10="","",VLOOKUP(B10,'سجل حساب الزيادة السنوية'!$B$6:$Q$205,16,0))</f>
        <v/>
      </c>
      <c r="W10" s="28"/>
      <c r="X10" s="28"/>
      <c r="Y10" s="28"/>
      <c r="Z10" s="29" t="s">
        <v>14</v>
      </c>
      <c r="AA10" s="28"/>
      <c r="AB10" s="28"/>
    </row>
    <row r="11" spans="1:28" ht="22.5" customHeight="1" x14ac:dyDescent="0.25">
      <c r="A11" s="32" t="str">
        <f>IF(B11="","",SUBTOTAL(3,B$7:B11))</f>
        <v/>
      </c>
      <c r="B11" s="32" t="str">
        <f>IF('سجل حساب الزيادة السنوية'!B10="","",'سجل حساب الزيادة السنوية'!B10)</f>
        <v/>
      </c>
      <c r="C11" s="32" t="str">
        <f>IF(B11="","",VLOOKUP(B11,'سجل حساب الزيادة السنوية'!$B$6:$Q$205,2,0))</f>
        <v/>
      </c>
      <c r="D11" s="32" t="str">
        <f>IF(B11="","",VLOOKUP(B11,'سجل حساب الزيادة السنوية'!$B$6:$Q$205,3,0))</f>
        <v/>
      </c>
      <c r="E11" s="32" t="str">
        <f>IF(B11="","",VLOOKUP(B11,'سجل حساب الزيادة السنوية'!$B$6:$Q$205,4,0))</f>
        <v/>
      </c>
      <c r="F11" s="36" t="str">
        <f>IF(B11="","",VLOOKUP(B11,'سجل حساب الزيادة السنوية'!$B$6:$Q$205,5,0))</f>
        <v/>
      </c>
      <c r="G11" s="32" t="str">
        <f>IF(B11="","",VLOOKUP(B11,'سجل حساب الزيادة السنوية'!$B$6:$Q$205,6,0))</f>
        <v/>
      </c>
      <c r="H11" s="32" t="str">
        <f>IF(B11="","",VLOOKUP(B11,'سجل حساب الزيادة السنوية'!$B$6:$Q$205,7,0))</f>
        <v/>
      </c>
      <c r="I11" s="33" t="str">
        <f>IF(B11="","",VLOOKUP(B11,'سجل حساب الزيادة السنوية'!$B$6:$Q$205,8,0))</f>
        <v/>
      </c>
      <c r="J11" s="61" t="str">
        <f>IF(B11="","",VLOOKUP(B11,'سجل حساب الزيادة السنوية'!$B$6:$Q$205,9,0))</f>
        <v/>
      </c>
      <c r="K11" s="59" t="str">
        <f>IF(B11="","",VLOOKUP(B11,'سجل حساب الزيادة السنوية'!$B$6:$Q$205,10,0))</f>
        <v/>
      </c>
      <c r="L11" s="37" t="str">
        <f>IF(B11="","",VLOOKUP(B11,'سجل حساب الزيادة السنوية'!$B$6:$Q$205,11,0))</f>
        <v/>
      </c>
      <c r="M11" s="37" t="str">
        <f>IF(B11="","",VLOOKUP(B11,'سجل حساب الزيادة السنوية'!$B$6:$Q$205,12,0))</f>
        <v/>
      </c>
      <c r="N11" s="37" t="str">
        <f>IF(B11="","",VLOOKUP(B11,'سجل حساب الزيادة السنوية'!$B$6:$Q$205,13,0))</f>
        <v/>
      </c>
      <c r="O11" s="37" t="str">
        <f>IF(B11="","",VLOOKUP(B11,'سجل حساب الزيادة السنوية'!$B$6:$Q$205,14,0))</f>
        <v/>
      </c>
      <c r="P11" s="37" t="str">
        <f>IF(B11="","",VLOOKUP(B11,'سجل حساب الزيادة السنوية'!$B$6:$Q$205,15,0))</f>
        <v/>
      </c>
      <c r="Q11" s="37" t="str">
        <f>IF(B11="","",VLOOKUP(B11,'سجل حساب الزيادة السنوية'!$B$6:$Q$205,16,0))</f>
        <v/>
      </c>
      <c r="W11" s="28"/>
      <c r="X11" s="28"/>
      <c r="Y11" s="28"/>
      <c r="Z11" s="29" t="s">
        <v>15</v>
      </c>
      <c r="AA11" s="28"/>
      <c r="AB11" s="28"/>
    </row>
    <row r="12" spans="1:28" ht="22.5" customHeight="1" x14ac:dyDescent="0.25">
      <c r="A12" s="32" t="str">
        <f>IF(B12="","",SUBTOTAL(3,B$7:B12))</f>
        <v/>
      </c>
      <c r="B12" s="32" t="str">
        <f>IF('سجل حساب الزيادة السنوية'!B11="","",'سجل حساب الزيادة السنوية'!B11)</f>
        <v/>
      </c>
      <c r="C12" s="32" t="str">
        <f>IF(B12="","",VLOOKUP(B12,'سجل حساب الزيادة السنوية'!$B$6:$Q$205,2,0))</f>
        <v/>
      </c>
      <c r="D12" s="32" t="str">
        <f>IF(B12="","",VLOOKUP(B12,'سجل حساب الزيادة السنوية'!$B$6:$Q$205,3,0))</f>
        <v/>
      </c>
      <c r="E12" s="32" t="str">
        <f>IF(B12="","",VLOOKUP(B12,'سجل حساب الزيادة السنوية'!$B$6:$Q$205,4,0))</f>
        <v/>
      </c>
      <c r="F12" s="36" t="str">
        <f>IF(B12="","",VLOOKUP(B12,'سجل حساب الزيادة السنوية'!$B$6:$Q$205,5,0))</f>
        <v/>
      </c>
      <c r="G12" s="32" t="str">
        <f>IF(B12="","",VLOOKUP(B12,'سجل حساب الزيادة السنوية'!$B$6:$Q$205,6,0))</f>
        <v/>
      </c>
      <c r="H12" s="32" t="str">
        <f>IF(B12="","",VLOOKUP(B12,'سجل حساب الزيادة السنوية'!$B$6:$Q$205,7,0))</f>
        <v/>
      </c>
      <c r="I12" s="33" t="str">
        <f>IF(B12="","",VLOOKUP(B12,'سجل حساب الزيادة السنوية'!$B$6:$Q$205,8,0))</f>
        <v/>
      </c>
      <c r="J12" s="61" t="str">
        <f>IF(B12="","",VLOOKUP(B12,'سجل حساب الزيادة السنوية'!$B$6:$Q$205,9,0))</f>
        <v/>
      </c>
      <c r="K12" s="59" t="str">
        <f>IF(B12="","",VLOOKUP(B12,'سجل حساب الزيادة السنوية'!$B$6:$Q$205,10,0))</f>
        <v/>
      </c>
      <c r="L12" s="37" t="str">
        <f>IF(B12="","",VLOOKUP(B12,'سجل حساب الزيادة السنوية'!$B$6:$Q$205,11,0))</f>
        <v/>
      </c>
      <c r="M12" s="37" t="str">
        <f>IF(B12="","",VLOOKUP(B12,'سجل حساب الزيادة السنوية'!$B$6:$Q$205,12,0))</f>
        <v/>
      </c>
      <c r="N12" s="37" t="str">
        <f>IF(B12="","",VLOOKUP(B12,'سجل حساب الزيادة السنوية'!$B$6:$Q$205,13,0))</f>
        <v/>
      </c>
      <c r="O12" s="37" t="str">
        <f>IF(B12="","",VLOOKUP(B12,'سجل حساب الزيادة السنوية'!$B$6:$Q$205,14,0))</f>
        <v/>
      </c>
      <c r="P12" s="37" t="str">
        <f>IF(B12="","",VLOOKUP(B12,'سجل حساب الزيادة السنوية'!$B$6:$Q$205,15,0))</f>
        <v/>
      </c>
      <c r="Q12" s="37" t="str">
        <f>IF(B12="","",VLOOKUP(B12,'سجل حساب الزيادة السنوية'!$B$6:$Q$205,16,0))</f>
        <v/>
      </c>
      <c r="W12" s="28"/>
      <c r="X12" s="28"/>
      <c r="Y12" s="28"/>
      <c r="Z12" s="29" t="s">
        <v>16</v>
      </c>
      <c r="AA12" s="28"/>
      <c r="AB12" s="28"/>
    </row>
    <row r="13" spans="1:28" ht="22.5" customHeight="1" x14ac:dyDescent="0.25">
      <c r="A13" s="32" t="str">
        <f>IF(B13="","",SUBTOTAL(3,B$7:B13))</f>
        <v/>
      </c>
      <c r="B13" s="32" t="str">
        <f>IF('سجل حساب الزيادة السنوية'!B12="","",'سجل حساب الزيادة السنوية'!B12)</f>
        <v/>
      </c>
      <c r="C13" s="32" t="str">
        <f>IF(B13="","",VLOOKUP(B13,'سجل حساب الزيادة السنوية'!$B$6:$Q$205,2,0))</f>
        <v/>
      </c>
      <c r="D13" s="32" t="str">
        <f>IF(B13="","",VLOOKUP(B13,'سجل حساب الزيادة السنوية'!$B$6:$Q$205,3,0))</f>
        <v/>
      </c>
      <c r="E13" s="32" t="str">
        <f>IF(B13="","",VLOOKUP(B13,'سجل حساب الزيادة السنوية'!$B$6:$Q$205,4,0))</f>
        <v/>
      </c>
      <c r="F13" s="36" t="str">
        <f>IF(B13="","",VLOOKUP(B13,'سجل حساب الزيادة السنوية'!$B$6:$Q$205,5,0))</f>
        <v/>
      </c>
      <c r="G13" s="32" t="str">
        <f>IF(B13="","",VLOOKUP(B13,'سجل حساب الزيادة السنوية'!$B$6:$Q$205,6,0))</f>
        <v/>
      </c>
      <c r="H13" s="32" t="str">
        <f>IF(B13="","",VLOOKUP(B13,'سجل حساب الزيادة السنوية'!$B$6:$Q$205,7,0))</f>
        <v/>
      </c>
      <c r="I13" s="33" t="str">
        <f>IF(B13="","",VLOOKUP(B13,'سجل حساب الزيادة السنوية'!$B$6:$Q$205,8,0))</f>
        <v/>
      </c>
      <c r="J13" s="61" t="str">
        <f>IF(B13="","",VLOOKUP(B13,'سجل حساب الزيادة السنوية'!$B$6:$Q$205,9,0))</f>
        <v/>
      </c>
      <c r="K13" s="59" t="str">
        <f>IF(B13="","",VLOOKUP(B13,'سجل حساب الزيادة السنوية'!$B$6:$Q$205,10,0))</f>
        <v/>
      </c>
      <c r="L13" s="37" t="str">
        <f>IF(B13="","",VLOOKUP(B13,'سجل حساب الزيادة السنوية'!$B$6:$Q$205,11,0))</f>
        <v/>
      </c>
      <c r="M13" s="37" t="str">
        <f>IF(B13="","",VLOOKUP(B13,'سجل حساب الزيادة السنوية'!$B$6:$Q$205,12,0))</f>
        <v/>
      </c>
      <c r="N13" s="37" t="str">
        <f>IF(B13="","",VLOOKUP(B13,'سجل حساب الزيادة السنوية'!$B$6:$Q$205,13,0))</f>
        <v/>
      </c>
      <c r="O13" s="37" t="str">
        <f>IF(B13="","",VLOOKUP(B13,'سجل حساب الزيادة السنوية'!$B$6:$Q$205,14,0))</f>
        <v/>
      </c>
      <c r="P13" s="37" t="str">
        <f>IF(B13="","",VLOOKUP(B13,'سجل حساب الزيادة السنوية'!$B$6:$Q$205,15,0))</f>
        <v/>
      </c>
      <c r="Q13" s="37" t="str">
        <f>IF(B13="","",VLOOKUP(B13,'سجل حساب الزيادة السنوية'!$B$6:$Q$205,16,0))</f>
        <v/>
      </c>
      <c r="W13" s="28"/>
      <c r="X13" s="28"/>
      <c r="Y13" s="28"/>
      <c r="Z13" s="29" t="s">
        <v>17</v>
      </c>
      <c r="AA13" s="28"/>
      <c r="AB13" s="28"/>
    </row>
    <row r="14" spans="1:28" ht="22.5" customHeight="1" x14ac:dyDescent="0.25">
      <c r="A14" s="32" t="str">
        <f>IF(B14="","",SUBTOTAL(3,B$7:B14))</f>
        <v/>
      </c>
      <c r="B14" s="32" t="str">
        <f>IF('سجل حساب الزيادة السنوية'!B13="","",'سجل حساب الزيادة السنوية'!B13)</f>
        <v/>
      </c>
      <c r="C14" s="32" t="str">
        <f>IF(B14="","",VLOOKUP(B14,'سجل حساب الزيادة السنوية'!$B$6:$Q$205,2,0))</f>
        <v/>
      </c>
      <c r="D14" s="32" t="str">
        <f>IF(B14="","",VLOOKUP(B14,'سجل حساب الزيادة السنوية'!$B$6:$Q$205,3,0))</f>
        <v/>
      </c>
      <c r="E14" s="32" t="str">
        <f>IF(B14="","",VLOOKUP(B14,'سجل حساب الزيادة السنوية'!$B$6:$Q$205,4,0))</f>
        <v/>
      </c>
      <c r="F14" s="36" t="str">
        <f>IF(B14="","",VLOOKUP(B14,'سجل حساب الزيادة السنوية'!$B$6:$Q$205,5,0))</f>
        <v/>
      </c>
      <c r="G14" s="32" t="str">
        <f>IF(B14="","",VLOOKUP(B14,'سجل حساب الزيادة السنوية'!$B$6:$Q$205,6,0))</f>
        <v/>
      </c>
      <c r="H14" s="32" t="str">
        <f>IF(B14="","",VLOOKUP(B14,'سجل حساب الزيادة السنوية'!$B$6:$Q$205,7,0))</f>
        <v/>
      </c>
      <c r="I14" s="33" t="str">
        <f>IF(B14="","",VLOOKUP(B14,'سجل حساب الزيادة السنوية'!$B$6:$Q$205,8,0))</f>
        <v/>
      </c>
      <c r="J14" s="61" t="str">
        <f>IF(B14="","",VLOOKUP(B14,'سجل حساب الزيادة السنوية'!$B$6:$Q$205,9,0))</f>
        <v/>
      </c>
      <c r="K14" s="59" t="str">
        <f>IF(B14="","",VLOOKUP(B14,'سجل حساب الزيادة السنوية'!$B$6:$Q$205,10,0))</f>
        <v/>
      </c>
      <c r="L14" s="37" t="str">
        <f>IF(B14="","",VLOOKUP(B14,'سجل حساب الزيادة السنوية'!$B$6:$Q$205,11,0))</f>
        <v/>
      </c>
      <c r="M14" s="37" t="str">
        <f>IF(B14="","",VLOOKUP(B14,'سجل حساب الزيادة السنوية'!$B$6:$Q$205,12,0))</f>
        <v/>
      </c>
      <c r="N14" s="37" t="str">
        <f>IF(B14="","",VLOOKUP(B14,'سجل حساب الزيادة السنوية'!$B$6:$Q$205,13,0))</f>
        <v/>
      </c>
      <c r="O14" s="37" t="str">
        <f>IF(B14="","",VLOOKUP(B14,'سجل حساب الزيادة السنوية'!$B$6:$Q$205,14,0))</f>
        <v/>
      </c>
      <c r="P14" s="37" t="str">
        <f>IF(B14="","",VLOOKUP(B14,'سجل حساب الزيادة السنوية'!$B$6:$Q$205,15,0))</f>
        <v/>
      </c>
      <c r="Q14" s="37" t="str">
        <f>IF(B14="","",VLOOKUP(B14,'سجل حساب الزيادة السنوية'!$B$6:$Q$205,16,0))</f>
        <v/>
      </c>
      <c r="W14" s="28"/>
      <c r="X14" s="28"/>
      <c r="Y14" s="28"/>
      <c r="Z14" s="29" t="s">
        <v>18</v>
      </c>
      <c r="AA14" s="28"/>
      <c r="AB14" s="28"/>
    </row>
    <row r="15" spans="1:28" ht="22.5" customHeight="1" x14ac:dyDescent="0.25">
      <c r="A15" s="32" t="str">
        <f>IF(B15="","",SUBTOTAL(3,B$7:B15))</f>
        <v/>
      </c>
      <c r="B15" s="32" t="str">
        <f>IF('سجل حساب الزيادة السنوية'!B14="","",'سجل حساب الزيادة السنوية'!B14)</f>
        <v/>
      </c>
      <c r="C15" s="32" t="str">
        <f>IF(B15="","",VLOOKUP(B15,'سجل حساب الزيادة السنوية'!$B$6:$Q$205,2,0))</f>
        <v/>
      </c>
      <c r="D15" s="32" t="str">
        <f>IF(B15="","",VLOOKUP(B15,'سجل حساب الزيادة السنوية'!$B$6:$Q$205,3,0))</f>
        <v/>
      </c>
      <c r="E15" s="32" t="str">
        <f>IF(B15="","",VLOOKUP(B15,'سجل حساب الزيادة السنوية'!$B$6:$Q$205,4,0))</f>
        <v/>
      </c>
      <c r="F15" s="36" t="str">
        <f>IF(B15="","",VLOOKUP(B15,'سجل حساب الزيادة السنوية'!$B$6:$Q$205,5,0))</f>
        <v/>
      </c>
      <c r="G15" s="32" t="str">
        <f>IF(B15="","",VLOOKUP(B15,'سجل حساب الزيادة السنوية'!$B$6:$Q$205,6,0))</f>
        <v/>
      </c>
      <c r="H15" s="32" t="str">
        <f>IF(B15="","",VLOOKUP(B15,'سجل حساب الزيادة السنوية'!$B$6:$Q$205,7,0))</f>
        <v/>
      </c>
      <c r="I15" s="33" t="str">
        <f>IF(B15="","",VLOOKUP(B15,'سجل حساب الزيادة السنوية'!$B$6:$Q$205,8,0))</f>
        <v/>
      </c>
      <c r="J15" s="61" t="str">
        <f>IF(B15="","",VLOOKUP(B15,'سجل حساب الزيادة السنوية'!$B$6:$Q$205,9,0))</f>
        <v/>
      </c>
      <c r="K15" s="59" t="str">
        <f>IF(B15="","",VLOOKUP(B15,'سجل حساب الزيادة السنوية'!$B$6:$Q$205,10,0))</f>
        <v/>
      </c>
      <c r="L15" s="37" t="str">
        <f>IF(B15="","",VLOOKUP(B15,'سجل حساب الزيادة السنوية'!$B$6:$Q$205,11,0))</f>
        <v/>
      </c>
      <c r="M15" s="37" t="str">
        <f>IF(B15="","",VLOOKUP(B15,'سجل حساب الزيادة السنوية'!$B$6:$Q$205,12,0))</f>
        <v/>
      </c>
      <c r="N15" s="37" t="str">
        <f>IF(B15="","",VLOOKUP(B15,'سجل حساب الزيادة السنوية'!$B$6:$Q$205,13,0))</f>
        <v/>
      </c>
      <c r="O15" s="37" t="str">
        <f>IF(B15="","",VLOOKUP(B15,'سجل حساب الزيادة السنوية'!$B$6:$Q$205,14,0))</f>
        <v/>
      </c>
      <c r="P15" s="37" t="str">
        <f>IF(B15="","",VLOOKUP(B15,'سجل حساب الزيادة السنوية'!$B$6:$Q$205,15,0))</f>
        <v/>
      </c>
      <c r="Q15" s="37" t="str">
        <f>IF(B15="","",VLOOKUP(B15,'سجل حساب الزيادة السنوية'!$B$6:$Q$205,16,0))</f>
        <v/>
      </c>
      <c r="W15" s="28"/>
      <c r="X15" s="28"/>
      <c r="Y15" s="28"/>
      <c r="Z15" s="29" t="s">
        <v>19</v>
      </c>
      <c r="AA15" s="28"/>
      <c r="AB15" s="28"/>
    </row>
    <row r="16" spans="1:28" ht="22.5" customHeight="1" x14ac:dyDescent="0.25">
      <c r="A16" s="32" t="str">
        <f>IF(B16="","",SUBTOTAL(3,B$7:B16))</f>
        <v/>
      </c>
      <c r="B16" s="32" t="str">
        <f>IF('سجل حساب الزيادة السنوية'!B15="","",'سجل حساب الزيادة السنوية'!B15)</f>
        <v/>
      </c>
      <c r="C16" s="32" t="str">
        <f>IF(B16="","",VLOOKUP(B16,'سجل حساب الزيادة السنوية'!$B$6:$Q$205,2,0))</f>
        <v/>
      </c>
      <c r="D16" s="32" t="str">
        <f>IF(B16="","",VLOOKUP(B16,'سجل حساب الزيادة السنوية'!$B$6:$Q$205,3,0))</f>
        <v/>
      </c>
      <c r="E16" s="32" t="str">
        <f>IF(B16="","",VLOOKUP(B16,'سجل حساب الزيادة السنوية'!$B$6:$Q$205,4,0))</f>
        <v/>
      </c>
      <c r="F16" s="36" t="str">
        <f>IF(B16="","",VLOOKUP(B16,'سجل حساب الزيادة السنوية'!$B$6:$Q$205,5,0))</f>
        <v/>
      </c>
      <c r="G16" s="32" t="str">
        <f>IF(B16="","",VLOOKUP(B16,'سجل حساب الزيادة السنوية'!$B$6:$Q$205,6,0))</f>
        <v/>
      </c>
      <c r="H16" s="32" t="str">
        <f>IF(B16="","",VLOOKUP(B16,'سجل حساب الزيادة السنوية'!$B$6:$Q$205,7,0))</f>
        <v/>
      </c>
      <c r="I16" s="33" t="str">
        <f>IF(B16="","",VLOOKUP(B16,'سجل حساب الزيادة السنوية'!$B$6:$Q$205,8,0))</f>
        <v/>
      </c>
      <c r="J16" s="61" t="str">
        <f>IF(B16="","",VLOOKUP(B16,'سجل حساب الزيادة السنوية'!$B$6:$Q$205,9,0))</f>
        <v/>
      </c>
      <c r="K16" s="59" t="str">
        <f>IF(B16="","",VLOOKUP(B16,'سجل حساب الزيادة السنوية'!$B$6:$Q$205,10,0))</f>
        <v/>
      </c>
      <c r="L16" s="37" t="str">
        <f>IF(B16="","",VLOOKUP(B16,'سجل حساب الزيادة السنوية'!$B$6:$Q$205,11,0))</f>
        <v/>
      </c>
      <c r="M16" s="37" t="str">
        <f>IF(B16="","",VLOOKUP(B16,'سجل حساب الزيادة السنوية'!$B$6:$Q$205,12,0))</f>
        <v/>
      </c>
      <c r="N16" s="37" t="str">
        <f>IF(B16="","",VLOOKUP(B16,'سجل حساب الزيادة السنوية'!$B$6:$Q$205,13,0))</f>
        <v/>
      </c>
      <c r="O16" s="37" t="str">
        <f>IF(B16="","",VLOOKUP(B16,'سجل حساب الزيادة السنوية'!$B$6:$Q$205,14,0))</f>
        <v/>
      </c>
      <c r="P16" s="37" t="str">
        <f>IF(B16="","",VLOOKUP(B16,'سجل حساب الزيادة السنوية'!$B$6:$Q$205,15,0))</f>
        <v/>
      </c>
      <c r="Q16" s="37" t="str">
        <f>IF(B16="","",VLOOKUP(B16,'سجل حساب الزيادة السنوية'!$B$6:$Q$205,16,0))</f>
        <v/>
      </c>
      <c r="W16" s="28"/>
      <c r="X16" s="28"/>
      <c r="Y16" s="28"/>
      <c r="Z16" s="29" t="s">
        <v>20</v>
      </c>
      <c r="AA16" s="28"/>
      <c r="AB16" s="28"/>
    </row>
    <row r="17" spans="1:28" ht="22.5" customHeight="1" x14ac:dyDescent="0.25">
      <c r="A17" s="32" t="str">
        <f>IF(B17="","",SUBTOTAL(3,B$7:B17))</f>
        <v/>
      </c>
      <c r="B17" s="32" t="str">
        <f>IF('سجل حساب الزيادة السنوية'!B16="","",'سجل حساب الزيادة السنوية'!B16)</f>
        <v/>
      </c>
      <c r="C17" s="32" t="str">
        <f>IF(B17="","",VLOOKUP(B17,'سجل حساب الزيادة السنوية'!$B$6:$Q$205,2,0))</f>
        <v/>
      </c>
      <c r="D17" s="32" t="str">
        <f>IF(B17="","",VLOOKUP(B17,'سجل حساب الزيادة السنوية'!$B$6:$Q$205,3,0))</f>
        <v/>
      </c>
      <c r="E17" s="32" t="str">
        <f>IF(B17="","",VLOOKUP(B17,'سجل حساب الزيادة السنوية'!$B$6:$Q$205,4,0))</f>
        <v/>
      </c>
      <c r="F17" s="36" t="str">
        <f>IF(B17="","",VLOOKUP(B17,'سجل حساب الزيادة السنوية'!$B$6:$Q$205,5,0))</f>
        <v/>
      </c>
      <c r="G17" s="32" t="str">
        <f>IF(B17="","",VLOOKUP(B17,'سجل حساب الزيادة السنوية'!$B$6:$Q$205,6,0))</f>
        <v/>
      </c>
      <c r="H17" s="32" t="str">
        <f>IF(B17="","",VLOOKUP(B17,'سجل حساب الزيادة السنوية'!$B$6:$Q$205,7,0))</f>
        <v/>
      </c>
      <c r="I17" s="33" t="str">
        <f>IF(B17="","",VLOOKUP(B17,'سجل حساب الزيادة السنوية'!$B$6:$Q$205,8,0))</f>
        <v/>
      </c>
      <c r="J17" s="61" t="str">
        <f>IF(B17="","",VLOOKUP(B17,'سجل حساب الزيادة السنوية'!$B$6:$Q$205,9,0))</f>
        <v/>
      </c>
      <c r="K17" s="59" t="str">
        <f>IF(B17="","",VLOOKUP(B17,'سجل حساب الزيادة السنوية'!$B$6:$Q$205,10,0))</f>
        <v/>
      </c>
      <c r="L17" s="37" t="str">
        <f>IF(B17="","",VLOOKUP(B17,'سجل حساب الزيادة السنوية'!$B$6:$Q$205,11,0))</f>
        <v/>
      </c>
      <c r="M17" s="37" t="str">
        <f>IF(B17="","",VLOOKUP(B17,'سجل حساب الزيادة السنوية'!$B$6:$Q$205,12,0))</f>
        <v/>
      </c>
      <c r="N17" s="37" t="str">
        <f>IF(B17="","",VLOOKUP(B17,'سجل حساب الزيادة السنوية'!$B$6:$Q$205,13,0))</f>
        <v/>
      </c>
      <c r="O17" s="37" t="str">
        <f>IF(B17="","",VLOOKUP(B17,'سجل حساب الزيادة السنوية'!$B$6:$Q$205,14,0))</f>
        <v/>
      </c>
      <c r="P17" s="37" t="str">
        <f>IF(B17="","",VLOOKUP(B17,'سجل حساب الزيادة السنوية'!$B$6:$Q$205,15,0))</f>
        <v/>
      </c>
      <c r="Q17" s="37" t="str">
        <f>IF(B17="","",VLOOKUP(B17,'سجل حساب الزيادة السنوية'!$B$6:$Q$205,16,0))</f>
        <v/>
      </c>
      <c r="W17" s="28"/>
      <c r="X17" s="28"/>
      <c r="Y17" s="28"/>
      <c r="Z17" s="29" t="s">
        <v>25</v>
      </c>
      <c r="AA17" s="28"/>
      <c r="AB17" s="28"/>
    </row>
    <row r="18" spans="1:28" ht="22.5" customHeight="1" x14ac:dyDescent="0.25">
      <c r="A18" s="32" t="str">
        <f>IF(B18="","",SUBTOTAL(3,B$7:B18))</f>
        <v/>
      </c>
      <c r="B18" s="32" t="str">
        <f>IF('سجل حساب الزيادة السنوية'!B17="","",'سجل حساب الزيادة السنوية'!B17)</f>
        <v/>
      </c>
      <c r="C18" s="32" t="str">
        <f>IF(B18="","",VLOOKUP(B18,'سجل حساب الزيادة السنوية'!$B$6:$Q$205,2,0))</f>
        <v/>
      </c>
      <c r="D18" s="32" t="str">
        <f>IF(B18="","",VLOOKUP(B18,'سجل حساب الزيادة السنوية'!$B$6:$Q$205,3,0))</f>
        <v/>
      </c>
      <c r="E18" s="32" t="str">
        <f>IF(B18="","",VLOOKUP(B18,'سجل حساب الزيادة السنوية'!$B$6:$Q$205,4,0))</f>
        <v/>
      </c>
      <c r="F18" s="36" t="str">
        <f>IF(B18="","",VLOOKUP(B18,'سجل حساب الزيادة السنوية'!$B$6:$Q$205,5,0))</f>
        <v/>
      </c>
      <c r="G18" s="32" t="str">
        <f>IF(B18="","",VLOOKUP(B18,'سجل حساب الزيادة السنوية'!$B$6:$Q$205,6,0))</f>
        <v/>
      </c>
      <c r="H18" s="32" t="str">
        <f>IF(B18="","",VLOOKUP(B18,'سجل حساب الزيادة السنوية'!$B$6:$Q$205,7,0))</f>
        <v/>
      </c>
      <c r="I18" s="33" t="str">
        <f>IF(B18="","",VLOOKUP(B18,'سجل حساب الزيادة السنوية'!$B$6:$Q$205,8,0))</f>
        <v/>
      </c>
      <c r="J18" s="61" t="str">
        <f>IF(B18="","",VLOOKUP(B18,'سجل حساب الزيادة السنوية'!$B$6:$Q$205,9,0))</f>
        <v/>
      </c>
      <c r="K18" s="59" t="str">
        <f>IF(B18="","",VLOOKUP(B18,'سجل حساب الزيادة السنوية'!$B$6:$Q$205,10,0))</f>
        <v/>
      </c>
      <c r="L18" s="37" t="str">
        <f>IF(B18="","",VLOOKUP(B18,'سجل حساب الزيادة السنوية'!$B$6:$Q$205,11,0))</f>
        <v/>
      </c>
      <c r="M18" s="37" t="str">
        <f>IF(B18="","",VLOOKUP(B18,'سجل حساب الزيادة السنوية'!$B$6:$Q$205,12,0))</f>
        <v/>
      </c>
      <c r="N18" s="37" t="str">
        <f>IF(B18="","",VLOOKUP(B18,'سجل حساب الزيادة السنوية'!$B$6:$Q$205,13,0))</f>
        <v/>
      </c>
      <c r="O18" s="37" t="str">
        <f>IF(B18="","",VLOOKUP(B18,'سجل حساب الزيادة السنوية'!$B$6:$Q$205,14,0))</f>
        <v/>
      </c>
      <c r="P18" s="37" t="str">
        <f>IF(B18="","",VLOOKUP(B18,'سجل حساب الزيادة السنوية'!$B$6:$Q$205,15,0))</f>
        <v/>
      </c>
      <c r="Q18" s="37" t="str">
        <f>IF(B18="","",VLOOKUP(B18,'سجل حساب الزيادة السنوية'!$B$6:$Q$205,16,0))</f>
        <v/>
      </c>
      <c r="W18" s="28"/>
      <c r="X18" s="28"/>
      <c r="Y18" s="28"/>
      <c r="Z18" s="29" t="s">
        <v>24</v>
      </c>
      <c r="AA18" s="28"/>
      <c r="AB18" s="28"/>
    </row>
    <row r="19" spans="1:28" ht="22.5" customHeight="1" x14ac:dyDescent="0.25">
      <c r="A19" s="32" t="str">
        <f>IF(B19="","",SUBTOTAL(3,B$7:B19))</f>
        <v/>
      </c>
      <c r="B19" s="32" t="str">
        <f>IF('سجل حساب الزيادة السنوية'!B18="","",'سجل حساب الزيادة السنوية'!B18)</f>
        <v/>
      </c>
      <c r="C19" s="32" t="str">
        <f>IF(B19="","",VLOOKUP(B19,'سجل حساب الزيادة السنوية'!$B$6:$Q$205,2,0))</f>
        <v/>
      </c>
      <c r="D19" s="32" t="str">
        <f>IF(B19="","",VLOOKUP(B19,'سجل حساب الزيادة السنوية'!$B$6:$Q$205,3,0))</f>
        <v/>
      </c>
      <c r="E19" s="32" t="str">
        <f>IF(B19="","",VLOOKUP(B19,'سجل حساب الزيادة السنوية'!$B$6:$Q$205,4,0))</f>
        <v/>
      </c>
      <c r="F19" s="36" t="str">
        <f>IF(B19="","",VLOOKUP(B19,'سجل حساب الزيادة السنوية'!$B$6:$Q$205,5,0))</f>
        <v/>
      </c>
      <c r="G19" s="32" t="str">
        <f>IF(B19="","",VLOOKUP(B19,'سجل حساب الزيادة السنوية'!$B$6:$Q$205,6,0))</f>
        <v/>
      </c>
      <c r="H19" s="32" t="str">
        <f>IF(B19="","",VLOOKUP(B19,'سجل حساب الزيادة السنوية'!$B$6:$Q$205,7,0))</f>
        <v/>
      </c>
      <c r="I19" s="33" t="str">
        <f>IF(B19="","",VLOOKUP(B19,'سجل حساب الزيادة السنوية'!$B$6:$Q$205,8,0))</f>
        <v/>
      </c>
      <c r="J19" s="61" t="str">
        <f>IF(B19="","",VLOOKUP(B19,'سجل حساب الزيادة السنوية'!$B$6:$Q$205,9,0))</f>
        <v/>
      </c>
      <c r="K19" s="59" t="str">
        <f>IF(B19="","",VLOOKUP(B19,'سجل حساب الزيادة السنوية'!$B$6:$Q$205,10,0))</f>
        <v/>
      </c>
      <c r="L19" s="37" t="str">
        <f>IF(B19="","",VLOOKUP(B19,'سجل حساب الزيادة السنوية'!$B$6:$Q$205,11,0))</f>
        <v/>
      </c>
      <c r="M19" s="37" t="str">
        <f>IF(B19="","",VLOOKUP(B19,'سجل حساب الزيادة السنوية'!$B$6:$Q$205,12,0))</f>
        <v/>
      </c>
      <c r="N19" s="37" t="str">
        <f>IF(B19="","",VLOOKUP(B19,'سجل حساب الزيادة السنوية'!$B$6:$Q$205,13,0))</f>
        <v/>
      </c>
      <c r="O19" s="37" t="str">
        <f>IF(B19="","",VLOOKUP(B19,'سجل حساب الزيادة السنوية'!$B$6:$Q$205,14,0))</f>
        <v/>
      </c>
      <c r="P19" s="37" t="str">
        <f>IF(B19="","",VLOOKUP(B19,'سجل حساب الزيادة السنوية'!$B$6:$Q$205,15,0))</f>
        <v/>
      </c>
      <c r="Q19" s="37" t="str">
        <f>IF(B19="","",VLOOKUP(B19,'سجل حساب الزيادة السنوية'!$B$6:$Q$205,16,0))</f>
        <v/>
      </c>
      <c r="W19" s="28"/>
      <c r="X19" s="28"/>
      <c r="Y19" s="28"/>
      <c r="Z19" s="29" t="s">
        <v>22</v>
      </c>
      <c r="AA19" s="28"/>
      <c r="AB19" s="28"/>
    </row>
    <row r="20" spans="1:28" ht="22.5" customHeight="1" x14ac:dyDescent="0.25">
      <c r="A20" s="32" t="str">
        <f>IF(B20="","",SUBTOTAL(3,B$7:B20))</f>
        <v/>
      </c>
      <c r="B20" s="32" t="str">
        <f>IF('سجل حساب الزيادة السنوية'!B19="","",'سجل حساب الزيادة السنوية'!B19)</f>
        <v/>
      </c>
      <c r="C20" s="32" t="str">
        <f>IF(B20="","",VLOOKUP(B20,'سجل حساب الزيادة السنوية'!$B$6:$Q$205,2,0))</f>
        <v/>
      </c>
      <c r="D20" s="32" t="str">
        <f>IF(B20="","",VLOOKUP(B20,'سجل حساب الزيادة السنوية'!$B$6:$Q$205,3,0))</f>
        <v/>
      </c>
      <c r="E20" s="32" t="str">
        <f>IF(B20="","",VLOOKUP(B20,'سجل حساب الزيادة السنوية'!$B$6:$Q$205,4,0))</f>
        <v/>
      </c>
      <c r="F20" s="36" t="str">
        <f>IF(B20="","",VLOOKUP(B20,'سجل حساب الزيادة السنوية'!$B$6:$Q$205,5,0))</f>
        <v/>
      </c>
      <c r="G20" s="32" t="str">
        <f>IF(B20="","",VLOOKUP(B20,'سجل حساب الزيادة السنوية'!$B$6:$Q$205,6,0))</f>
        <v/>
      </c>
      <c r="H20" s="32" t="str">
        <f>IF(B20="","",VLOOKUP(B20,'سجل حساب الزيادة السنوية'!$B$6:$Q$205,7,0))</f>
        <v/>
      </c>
      <c r="I20" s="33" t="str">
        <f>IF(B20="","",VLOOKUP(B20,'سجل حساب الزيادة السنوية'!$B$6:$Q$205,8,0))</f>
        <v/>
      </c>
      <c r="J20" s="61" t="str">
        <f>IF(B20="","",VLOOKUP(B20,'سجل حساب الزيادة السنوية'!$B$6:$Q$205,9,0))</f>
        <v/>
      </c>
      <c r="K20" s="59" t="str">
        <f>IF(B20="","",VLOOKUP(B20,'سجل حساب الزيادة السنوية'!$B$6:$Q$205,10,0))</f>
        <v/>
      </c>
      <c r="L20" s="37" t="str">
        <f>IF(B20="","",VLOOKUP(B20,'سجل حساب الزيادة السنوية'!$B$6:$Q$205,11,0))</f>
        <v/>
      </c>
      <c r="M20" s="37" t="str">
        <f>IF(B20="","",VLOOKUP(B20,'سجل حساب الزيادة السنوية'!$B$6:$Q$205,12,0))</f>
        <v/>
      </c>
      <c r="N20" s="37" t="str">
        <f>IF(B20="","",VLOOKUP(B20,'سجل حساب الزيادة السنوية'!$B$6:$Q$205,13,0))</f>
        <v/>
      </c>
      <c r="O20" s="37" t="str">
        <f>IF(B20="","",VLOOKUP(B20,'سجل حساب الزيادة السنوية'!$B$6:$Q$205,14,0))</f>
        <v/>
      </c>
      <c r="P20" s="37" t="str">
        <f>IF(B20="","",VLOOKUP(B20,'سجل حساب الزيادة السنوية'!$B$6:$Q$205,15,0))</f>
        <v/>
      </c>
      <c r="Q20" s="37" t="str">
        <f>IF(B20="","",VLOOKUP(B20,'سجل حساب الزيادة السنوية'!$B$6:$Q$205,16,0))</f>
        <v/>
      </c>
      <c r="W20" s="28"/>
      <c r="X20" s="28"/>
      <c r="Y20" s="28"/>
      <c r="Z20" s="29" t="s">
        <v>23</v>
      </c>
      <c r="AA20" s="28"/>
      <c r="AB20" s="28"/>
    </row>
    <row r="21" spans="1:28" ht="22.5" customHeight="1" x14ac:dyDescent="0.25">
      <c r="A21" s="32" t="str">
        <f>IF(B21="","",SUBTOTAL(3,B$7:B21))</f>
        <v/>
      </c>
      <c r="B21" s="32" t="str">
        <f>IF('سجل حساب الزيادة السنوية'!B20="","",'سجل حساب الزيادة السنوية'!B20)</f>
        <v/>
      </c>
      <c r="C21" s="32" t="str">
        <f>IF(B21="","",VLOOKUP(B21,'سجل حساب الزيادة السنوية'!$B$6:$Q$205,2,0))</f>
        <v/>
      </c>
      <c r="D21" s="32" t="str">
        <f>IF(B21="","",VLOOKUP(B21,'سجل حساب الزيادة السنوية'!$B$6:$Q$205,3,0))</f>
        <v/>
      </c>
      <c r="E21" s="32" t="str">
        <f>IF(B21="","",VLOOKUP(B21,'سجل حساب الزيادة السنوية'!$B$6:$Q$205,4,0))</f>
        <v/>
      </c>
      <c r="F21" s="36" t="str">
        <f>IF(B21="","",VLOOKUP(B21,'سجل حساب الزيادة السنوية'!$B$6:$Q$205,5,0))</f>
        <v/>
      </c>
      <c r="G21" s="32" t="str">
        <f>IF(B21="","",VLOOKUP(B21,'سجل حساب الزيادة السنوية'!$B$6:$Q$205,6,0))</f>
        <v/>
      </c>
      <c r="H21" s="32" t="str">
        <f>IF(B21="","",VLOOKUP(B21,'سجل حساب الزيادة السنوية'!$B$6:$Q$205,7,0))</f>
        <v/>
      </c>
      <c r="I21" s="33" t="str">
        <f>IF(B21="","",VLOOKUP(B21,'سجل حساب الزيادة السنوية'!$B$6:$Q$205,8,0))</f>
        <v/>
      </c>
      <c r="J21" s="61" t="str">
        <f>IF(B21="","",VLOOKUP(B21,'سجل حساب الزيادة السنوية'!$B$6:$Q$205,9,0))</f>
        <v/>
      </c>
      <c r="K21" s="59" t="str">
        <f>IF(B21="","",VLOOKUP(B21,'سجل حساب الزيادة السنوية'!$B$6:$Q$205,10,0))</f>
        <v/>
      </c>
      <c r="L21" s="37" t="str">
        <f>IF(B21="","",VLOOKUP(B21,'سجل حساب الزيادة السنوية'!$B$6:$Q$205,11,0))</f>
        <v/>
      </c>
      <c r="M21" s="37" t="str">
        <f>IF(B21="","",VLOOKUP(B21,'سجل حساب الزيادة السنوية'!$B$6:$Q$205,12,0))</f>
        <v/>
      </c>
      <c r="N21" s="37" t="str">
        <f>IF(B21="","",VLOOKUP(B21,'سجل حساب الزيادة السنوية'!$B$6:$Q$205,13,0))</f>
        <v/>
      </c>
      <c r="O21" s="37" t="str">
        <f>IF(B21="","",VLOOKUP(B21,'سجل حساب الزيادة السنوية'!$B$6:$Q$205,14,0))</f>
        <v/>
      </c>
      <c r="P21" s="37" t="str">
        <f>IF(B21="","",VLOOKUP(B21,'سجل حساب الزيادة السنوية'!$B$6:$Q$205,15,0))</f>
        <v/>
      </c>
      <c r="Q21" s="37" t="str">
        <f>IF(B21="","",VLOOKUP(B21,'سجل حساب الزيادة السنوية'!$B$6:$Q$205,16,0))</f>
        <v/>
      </c>
      <c r="W21" s="28"/>
      <c r="X21" s="28"/>
      <c r="Y21" s="28"/>
      <c r="Z21" s="29" t="s">
        <v>21</v>
      </c>
      <c r="AA21" s="28"/>
      <c r="AB21" s="28"/>
    </row>
    <row r="22" spans="1:28" ht="22.5" customHeight="1" x14ac:dyDescent="0.25">
      <c r="A22" s="32" t="str">
        <f>IF(B22="","",SUBTOTAL(3,B$7:B22))</f>
        <v/>
      </c>
      <c r="B22" s="32" t="str">
        <f>IF('سجل حساب الزيادة السنوية'!B21="","",'سجل حساب الزيادة السنوية'!B21)</f>
        <v/>
      </c>
      <c r="C22" s="32" t="str">
        <f>IF(B22="","",VLOOKUP(B22,'سجل حساب الزيادة السنوية'!$B$6:$Q$205,2,0))</f>
        <v/>
      </c>
      <c r="D22" s="32" t="str">
        <f>IF(B22="","",VLOOKUP(B22,'سجل حساب الزيادة السنوية'!$B$6:$Q$205,3,0))</f>
        <v/>
      </c>
      <c r="E22" s="32" t="str">
        <f>IF(B22="","",VLOOKUP(B22,'سجل حساب الزيادة السنوية'!$B$6:$Q$205,4,0))</f>
        <v/>
      </c>
      <c r="F22" s="36" t="str">
        <f>IF(B22="","",VLOOKUP(B22,'سجل حساب الزيادة السنوية'!$B$6:$Q$205,5,0))</f>
        <v/>
      </c>
      <c r="G22" s="32" t="str">
        <f>IF(B22="","",VLOOKUP(B22,'سجل حساب الزيادة السنوية'!$B$6:$Q$205,6,0))</f>
        <v/>
      </c>
      <c r="H22" s="32" t="str">
        <f>IF(B22="","",VLOOKUP(B22,'سجل حساب الزيادة السنوية'!$B$6:$Q$205,7,0))</f>
        <v/>
      </c>
      <c r="I22" s="33" t="str">
        <f>IF(B22="","",VLOOKUP(B22,'سجل حساب الزيادة السنوية'!$B$6:$Q$205,8,0))</f>
        <v/>
      </c>
      <c r="J22" s="61" t="str">
        <f>IF(B22="","",VLOOKUP(B22,'سجل حساب الزيادة السنوية'!$B$6:$Q$205,9,0))</f>
        <v/>
      </c>
      <c r="K22" s="59" t="str">
        <f>IF(B22="","",VLOOKUP(B22,'سجل حساب الزيادة السنوية'!$B$6:$Q$205,10,0))</f>
        <v/>
      </c>
      <c r="L22" s="37" t="str">
        <f>IF(B22="","",VLOOKUP(B22,'سجل حساب الزيادة السنوية'!$B$6:$Q$205,11,0))</f>
        <v/>
      </c>
      <c r="M22" s="37" t="str">
        <f>IF(B22="","",VLOOKUP(B22,'سجل حساب الزيادة السنوية'!$B$6:$Q$205,12,0))</f>
        <v/>
      </c>
      <c r="N22" s="37" t="str">
        <f>IF(B22="","",VLOOKUP(B22,'سجل حساب الزيادة السنوية'!$B$6:$Q$205,13,0))</f>
        <v/>
      </c>
      <c r="O22" s="37" t="str">
        <f>IF(B22="","",VLOOKUP(B22,'سجل حساب الزيادة السنوية'!$B$6:$Q$205,14,0))</f>
        <v/>
      </c>
      <c r="P22" s="37" t="str">
        <f>IF(B22="","",VLOOKUP(B22,'سجل حساب الزيادة السنوية'!$B$6:$Q$205,15,0))</f>
        <v/>
      </c>
      <c r="Q22" s="37" t="str">
        <f>IF(B22="","",VLOOKUP(B22,'سجل حساب الزيادة السنوية'!$B$6:$Q$205,16,0))</f>
        <v/>
      </c>
      <c r="W22" s="28"/>
      <c r="X22" s="28"/>
      <c r="Y22" s="28"/>
      <c r="Z22" s="28"/>
      <c r="AA22" s="28"/>
      <c r="AB22" s="28"/>
    </row>
    <row r="23" spans="1:28" ht="22.5" customHeight="1" x14ac:dyDescent="0.25">
      <c r="A23" s="32" t="str">
        <f>IF(B23="","",SUBTOTAL(3,B$7:B23))</f>
        <v/>
      </c>
      <c r="B23" s="32" t="str">
        <f>IF('سجل حساب الزيادة السنوية'!B22="","",'سجل حساب الزيادة السنوية'!B22)</f>
        <v/>
      </c>
      <c r="C23" s="32" t="str">
        <f>IF(B23="","",VLOOKUP(B23,'سجل حساب الزيادة السنوية'!$B$6:$Q$205,2,0))</f>
        <v/>
      </c>
      <c r="D23" s="32" t="str">
        <f>IF(B23="","",VLOOKUP(B23,'سجل حساب الزيادة السنوية'!$B$6:$Q$205,3,0))</f>
        <v/>
      </c>
      <c r="E23" s="32" t="str">
        <f>IF(B23="","",VLOOKUP(B23,'سجل حساب الزيادة السنوية'!$B$6:$Q$205,4,0))</f>
        <v/>
      </c>
      <c r="F23" s="36" t="str">
        <f>IF(B23="","",VLOOKUP(B23,'سجل حساب الزيادة السنوية'!$B$6:$Q$205,5,0))</f>
        <v/>
      </c>
      <c r="G23" s="32" t="str">
        <f>IF(B23="","",VLOOKUP(B23,'سجل حساب الزيادة السنوية'!$B$6:$Q$205,6,0))</f>
        <v/>
      </c>
      <c r="H23" s="32" t="str">
        <f>IF(B23="","",VLOOKUP(B23,'سجل حساب الزيادة السنوية'!$B$6:$Q$205,7,0))</f>
        <v/>
      </c>
      <c r="I23" s="33" t="str">
        <f>IF(B23="","",VLOOKUP(B23,'سجل حساب الزيادة السنوية'!$B$6:$Q$205,8,0))</f>
        <v/>
      </c>
      <c r="J23" s="61" t="str">
        <f>IF(B23="","",VLOOKUP(B23,'سجل حساب الزيادة السنوية'!$B$6:$Q$205,9,0))</f>
        <v/>
      </c>
      <c r="K23" s="59" t="str">
        <f>IF(B23="","",VLOOKUP(B23,'سجل حساب الزيادة السنوية'!$B$6:$Q$205,10,0))</f>
        <v/>
      </c>
      <c r="L23" s="37" t="str">
        <f>IF(B23="","",VLOOKUP(B23,'سجل حساب الزيادة السنوية'!$B$6:$Q$205,11,0))</f>
        <v/>
      </c>
      <c r="M23" s="37" t="str">
        <f>IF(B23="","",VLOOKUP(B23,'سجل حساب الزيادة السنوية'!$B$6:$Q$205,12,0))</f>
        <v/>
      </c>
      <c r="N23" s="37" t="str">
        <f>IF(B23="","",VLOOKUP(B23,'سجل حساب الزيادة السنوية'!$B$6:$Q$205,13,0))</f>
        <v/>
      </c>
      <c r="O23" s="37" t="str">
        <f>IF(B23="","",VLOOKUP(B23,'سجل حساب الزيادة السنوية'!$B$6:$Q$205,14,0))</f>
        <v/>
      </c>
      <c r="P23" s="37" t="str">
        <f>IF(B23="","",VLOOKUP(B23,'سجل حساب الزيادة السنوية'!$B$6:$Q$205,15,0))</f>
        <v/>
      </c>
      <c r="Q23" s="37" t="str">
        <f>IF(B23="","",VLOOKUP(B23,'سجل حساب الزيادة السنوية'!$B$6:$Q$205,16,0))</f>
        <v/>
      </c>
      <c r="W23" s="28"/>
      <c r="X23" s="28"/>
      <c r="Y23" s="28"/>
      <c r="Z23" s="28"/>
      <c r="AA23" s="28"/>
      <c r="AB23" s="28"/>
    </row>
    <row r="24" spans="1:28" ht="22.5" customHeight="1" x14ac:dyDescent="0.25">
      <c r="A24" s="32" t="str">
        <f>IF(B24="","",SUBTOTAL(3,B$7:B24))</f>
        <v/>
      </c>
      <c r="B24" s="32" t="str">
        <f>IF('سجل حساب الزيادة السنوية'!B23="","",'سجل حساب الزيادة السنوية'!B23)</f>
        <v/>
      </c>
      <c r="C24" s="32" t="str">
        <f>IF(B24="","",VLOOKUP(B24,'سجل حساب الزيادة السنوية'!$B$6:$Q$205,2,0))</f>
        <v/>
      </c>
      <c r="D24" s="32" t="str">
        <f>IF(B24="","",VLOOKUP(B24,'سجل حساب الزيادة السنوية'!$B$6:$Q$205,3,0))</f>
        <v/>
      </c>
      <c r="E24" s="32" t="str">
        <f>IF(B24="","",VLOOKUP(B24,'سجل حساب الزيادة السنوية'!$B$6:$Q$205,4,0))</f>
        <v/>
      </c>
      <c r="F24" s="36" t="str">
        <f>IF(B24="","",VLOOKUP(B24,'سجل حساب الزيادة السنوية'!$B$6:$Q$205,5,0))</f>
        <v/>
      </c>
      <c r="G24" s="32" t="str">
        <f>IF(B24="","",VLOOKUP(B24,'سجل حساب الزيادة السنوية'!$B$6:$Q$205,6,0))</f>
        <v/>
      </c>
      <c r="H24" s="32" t="str">
        <f>IF(B24="","",VLOOKUP(B24,'سجل حساب الزيادة السنوية'!$B$6:$Q$205,7,0))</f>
        <v/>
      </c>
      <c r="I24" s="33" t="str">
        <f>IF(B24="","",VLOOKUP(B24,'سجل حساب الزيادة السنوية'!$B$6:$Q$205,8,0))</f>
        <v/>
      </c>
      <c r="J24" s="61" t="str">
        <f>IF(B24="","",VLOOKUP(B24,'سجل حساب الزيادة السنوية'!$B$6:$Q$205,9,0))</f>
        <v/>
      </c>
      <c r="K24" s="59" t="str">
        <f>IF(B24="","",VLOOKUP(B24,'سجل حساب الزيادة السنوية'!$B$6:$Q$205,10,0))</f>
        <v/>
      </c>
      <c r="L24" s="37" t="str">
        <f>IF(B24="","",VLOOKUP(B24,'سجل حساب الزيادة السنوية'!$B$6:$Q$205,11,0))</f>
        <v/>
      </c>
      <c r="M24" s="37" t="str">
        <f>IF(B24="","",VLOOKUP(B24,'سجل حساب الزيادة السنوية'!$B$6:$Q$205,12,0))</f>
        <v/>
      </c>
      <c r="N24" s="37" t="str">
        <f>IF(B24="","",VLOOKUP(B24,'سجل حساب الزيادة السنوية'!$B$6:$Q$205,13,0))</f>
        <v/>
      </c>
      <c r="O24" s="37" t="str">
        <f>IF(B24="","",VLOOKUP(B24,'سجل حساب الزيادة السنوية'!$B$6:$Q$205,14,0))</f>
        <v/>
      </c>
      <c r="P24" s="37" t="str">
        <f>IF(B24="","",VLOOKUP(B24,'سجل حساب الزيادة السنوية'!$B$6:$Q$205,15,0))</f>
        <v/>
      </c>
      <c r="Q24" s="37" t="str">
        <f>IF(B24="","",VLOOKUP(B24,'سجل حساب الزيادة السنوية'!$B$6:$Q$205,16,0))</f>
        <v/>
      </c>
      <c r="W24" s="28"/>
      <c r="X24" s="28"/>
      <c r="Y24" s="28"/>
      <c r="Z24" s="28"/>
      <c r="AA24" s="28"/>
      <c r="AB24" s="28"/>
    </row>
    <row r="25" spans="1:28" ht="22.5" customHeight="1" x14ac:dyDescent="0.25">
      <c r="A25" s="32" t="str">
        <f>IF(B25="","",SUBTOTAL(3,B$7:B25))</f>
        <v/>
      </c>
      <c r="B25" s="32" t="str">
        <f>IF('سجل حساب الزيادة السنوية'!B24="","",'سجل حساب الزيادة السنوية'!B24)</f>
        <v/>
      </c>
      <c r="C25" s="32" t="str">
        <f>IF(B25="","",VLOOKUP(B25,'سجل حساب الزيادة السنوية'!$B$6:$Q$205,2,0))</f>
        <v/>
      </c>
      <c r="D25" s="32" t="str">
        <f>IF(B25="","",VLOOKUP(B25,'سجل حساب الزيادة السنوية'!$B$6:$Q$205,3,0))</f>
        <v/>
      </c>
      <c r="E25" s="32" t="str">
        <f>IF(B25="","",VLOOKUP(B25,'سجل حساب الزيادة السنوية'!$B$6:$Q$205,4,0))</f>
        <v/>
      </c>
      <c r="F25" s="36" t="str">
        <f>IF(B25="","",VLOOKUP(B25,'سجل حساب الزيادة السنوية'!$B$6:$Q$205,5,0))</f>
        <v/>
      </c>
      <c r="G25" s="32" t="str">
        <f>IF(B25="","",VLOOKUP(B25,'سجل حساب الزيادة السنوية'!$B$6:$Q$205,6,0))</f>
        <v/>
      </c>
      <c r="H25" s="32" t="str">
        <f>IF(B25="","",VLOOKUP(B25,'سجل حساب الزيادة السنوية'!$B$6:$Q$205,7,0))</f>
        <v/>
      </c>
      <c r="I25" s="33" t="str">
        <f>IF(B25="","",VLOOKUP(B25,'سجل حساب الزيادة السنوية'!$B$6:$Q$205,8,0))</f>
        <v/>
      </c>
      <c r="J25" s="61" t="str">
        <f>IF(B25="","",VLOOKUP(B25,'سجل حساب الزيادة السنوية'!$B$6:$Q$205,9,0))</f>
        <v/>
      </c>
      <c r="K25" s="59" t="str">
        <f>IF(B25="","",VLOOKUP(B25,'سجل حساب الزيادة السنوية'!$B$6:$Q$205,10,0))</f>
        <v/>
      </c>
      <c r="L25" s="37" t="str">
        <f>IF(B25="","",VLOOKUP(B25,'سجل حساب الزيادة السنوية'!$B$6:$Q$205,11,0))</f>
        <v/>
      </c>
      <c r="M25" s="37" t="str">
        <f>IF(B25="","",VLOOKUP(B25,'سجل حساب الزيادة السنوية'!$B$6:$Q$205,12,0))</f>
        <v/>
      </c>
      <c r="N25" s="37" t="str">
        <f>IF(B25="","",VLOOKUP(B25,'سجل حساب الزيادة السنوية'!$B$6:$Q$205,13,0))</f>
        <v/>
      </c>
      <c r="O25" s="37" t="str">
        <f>IF(B25="","",VLOOKUP(B25,'سجل حساب الزيادة السنوية'!$B$6:$Q$205,14,0))</f>
        <v/>
      </c>
      <c r="P25" s="37" t="str">
        <f>IF(B25="","",VLOOKUP(B25,'سجل حساب الزيادة السنوية'!$B$6:$Q$205,15,0))</f>
        <v/>
      </c>
      <c r="Q25" s="37" t="str">
        <f>IF(B25="","",VLOOKUP(B25,'سجل حساب الزيادة السنوية'!$B$6:$Q$205,16,0))</f>
        <v/>
      </c>
      <c r="W25" s="28"/>
      <c r="X25" s="28"/>
      <c r="Y25" s="28"/>
      <c r="Z25" s="28"/>
      <c r="AA25" s="28"/>
      <c r="AB25" s="28"/>
    </row>
    <row r="26" spans="1:28" ht="22.5" customHeight="1" x14ac:dyDescent="0.25">
      <c r="A26" s="32" t="str">
        <f>IF(B26="","",SUBTOTAL(3,B$7:B26))</f>
        <v/>
      </c>
      <c r="B26" s="32" t="str">
        <f>IF('سجل حساب الزيادة السنوية'!B25="","",'سجل حساب الزيادة السنوية'!B25)</f>
        <v/>
      </c>
      <c r="C26" s="32" t="str">
        <f>IF(B26="","",VLOOKUP(B26,'سجل حساب الزيادة السنوية'!$B$6:$Q$205,2,0))</f>
        <v/>
      </c>
      <c r="D26" s="32" t="str">
        <f>IF(B26="","",VLOOKUP(B26,'سجل حساب الزيادة السنوية'!$B$6:$Q$205,3,0))</f>
        <v/>
      </c>
      <c r="E26" s="32" t="str">
        <f>IF(B26="","",VLOOKUP(B26,'سجل حساب الزيادة السنوية'!$B$6:$Q$205,4,0))</f>
        <v/>
      </c>
      <c r="F26" s="36" t="str">
        <f>IF(B26="","",VLOOKUP(B26,'سجل حساب الزيادة السنوية'!$B$6:$Q$205,5,0))</f>
        <v/>
      </c>
      <c r="G26" s="32" t="str">
        <f>IF(B26="","",VLOOKUP(B26,'سجل حساب الزيادة السنوية'!$B$6:$Q$205,6,0))</f>
        <v/>
      </c>
      <c r="H26" s="32" t="str">
        <f>IF(B26="","",VLOOKUP(B26,'سجل حساب الزيادة السنوية'!$B$6:$Q$205,7,0))</f>
        <v/>
      </c>
      <c r="I26" s="33" t="str">
        <f>IF(B26="","",VLOOKUP(B26,'سجل حساب الزيادة السنوية'!$B$6:$Q$205,8,0))</f>
        <v/>
      </c>
      <c r="J26" s="61" t="str">
        <f>IF(B26="","",VLOOKUP(B26,'سجل حساب الزيادة السنوية'!$B$6:$Q$205,9,0))</f>
        <v/>
      </c>
      <c r="K26" s="59" t="str">
        <f>IF(B26="","",VLOOKUP(B26,'سجل حساب الزيادة السنوية'!$B$6:$Q$205,10,0))</f>
        <v/>
      </c>
      <c r="L26" s="37" t="str">
        <f>IF(B26="","",VLOOKUP(B26,'سجل حساب الزيادة السنوية'!$B$6:$Q$205,11,0))</f>
        <v/>
      </c>
      <c r="M26" s="37" t="str">
        <f>IF(B26="","",VLOOKUP(B26,'سجل حساب الزيادة السنوية'!$B$6:$Q$205,12,0))</f>
        <v/>
      </c>
      <c r="N26" s="37" t="str">
        <f>IF(B26="","",VLOOKUP(B26,'سجل حساب الزيادة السنوية'!$B$6:$Q$205,13,0))</f>
        <v/>
      </c>
      <c r="O26" s="37" t="str">
        <f>IF(B26="","",VLOOKUP(B26,'سجل حساب الزيادة السنوية'!$B$6:$Q$205,14,0))</f>
        <v/>
      </c>
      <c r="P26" s="37" t="str">
        <f>IF(B26="","",VLOOKUP(B26,'سجل حساب الزيادة السنوية'!$B$6:$Q$205,15,0))</f>
        <v/>
      </c>
      <c r="Q26" s="37" t="str">
        <f>IF(B26="","",VLOOKUP(B26,'سجل حساب الزيادة السنوية'!$B$6:$Q$205,16,0))</f>
        <v/>
      </c>
    </row>
    <row r="27" spans="1:28" ht="22.5" customHeight="1" x14ac:dyDescent="0.25">
      <c r="A27" s="32" t="str">
        <f>IF(B27="","",SUBTOTAL(3,B$7:B27))</f>
        <v/>
      </c>
      <c r="B27" s="32" t="str">
        <f>IF('سجل حساب الزيادة السنوية'!B26="","",'سجل حساب الزيادة السنوية'!B26)</f>
        <v/>
      </c>
      <c r="C27" s="32" t="str">
        <f>IF(B27="","",VLOOKUP(B27,'سجل حساب الزيادة السنوية'!$B$6:$Q$205,2,0))</f>
        <v/>
      </c>
      <c r="D27" s="32" t="str">
        <f>IF(B27="","",VLOOKUP(B27,'سجل حساب الزيادة السنوية'!$B$6:$Q$205,3,0))</f>
        <v/>
      </c>
      <c r="E27" s="32" t="str">
        <f>IF(B27="","",VLOOKUP(B27,'سجل حساب الزيادة السنوية'!$B$6:$Q$205,4,0))</f>
        <v/>
      </c>
      <c r="F27" s="36" t="str">
        <f>IF(B27="","",VLOOKUP(B27,'سجل حساب الزيادة السنوية'!$B$6:$Q$205,5,0))</f>
        <v/>
      </c>
      <c r="G27" s="32" t="str">
        <f>IF(B27="","",VLOOKUP(B27,'سجل حساب الزيادة السنوية'!$B$6:$Q$205,6,0))</f>
        <v/>
      </c>
      <c r="H27" s="32" t="str">
        <f>IF(B27="","",VLOOKUP(B27,'سجل حساب الزيادة السنوية'!$B$6:$Q$205,7,0))</f>
        <v/>
      </c>
      <c r="I27" s="33" t="str">
        <f>IF(B27="","",VLOOKUP(B27,'سجل حساب الزيادة السنوية'!$B$6:$Q$205,8,0))</f>
        <v/>
      </c>
      <c r="J27" s="61" t="str">
        <f>IF(B27="","",VLOOKUP(B27,'سجل حساب الزيادة السنوية'!$B$6:$Q$205,9,0))</f>
        <v/>
      </c>
      <c r="K27" s="59" t="str">
        <f>IF(B27="","",VLOOKUP(B27,'سجل حساب الزيادة السنوية'!$B$6:$Q$205,10,0))</f>
        <v/>
      </c>
      <c r="L27" s="37" t="str">
        <f>IF(B27="","",VLOOKUP(B27,'سجل حساب الزيادة السنوية'!$B$6:$Q$205,11,0))</f>
        <v/>
      </c>
      <c r="M27" s="37" t="str">
        <f>IF(B27="","",VLOOKUP(B27,'سجل حساب الزيادة السنوية'!$B$6:$Q$205,12,0))</f>
        <v/>
      </c>
      <c r="N27" s="37" t="str">
        <f>IF(B27="","",VLOOKUP(B27,'سجل حساب الزيادة السنوية'!$B$6:$Q$205,13,0))</f>
        <v/>
      </c>
      <c r="O27" s="37" t="str">
        <f>IF(B27="","",VLOOKUP(B27,'سجل حساب الزيادة السنوية'!$B$6:$Q$205,14,0))</f>
        <v/>
      </c>
      <c r="P27" s="37" t="str">
        <f>IF(B27="","",VLOOKUP(B27,'سجل حساب الزيادة السنوية'!$B$6:$Q$205,15,0))</f>
        <v/>
      </c>
      <c r="Q27" s="37" t="str">
        <f>IF(B27="","",VLOOKUP(B27,'سجل حساب الزيادة السنوية'!$B$6:$Q$205,16,0))</f>
        <v/>
      </c>
    </row>
    <row r="28" spans="1:28" ht="22.5" customHeight="1" x14ac:dyDescent="0.25">
      <c r="A28" s="32" t="str">
        <f>IF(B28="","",SUBTOTAL(3,B$7:B28))</f>
        <v/>
      </c>
      <c r="B28" s="32" t="str">
        <f>IF('سجل حساب الزيادة السنوية'!B27="","",'سجل حساب الزيادة السنوية'!B27)</f>
        <v/>
      </c>
      <c r="C28" s="32" t="str">
        <f>IF(B28="","",VLOOKUP(B28,'سجل حساب الزيادة السنوية'!$B$6:$Q$205,2,0))</f>
        <v/>
      </c>
      <c r="D28" s="32" t="str">
        <f>IF(B28="","",VLOOKUP(B28,'سجل حساب الزيادة السنوية'!$B$6:$Q$205,3,0))</f>
        <v/>
      </c>
      <c r="E28" s="32" t="str">
        <f>IF(B28="","",VLOOKUP(B28,'سجل حساب الزيادة السنوية'!$B$6:$Q$205,4,0))</f>
        <v/>
      </c>
      <c r="F28" s="36" t="str">
        <f>IF(B28="","",VLOOKUP(B28,'سجل حساب الزيادة السنوية'!$B$6:$Q$205,5,0))</f>
        <v/>
      </c>
      <c r="G28" s="32" t="str">
        <f>IF(B28="","",VLOOKUP(B28,'سجل حساب الزيادة السنوية'!$B$6:$Q$205,6,0))</f>
        <v/>
      </c>
      <c r="H28" s="32" t="str">
        <f>IF(B28="","",VLOOKUP(B28,'سجل حساب الزيادة السنوية'!$B$6:$Q$205,7,0))</f>
        <v/>
      </c>
      <c r="I28" s="33" t="str">
        <f>IF(B28="","",VLOOKUP(B28,'سجل حساب الزيادة السنوية'!$B$6:$Q$205,8,0))</f>
        <v/>
      </c>
      <c r="J28" s="61" t="str">
        <f>IF(B28="","",VLOOKUP(B28,'سجل حساب الزيادة السنوية'!$B$6:$Q$205,9,0))</f>
        <v/>
      </c>
      <c r="K28" s="59" t="str">
        <f>IF(B28="","",VLOOKUP(B28,'سجل حساب الزيادة السنوية'!$B$6:$Q$205,10,0))</f>
        <v/>
      </c>
      <c r="L28" s="37" t="str">
        <f>IF(B28="","",VLOOKUP(B28,'سجل حساب الزيادة السنوية'!$B$6:$Q$205,11,0))</f>
        <v/>
      </c>
      <c r="M28" s="37" t="str">
        <f>IF(B28="","",VLOOKUP(B28,'سجل حساب الزيادة السنوية'!$B$6:$Q$205,12,0))</f>
        <v/>
      </c>
      <c r="N28" s="37" t="str">
        <f>IF(B28="","",VLOOKUP(B28,'سجل حساب الزيادة السنوية'!$B$6:$Q$205,13,0))</f>
        <v/>
      </c>
      <c r="O28" s="37" t="str">
        <f>IF(B28="","",VLOOKUP(B28,'سجل حساب الزيادة السنوية'!$B$6:$Q$205,14,0))</f>
        <v/>
      </c>
      <c r="P28" s="37" t="str">
        <f>IF(B28="","",VLOOKUP(B28,'سجل حساب الزيادة السنوية'!$B$6:$Q$205,15,0))</f>
        <v/>
      </c>
      <c r="Q28" s="37" t="str">
        <f>IF(B28="","",VLOOKUP(B28,'سجل حساب الزيادة السنوية'!$B$6:$Q$205,16,0))</f>
        <v/>
      </c>
    </row>
    <row r="29" spans="1:28" ht="22.5" customHeight="1" x14ac:dyDescent="0.25">
      <c r="A29" s="32" t="str">
        <f>IF(B29="","",SUBTOTAL(3,B$7:B29))</f>
        <v/>
      </c>
      <c r="B29" s="32" t="str">
        <f>IF('سجل حساب الزيادة السنوية'!B28="","",'سجل حساب الزيادة السنوية'!B28)</f>
        <v/>
      </c>
      <c r="C29" s="32" t="str">
        <f>IF(B29="","",VLOOKUP(B29,'سجل حساب الزيادة السنوية'!$B$6:$Q$205,2,0))</f>
        <v/>
      </c>
      <c r="D29" s="32" t="str">
        <f>IF(B29="","",VLOOKUP(B29,'سجل حساب الزيادة السنوية'!$B$6:$Q$205,3,0))</f>
        <v/>
      </c>
      <c r="E29" s="32" t="str">
        <f>IF(B29="","",VLOOKUP(B29,'سجل حساب الزيادة السنوية'!$B$6:$Q$205,4,0))</f>
        <v/>
      </c>
      <c r="F29" s="36" t="str">
        <f>IF(B29="","",VLOOKUP(B29,'سجل حساب الزيادة السنوية'!$B$6:$Q$205,5,0))</f>
        <v/>
      </c>
      <c r="G29" s="32" t="str">
        <f>IF(B29="","",VLOOKUP(B29,'سجل حساب الزيادة السنوية'!$B$6:$Q$205,6,0))</f>
        <v/>
      </c>
      <c r="H29" s="32" t="str">
        <f>IF(B29="","",VLOOKUP(B29,'سجل حساب الزيادة السنوية'!$B$6:$Q$205,7,0))</f>
        <v/>
      </c>
      <c r="I29" s="33" t="str">
        <f>IF(B29="","",VLOOKUP(B29,'سجل حساب الزيادة السنوية'!$B$6:$Q$205,8,0))</f>
        <v/>
      </c>
      <c r="J29" s="61" t="str">
        <f>IF(B29="","",VLOOKUP(B29,'سجل حساب الزيادة السنوية'!$B$6:$Q$205,9,0))</f>
        <v/>
      </c>
      <c r="K29" s="59" t="str">
        <f>IF(B29="","",VLOOKUP(B29,'سجل حساب الزيادة السنوية'!$B$6:$Q$205,10,0))</f>
        <v/>
      </c>
      <c r="L29" s="37" t="str">
        <f>IF(B29="","",VLOOKUP(B29,'سجل حساب الزيادة السنوية'!$B$6:$Q$205,11,0))</f>
        <v/>
      </c>
      <c r="M29" s="37" t="str">
        <f>IF(B29="","",VLOOKUP(B29,'سجل حساب الزيادة السنوية'!$B$6:$Q$205,12,0))</f>
        <v/>
      </c>
      <c r="N29" s="37" t="str">
        <f>IF(B29="","",VLOOKUP(B29,'سجل حساب الزيادة السنوية'!$B$6:$Q$205,13,0))</f>
        <v/>
      </c>
      <c r="O29" s="37" t="str">
        <f>IF(B29="","",VLOOKUP(B29,'سجل حساب الزيادة السنوية'!$B$6:$Q$205,14,0))</f>
        <v/>
      </c>
      <c r="P29" s="37" t="str">
        <f>IF(B29="","",VLOOKUP(B29,'سجل حساب الزيادة السنوية'!$B$6:$Q$205,15,0))</f>
        <v/>
      </c>
      <c r="Q29" s="37" t="str">
        <f>IF(B29="","",VLOOKUP(B29,'سجل حساب الزيادة السنوية'!$B$6:$Q$205,16,0))</f>
        <v/>
      </c>
    </row>
    <row r="30" spans="1:28" ht="22.5" customHeight="1" x14ac:dyDescent="0.25">
      <c r="A30" s="32" t="str">
        <f>IF(B30="","",SUBTOTAL(3,B$7:B30))</f>
        <v/>
      </c>
      <c r="B30" s="32" t="str">
        <f>IF('سجل حساب الزيادة السنوية'!B29="","",'سجل حساب الزيادة السنوية'!B29)</f>
        <v/>
      </c>
      <c r="C30" s="32" t="str">
        <f>IF(B30="","",VLOOKUP(B30,'سجل حساب الزيادة السنوية'!$B$6:$Q$205,2,0))</f>
        <v/>
      </c>
      <c r="D30" s="32" t="str">
        <f>IF(B30="","",VLOOKUP(B30,'سجل حساب الزيادة السنوية'!$B$6:$Q$205,3,0))</f>
        <v/>
      </c>
      <c r="E30" s="32" t="str">
        <f>IF(B30="","",VLOOKUP(B30,'سجل حساب الزيادة السنوية'!$B$6:$Q$205,4,0))</f>
        <v/>
      </c>
      <c r="F30" s="36" t="str">
        <f>IF(B30="","",VLOOKUP(B30,'سجل حساب الزيادة السنوية'!$B$6:$Q$205,5,0))</f>
        <v/>
      </c>
      <c r="G30" s="32" t="str">
        <f>IF(B30="","",VLOOKUP(B30,'سجل حساب الزيادة السنوية'!$B$6:$Q$205,6,0))</f>
        <v/>
      </c>
      <c r="H30" s="32" t="str">
        <f>IF(B30="","",VLOOKUP(B30,'سجل حساب الزيادة السنوية'!$B$6:$Q$205,7,0))</f>
        <v/>
      </c>
      <c r="I30" s="33" t="str">
        <f>IF(B30="","",VLOOKUP(B30,'سجل حساب الزيادة السنوية'!$B$6:$Q$205,8,0))</f>
        <v/>
      </c>
      <c r="J30" s="61" t="str">
        <f>IF(B30="","",VLOOKUP(B30,'سجل حساب الزيادة السنوية'!$B$6:$Q$205,9,0))</f>
        <v/>
      </c>
      <c r="K30" s="59" t="str">
        <f>IF(B30="","",VLOOKUP(B30,'سجل حساب الزيادة السنوية'!$B$6:$Q$205,10,0))</f>
        <v/>
      </c>
      <c r="L30" s="37" t="str">
        <f>IF(B30="","",VLOOKUP(B30,'سجل حساب الزيادة السنوية'!$B$6:$Q$205,11,0))</f>
        <v/>
      </c>
      <c r="M30" s="37" t="str">
        <f>IF(B30="","",VLOOKUP(B30,'سجل حساب الزيادة السنوية'!$B$6:$Q$205,12,0))</f>
        <v/>
      </c>
      <c r="N30" s="37" t="str">
        <f>IF(B30="","",VLOOKUP(B30,'سجل حساب الزيادة السنوية'!$B$6:$Q$205,13,0))</f>
        <v/>
      </c>
      <c r="O30" s="37" t="str">
        <f>IF(B30="","",VLOOKUP(B30,'سجل حساب الزيادة السنوية'!$B$6:$Q$205,14,0))</f>
        <v/>
      </c>
      <c r="P30" s="37" t="str">
        <f>IF(B30="","",VLOOKUP(B30,'سجل حساب الزيادة السنوية'!$B$6:$Q$205,15,0))</f>
        <v/>
      </c>
      <c r="Q30" s="37" t="str">
        <f>IF(B30="","",VLOOKUP(B30,'سجل حساب الزيادة السنوية'!$B$6:$Q$205,16,0))</f>
        <v/>
      </c>
    </row>
    <row r="31" spans="1:28" ht="22.5" customHeight="1" x14ac:dyDescent="0.25">
      <c r="A31" s="32" t="str">
        <f>IF(B31="","",SUBTOTAL(3,B$7:B31))</f>
        <v/>
      </c>
      <c r="B31" s="32" t="str">
        <f>IF('سجل حساب الزيادة السنوية'!B30="","",'سجل حساب الزيادة السنوية'!B30)</f>
        <v/>
      </c>
      <c r="C31" s="32" t="str">
        <f>IF(B31="","",VLOOKUP(B31,'سجل حساب الزيادة السنوية'!$B$6:$Q$205,2,0))</f>
        <v/>
      </c>
      <c r="D31" s="32" t="str">
        <f>IF(B31="","",VLOOKUP(B31,'سجل حساب الزيادة السنوية'!$B$6:$Q$205,3,0))</f>
        <v/>
      </c>
      <c r="E31" s="32" t="str">
        <f>IF(B31="","",VLOOKUP(B31,'سجل حساب الزيادة السنوية'!$B$6:$Q$205,4,0))</f>
        <v/>
      </c>
      <c r="F31" s="36" t="str">
        <f>IF(B31="","",VLOOKUP(B31,'سجل حساب الزيادة السنوية'!$B$6:$Q$205,5,0))</f>
        <v/>
      </c>
      <c r="G31" s="32" t="str">
        <f>IF(B31="","",VLOOKUP(B31,'سجل حساب الزيادة السنوية'!$B$6:$Q$205,6,0))</f>
        <v/>
      </c>
      <c r="H31" s="32" t="str">
        <f>IF(B31="","",VLOOKUP(B31,'سجل حساب الزيادة السنوية'!$B$6:$Q$205,7,0))</f>
        <v/>
      </c>
      <c r="I31" s="33" t="str">
        <f>IF(B31="","",VLOOKUP(B31,'سجل حساب الزيادة السنوية'!$B$6:$Q$205,8,0))</f>
        <v/>
      </c>
      <c r="J31" s="61" t="str">
        <f>IF(B31="","",VLOOKUP(B31,'سجل حساب الزيادة السنوية'!$B$6:$Q$205,9,0))</f>
        <v/>
      </c>
      <c r="K31" s="59" t="str">
        <f>IF(B31="","",VLOOKUP(B31,'سجل حساب الزيادة السنوية'!$B$6:$Q$205,10,0))</f>
        <v/>
      </c>
      <c r="L31" s="37" t="str">
        <f>IF(B31="","",VLOOKUP(B31,'سجل حساب الزيادة السنوية'!$B$6:$Q$205,11,0))</f>
        <v/>
      </c>
      <c r="M31" s="37" t="str">
        <f>IF(B31="","",VLOOKUP(B31,'سجل حساب الزيادة السنوية'!$B$6:$Q$205,12,0))</f>
        <v/>
      </c>
      <c r="N31" s="37" t="str">
        <f>IF(B31="","",VLOOKUP(B31,'سجل حساب الزيادة السنوية'!$B$6:$Q$205,13,0))</f>
        <v/>
      </c>
      <c r="O31" s="37" t="str">
        <f>IF(B31="","",VLOOKUP(B31,'سجل حساب الزيادة السنوية'!$B$6:$Q$205,14,0))</f>
        <v/>
      </c>
      <c r="P31" s="37" t="str">
        <f>IF(B31="","",VLOOKUP(B31,'سجل حساب الزيادة السنوية'!$B$6:$Q$205,15,0))</f>
        <v/>
      </c>
      <c r="Q31" s="37" t="str">
        <f>IF(B31="","",VLOOKUP(B31,'سجل حساب الزيادة السنوية'!$B$6:$Q$205,16,0))</f>
        <v/>
      </c>
    </row>
    <row r="32" spans="1:28" ht="22.5" customHeight="1" x14ac:dyDescent="0.25">
      <c r="A32" s="32" t="str">
        <f>IF(B32="","",SUBTOTAL(3,B$7:B32))</f>
        <v/>
      </c>
      <c r="B32" s="32" t="str">
        <f>IF('سجل حساب الزيادة السنوية'!B31="","",'سجل حساب الزيادة السنوية'!B31)</f>
        <v/>
      </c>
      <c r="C32" s="32" t="str">
        <f>IF(B32="","",VLOOKUP(B32,'سجل حساب الزيادة السنوية'!$B$6:$Q$205,2,0))</f>
        <v/>
      </c>
      <c r="D32" s="32" t="str">
        <f>IF(B32="","",VLOOKUP(B32,'سجل حساب الزيادة السنوية'!$B$6:$Q$205,3,0))</f>
        <v/>
      </c>
      <c r="E32" s="32" t="str">
        <f>IF(B32="","",VLOOKUP(B32,'سجل حساب الزيادة السنوية'!$B$6:$Q$205,4,0))</f>
        <v/>
      </c>
      <c r="F32" s="36" t="str">
        <f>IF(B32="","",VLOOKUP(B32,'سجل حساب الزيادة السنوية'!$B$6:$Q$205,5,0))</f>
        <v/>
      </c>
      <c r="G32" s="32" t="str">
        <f>IF(B32="","",VLOOKUP(B32,'سجل حساب الزيادة السنوية'!$B$6:$Q$205,6,0))</f>
        <v/>
      </c>
      <c r="H32" s="32" t="str">
        <f>IF(B32="","",VLOOKUP(B32,'سجل حساب الزيادة السنوية'!$B$6:$Q$205,7,0))</f>
        <v/>
      </c>
      <c r="I32" s="33" t="str">
        <f>IF(B32="","",VLOOKUP(B32,'سجل حساب الزيادة السنوية'!$B$6:$Q$205,8,0))</f>
        <v/>
      </c>
      <c r="J32" s="61" t="str">
        <f>IF(B32="","",VLOOKUP(B32,'سجل حساب الزيادة السنوية'!$B$6:$Q$205,9,0))</f>
        <v/>
      </c>
      <c r="K32" s="59" t="str">
        <f>IF(B32="","",VLOOKUP(B32,'سجل حساب الزيادة السنوية'!$B$6:$Q$205,10,0))</f>
        <v/>
      </c>
      <c r="L32" s="37" t="str">
        <f>IF(B32="","",VLOOKUP(B32,'سجل حساب الزيادة السنوية'!$B$6:$Q$205,11,0))</f>
        <v/>
      </c>
      <c r="M32" s="37" t="str">
        <f>IF(B32="","",VLOOKUP(B32,'سجل حساب الزيادة السنوية'!$B$6:$Q$205,12,0))</f>
        <v/>
      </c>
      <c r="N32" s="37" t="str">
        <f>IF(B32="","",VLOOKUP(B32,'سجل حساب الزيادة السنوية'!$B$6:$Q$205,13,0))</f>
        <v/>
      </c>
      <c r="O32" s="37" t="str">
        <f>IF(B32="","",VLOOKUP(B32,'سجل حساب الزيادة السنوية'!$B$6:$Q$205,14,0))</f>
        <v/>
      </c>
      <c r="P32" s="37" t="str">
        <f>IF(B32="","",VLOOKUP(B32,'سجل حساب الزيادة السنوية'!$B$6:$Q$205,15,0))</f>
        <v/>
      </c>
      <c r="Q32" s="37" t="str">
        <f>IF(B32="","",VLOOKUP(B32,'سجل حساب الزيادة السنوية'!$B$6:$Q$205,16,0))</f>
        <v/>
      </c>
    </row>
    <row r="33" spans="1:17" ht="22.5" customHeight="1" x14ac:dyDescent="0.25">
      <c r="A33" s="32" t="str">
        <f>IF(B33="","",SUBTOTAL(3,B$7:B33))</f>
        <v/>
      </c>
      <c r="B33" s="32" t="str">
        <f>IF('سجل حساب الزيادة السنوية'!B32="","",'سجل حساب الزيادة السنوية'!B32)</f>
        <v/>
      </c>
      <c r="C33" s="32" t="str">
        <f>IF(B33="","",VLOOKUP(B33,'سجل حساب الزيادة السنوية'!$B$6:$Q$205,2,0))</f>
        <v/>
      </c>
      <c r="D33" s="32" t="str">
        <f>IF(B33="","",VLOOKUP(B33,'سجل حساب الزيادة السنوية'!$B$6:$Q$205,3,0))</f>
        <v/>
      </c>
      <c r="E33" s="32" t="str">
        <f>IF(B33="","",VLOOKUP(B33,'سجل حساب الزيادة السنوية'!$B$6:$Q$205,4,0))</f>
        <v/>
      </c>
      <c r="F33" s="36" t="str">
        <f>IF(B33="","",VLOOKUP(B33,'سجل حساب الزيادة السنوية'!$B$6:$Q$205,5,0))</f>
        <v/>
      </c>
      <c r="G33" s="32" t="str">
        <f>IF(B33="","",VLOOKUP(B33,'سجل حساب الزيادة السنوية'!$B$6:$Q$205,6,0))</f>
        <v/>
      </c>
      <c r="H33" s="32" t="str">
        <f>IF(B33="","",VLOOKUP(B33,'سجل حساب الزيادة السنوية'!$B$6:$Q$205,7,0))</f>
        <v/>
      </c>
      <c r="I33" s="33" t="str">
        <f>IF(B33="","",VLOOKUP(B33,'سجل حساب الزيادة السنوية'!$B$6:$Q$205,8,0))</f>
        <v/>
      </c>
      <c r="J33" s="61" t="str">
        <f>IF(B33="","",VLOOKUP(B33,'سجل حساب الزيادة السنوية'!$B$6:$Q$205,9,0))</f>
        <v/>
      </c>
      <c r="K33" s="59" t="str">
        <f>IF(B33="","",VLOOKUP(B33,'سجل حساب الزيادة السنوية'!$B$6:$Q$205,10,0))</f>
        <v/>
      </c>
      <c r="L33" s="37" t="str">
        <f>IF(B33="","",VLOOKUP(B33,'سجل حساب الزيادة السنوية'!$B$6:$Q$205,11,0))</f>
        <v/>
      </c>
      <c r="M33" s="37" t="str">
        <f>IF(B33="","",VLOOKUP(B33,'سجل حساب الزيادة السنوية'!$B$6:$Q$205,12,0))</f>
        <v/>
      </c>
      <c r="N33" s="37" t="str">
        <f>IF(B33="","",VLOOKUP(B33,'سجل حساب الزيادة السنوية'!$B$6:$Q$205,13,0))</f>
        <v/>
      </c>
      <c r="O33" s="37" t="str">
        <f>IF(B33="","",VLOOKUP(B33,'سجل حساب الزيادة السنوية'!$B$6:$Q$205,14,0))</f>
        <v/>
      </c>
      <c r="P33" s="37" t="str">
        <f>IF(B33="","",VLOOKUP(B33,'سجل حساب الزيادة السنوية'!$B$6:$Q$205,15,0))</f>
        <v/>
      </c>
      <c r="Q33" s="37" t="str">
        <f>IF(B33="","",VLOOKUP(B33,'سجل حساب الزيادة السنوية'!$B$6:$Q$205,16,0))</f>
        <v/>
      </c>
    </row>
    <row r="34" spans="1:17" ht="22.5" customHeight="1" x14ac:dyDescent="0.25">
      <c r="A34" s="32" t="str">
        <f>IF(B34="","",SUBTOTAL(3,B$7:B34))</f>
        <v/>
      </c>
      <c r="B34" s="32" t="str">
        <f>IF('سجل حساب الزيادة السنوية'!B33="","",'سجل حساب الزيادة السنوية'!B33)</f>
        <v/>
      </c>
      <c r="C34" s="32" t="str">
        <f>IF(B34="","",VLOOKUP(B34,'سجل حساب الزيادة السنوية'!$B$6:$Q$205,2,0))</f>
        <v/>
      </c>
      <c r="D34" s="32" t="str">
        <f>IF(B34="","",VLOOKUP(B34,'سجل حساب الزيادة السنوية'!$B$6:$Q$205,3,0))</f>
        <v/>
      </c>
      <c r="E34" s="32" t="str">
        <f>IF(B34="","",VLOOKUP(B34,'سجل حساب الزيادة السنوية'!$B$6:$Q$205,4,0))</f>
        <v/>
      </c>
      <c r="F34" s="36" t="str">
        <f>IF(B34="","",VLOOKUP(B34,'سجل حساب الزيادة السنوية'!$B$6:$Q$205,5,0))</f>
        <v/>
      </c>
      <c r="G34" s="32" t="str">
        <f>IF(B34="","",VLOOKUP(B34,'سجل حساب الزيادة السنوية'!$B$6:$Q$205,6,0))</f>
        <v/>
      </c>
      <c r="H34" s="32" t="str">
        <f>IF(B34="","",VLOOKUP(B34,'سجل حساب الزيادة السنوية'!$B$6:$Q$205,7,0))</f>
        <v/>
      </c>
      <c r="I34" s="33" t="str">
        <f>IF(B34="","",VLOOKUP(B34,'سجل حساب الزيادة السنوية'!$B$6:$Q$205,8,0))</f>
        <v/>
      </c>
      <c r="J34" s="61" t="str">
        <f>IF(B34="","",VLOOKUP(B34,'سجل حساب الزيادة السنوية'!$B$6:$Q$205,9,0))</f>
        <v/>
      </c>
      <c r="K34" s="59" t="str">
        <f>IF(B34="","",VLOOKUP(B34,'سجل حساب الزيادة السنوية'!$B$6:$Q$205,10,0))</f>
        <v/>
      </c>
      <c r="L34" s="37" t="str">
        <f>IF(B34="","",VLOOKUP(B34,'سجل حساب الزيادة السنوية'!$B$6:$Q$205,11,0))</f>
        <v/>
      </c>
      <c r="M34" s="37" t="str">
        <f>IF(B34="","",VLOOKUP(B34,'سجل حساب الزيادة السنوية'!$B$6:$Q$205,12,0))</f>
        <v/>
      </c>
      <c r="N34" s="37" t="str">
        <f>IF(B34="","",VLOOKUP(B34,'سجل حساب الزيادة السنوية'!$B$6:$Q$205,13,0))</f>
        <v/>
      </c>
      <c r="O34" s="37" t="str">
        <f>IF(B34="","",VLOOKUP(B34,'سجل حساب الزيادة السنوية'!$B$6:$Q$205,14,0))</f>
        <v/>
      </c>
      <c r="P34" s="37" t="str">
        <f>IF(B34="","",VLOOKUP(B34,'سجل حساب الزيادة السنوية'!$B$6:$Q$205,15,0))</f>
        <v/>
      </c>
      <c r="Q34" s="37" t="str">
        <f>IF(B34="","",VLOOKUP(B34,'سجل حساب الزيادة السنوية'!$B$6:$Q$205,16,0))</f>
        <v/>
      </c>
    </row>
    <row r="35" spans="1:17" ht="22.5" customHeight="1" x14ac:dyDescent="0.25">
      <c r="A35" s="32" t="str">
        <f>IF(B35="","",SUBTOTAL(3,B$7:B35))</f>
        <v/>
      </c>
      <c r="B35" s="32" t="str">
        <f>IF('سجل حساب الزيادة السنوية'!B34="","",'سجل حساب الزيادة السنوية'!B34)</f>
        <v/>
      </c>
      <c r="C35" s="32" t="str">
        <f>IF(B35="","",VLOOKUP(B35,'سجل حساب الزيادة السنوية'!$B$6:$Q$205,2,0))</f>
        <v/>
      </c>
      <c r="D35" s="32" t="str">
        <f>IF(B35="","",VLOOKUP(B35,'سجل حساب الزيادة السنوية'!$B$6:$Q$205,3,0))</f>
        <v/>
      </c>
      <c r="E35" s="32" t="str">
        <f>IF(B35="","",VLOOKUP(B35,'سجل حساب الزيادة السنوية'!$B$6:$Q$205,4,0))</f>
        <v/>
      </c>
      <c r="F35" s="36" t="str">
        <f>IF(B35="","",VLOOKUP(B35,'سجل حساب الزيادة السنوية'!$B$6:$Q$205,5,0))</f>
        <v/>
      </c>
      <c r="G35" s="32" t="str">
        <f>IF(B35="","",VLOOKUP(B35,'سجل حساب الزيادة السنوية'!$B$6:$Q$205,6,0))</f>
        <v/>
      </c>
      <c r="H35" s="32" t="str">
        <f>IF(B35="","",VLOOKUP(B35,'سجل حساب الزيادة السنوية'!$B$6:$Q$205,7,0))</f>
        <v/>
      </c>
      <c r="I35" s="33" t="str">
        <f>IF(B35="","",VLOOKUP(B35,'سجل حساب الزيادة السنوية'!$B$6:$Q$205,8,0))</f>
        <v/>
      </c>
      <c r="J35" s="61" t="str">
        <f>IF(B35="","",VLOOKUP(B35,'سجل حساب الزيادة السنوية'!$B$6:$Q$205,9,0))</f>
        <v/>
      </c>
      <c r="K35" s="59" t="str">
        <f>IF(B35="","",VLOOKUP(B35,'سجل حساب الزيادة السنوية'!$B$6:$Q$205,10,0))</f>
        <v/>
      </c>
      <c r="L35" s="37" t="str">
        <f>IF(B35="","",VLOOKUP(B35,'سجل حساب الزيادة السنوية'!$B$6:$Q$205,11,0))</f>
        <v/>
      </c>
      <c r="M35" s="37" t="str">
        <f>IF(B35="","",VLOOKUP(B35,'سجل حساب الزيادة السنوية'!$B$6:$Q$205,12,0))</f>
        <v/>
      </c>
      <c r="N35" s="37" t="str">
        <f>IF(B35="","",VLOOKUP(B35,'سجل حساب الزيادة السنوية'!$B$6:$Q$205,13,0))</f>
        <v/>
      </c>
      <c r="O35" s="37" t="str">
        <f>IF(B35="","",VLOOKUP(B35,'سجل حساب الزيادة السنوية'!$B$6:$Q$205,14,0))</f>
        <v/>
      </c>
      <c r="P35" s="37" t="str">
        <f>IF(B35="","",VLOOKUP(B35,'سجل حساب الزيادة السنوية'!$B$6:$Q$205,15,0))</f>
        <v/>
      </c>
      <c r="Q35" s="37" t="str">
        <f>IF(B35="","",VLOOKUP(B35,'سجل حساب الزيادة السنوية'!$B$6:$Q$205,16,0))</f>
        <v/>
      </c>
    </row>
    <row r="36" spans="1:17" ht="22.5" customHeight="1" x14ac:dyDescent="0.25">
      <c r="A36" s="32" t="str">
        <f>IF(B36="","",SUBTOTAL(3,B$7:B36))</f>
        <v/>
      </c>
      <c r="B36" s="32" t="str">
        <f>IF('سجل حساب الزيادة السنوية'!B35="","",'سجل حساب الزيادة السنوية'!B35)</f>
        <v/>
      </c>
      <c r="C36" s="32" t="str">
        <f>IF(B36="","",VLOOKUP(B36,'سجل حساب الزيادة السنوية'!$B$6:$Q$205,2,0))</f>
        <v/>
      </c>
      <c r="D36" s="32" t="str">
        <f>IF(B36="","",VLOOKUP(B36,'سجل حساب الزيادة السنوية'!$B$6:$Q$205,3,0))</f>
        <v/>
      </c>
      <c r="E36" s="32" t="str">
        <f>IF(B36="","",VLOOKUP(B36,'سجل حساب الزيادة السنوية'!$B$6:$Q$205,4,0))</f>
        <v/>
      </c>
      <c r="F36" s="36" t="str">
        <f>IF(B36="","",VLOOKUP(B36,'سجل حساب الزيادة السنوية'!$B$6:$Q$205,5,0))</f>
        <v/>
      </c>
      <c r="G36" s="32" t="str">
        <f>IF(B36="","",VLOOKUP(B36,'سجل حساب الزيادة السنوية'!$B$6:$Q$205,6,0))</f>
        <v/>
      </c>
      <c r="H36" s="32" t="str">
        <f>IF(B36="","",VLOOKUP(B36,'سجل حساب الزيادة السنوية'!$B$6:$Q$205,7,0))</f>
        <v/>
      </c>
      <c r="I36" s="33" t="str">
        <f>IF(B36="","",VLOOKUP(B36,'سجل حساب الزيادة السنوية'!$B$6:$Q$205,8,0))</f>
        <v/>
      </c>
      <c r="J36" s="61" t="str">
        <f>IF(B36="","",VLOOKUP(B36,'سجل حساب الزيادة السنوية'!$B$6:$Q$205,9,0))</f>
        <v/>
      </c>
      <c r="K36" s="59" t="str">
        <f>IF(B36="","",VLOOKUP(B36,'سجل حساب الزيادة السنوية'!$B$6:$Q$205,10,0))</f>
        <v/>
      </c>
      <c r="L36" s="37" t="str">
        <f>IF(B36="","",VLOOKUP(B36,'سجل حساب الزيادة السنوية'!$B$6:$Q$205,11,0))</f>
        <v/>
      </c>
      <c r="M36" s="37" t="str">
        <f>IF(B36="","",VLOOKUP(B36,'سجل حساب الزيادة السنوية'!$B$6:$Q$205,12,0))</f>
        <v/>
      </c>
      <c r="N36" s="37" t="str">
        <f>IF(B36="","",VLOOKUP(B36,'سجل حساب الزيادة السنوية'!$B$6:$Q$205,13,0))</f>
        <v/>
      </c>
      <c r="O36" s="37" t="str">
        <f>IF(B36="","",VLOOKUP(B36,'سجل حساب الزيادة السنوية'!$B$6:$Q$205,14,0))</f>
        <v/>
      </c>
      <c r="P36" s="37" t="str">
        <f>IF(B36="","",VLOOKUP(B36,'سجل حساب الزيادة السنوية'!$B$6:$Q$205,15,0))</f>
        <v/>
      </c>
      <c r="Q36" s="37" t="str">
        <f>IF(B36="","",VLOOKUP(B36,'سجل حساب الزيادة السنوية'!$B$6:$Q$205,16,0))</f>
        <v/>
      </c>
    </row>
    <row r="37" spans="1:17" ht="22.5" customHeight="1" x14ac:dyDescent="0.25">
      <c r="A37" s="32" t="str">
        <f>IF(B37="","",SUBTOTAL(3,B$7:B37))</f>
        <v/>
      </c>
      <c r="B37" s="32" t="str">
        <f>IF('سجل حساب الزيادة السنوية'!B36="","",'سجل حساب الزيادة السنوية'!B36)</f>
        <v/>
      </c>
      <c r="C37" s="32" t="str">
        <f>IF(B37="","",VLOOKUP(B37,'سجل حساب الزيادة السنوية'!$B$6:$Q$205,2,0))</f>
        <v/>
      </c>
      <c r="D37" s="32" t="str">
        <f>IF(B37="","",VLOOKUP(B37,'سجل حساب الزيادة السنوية'!$B$6:$Q$205,3,0))</f>
        <v/>
      </c>
      <c r="E37" s="32" t="str">
        <f>IF(B37="","",VLOOKUP(B37,'سجل حساب الزيادة السنوية'!$B$6:$Q$205,4,0))</f>
        <v/>
      </c>
      <c r="F37" s="36" t="str">
        <f>IF(B37="","",VLOOKUP(B37,'سجل حساب الزيادة السنوية'!$B$6:$Q$205,5,0))</f>
        <v/>
      </c>
      <c r="G37" s="32" t="str">
        <f>IF(B37="","",VLOOKUP(B37,'سجل حساب الزيادة السنوية'!$B$6:$Q$205,6,0))</f>
        <v/>
      </c>
      <c r="H37" s="32" t="str">
        <f>IF(B37="","",VLOOKUP(B37,'سجل حساب الزيادة السنوية'!$B$6:$Q$205,7,0))</f>
        <v/>
      </c>
      <c r="I37" s="33" t="str">
        <f>IF(B37="","",VLOOKUP(B37,'سجل حساب الزيادة السنوية'!$B$6:$Q$205,8,0))</f>
        <v/>
      </c>
      <c r="J37" s="61" t="str">
        <f>IF(B37="","",VLOOKUP(B37,'سجل حساب الزيادة السنوية'!$B$6:$Q$205,9,0))</f>
        <v/>
      </c>
      <c r="K37" s="59" t="str">
        <f>IF(B37="","",VLOOKUP(B37,'سجل حساب الزيادة السنوية'!$B$6:$Q$205,10,0))</f>
        <v/>
      </c>
      <c r="L37" s="37" t="str">
        <f>IF(B37="","",VLOOKUP(B37,'سجل حساب الزيادة السنوية'!$B$6:$Q$205,11,0))</f>
        <v/>
      </c>
      <c r="M37" s="37" t="str">
        <f>IF(B37="","",VLOOKUP(B37,'سجل حساب الزيادة السنوية'!$B$6:$Q$205,12,0))</f>
        <v/>
      </c>
      <c r="N37" s="37" t="str">
        <f>IF(B37="","",VLOOKUP(B37,'سجل حساب الزيادة السنوية'!$B$6:$Q$205,13,0))</f>
        <v/>
      </c>
      <c r="O37" s="37" t="str">
        <f>IF(B37="","",VLOOKUP(B37,'سجل حساب الزيادة السنوية'!$B$6:$Q$205,14,0))</f>
        <v/>
      </c>
      <c r="P37" s="37" t="str">
        <f>IF(B37="","",VLOOKUP(B37,'سجل حساب الزيادة السنوية'!$B$6:$Q$205,15,0))</f>
        <v/>
      </c>
      <c r="Q37" s="37" t="str">
        <f>IF(B37="","",VLOOKUP(B37,'سجل حساب الزيادة السنوية'!$B$6:$Q$205,16,0))</f>
        <v/>
      </c>
    </row>
    <row r="38" spans="1:17" ht="22.5" customHeight="1" x14ac:dyDescent="0.25">
      <c r="A38" s="32" t="str">
        <f>IF(B38="","",SUBTOTAL(3,B$7:B38))</f>
        <v/>
      </c>
      <c r="B38" s="32" t="str">
        <f>IF('سجل حساب الزيادة السنوية'!B37="","",'سجل حساب الزيادة السنوية'!B37)</f>
        <v/>
      </c>
      <c r="C38" s="32" t="str">
        <f>IF(B38="","",VLOOKUP(B38,'سجل حساب الزيادة السنوية'!$B$6:$Q$205,2,0))</f>
        <v/>
      </c>
      <c r="D38" s="32" t="str">
        <f>IF(B38="","",VLOOKUP(B38,'سجل حساب الزيادة السنوية'!$B$6:$Q$205,3,0))</f>
        <v/>
      </c>
      <c r="E38" s="32" t="str">
        <f>IF(B38="","",VLOOKUP(B38,'سجل حساب الزيادة السنوية'!$B$6:$Q$205,4,0))</f>
        <v/>
      </c>
      <c r="F38" s="36" t="str">
        <f>IF(B38="","",VLOOKUP(B38,'سجل حساب الزيادة السنوية'!$B$6:$Q$205,5,0))</f>
        <v/>
      </c>
      <c r="G38" s="32" t="str">
        <f>IF(B38="","",VLOOKUP(B38,'سجل حساب الزيادة السنوية'!$B$6:$Q$205,6,0))</f>
        <v/>
      </c>
      <c r="H38" s="32" t="str">
        <f>IF(B38="","",VLOOKUP(B38,'سجل حساب الزيادة السنوية'!$B$6:$Q$205,7,0))</f>
        <v/>
      </c>
      <c r="I38" s="33" t="str">
        <f>IF(B38="","",VLOOKUP(B38,'سجل حساب الزيادة السنوية'!$B$6:$Q$205,8,0))</f>
        <v/>
      </c>
      <c r="J38" s="61" t="str">
        <f>IF(B38="","",VLOOKUP(B38,'سجل حساب الزيادة السنوية'!$B$6:$Q$205,9,0))</f>
        <v/>
      </c>
      <c r="K38" s="59" t="str">
        <f>IF(B38="","",VLOOKUP(B38,'سجل حساب الزيادة السنوية'!$B$6:$Q$205,10,0))</f>
        <v/>
      </c>
      <c r="L38" s="37" t="str">
        <f>IF(B38="","",VLOOKUP(B38,'سجل حساب الزيادة السنوية'!$B$6:$Q$205,11,0))</f>
        <v/>
      </c>
      <c r="M38" s="37" t="str">
        <f>IF(B38="","",VLOOKUP(B38,'سجل حساب الزيادة السنوية'!$B$6:$Q$205,12,0))</f>
        <v/>
      </c>
      <c r="N38" s="37" t="str">
        <f>IF(B38="","",VLOOKUP(B38,'سجل حساب الزيادة السنوية'!$B$6:$Q$205,13,0))</f>
        <v/>
      </c>
      <c r="O38" s="37" t="str">
        <f>IF(B38="","",VLOOKUP(B38,'سجل حساب الزيادة السنوية'!$B$6:$Q$205,14,0))</f>
        <v/>
      </c>
      <c r="P38" s="37" t="str">
        <f>IF(B38="","",VLOOKUP(B38,'سجل حساب الزيادة السنوية'!$B$6:$Q$205,15,0))</f>
        <v/>
      </c>
      <c r="Q38" s="37" t="str">
        <f>IF(B38="","",VLOOKUP(B38,'سجل حساب الزيادة السنوية'!$B$6:$Q$205,16,0))</f>
        <v/>
      </c>
    </row>
    <row r="39" spans="1:17" ht="22.5" customHeight="1" x14ac:dyDescent="0.25">
      <c r="A39" s="32" t="str">
        <f>IF(B39="","",SUBTOTAL(3,B$7:B39))</f>
        <v/>
      </c>
      <c r="B39" s="32" t="str">
        <f>IF('سجل حساب الزيادة السنوية'!B38="","",'سجل حساب الزيادة السنوية'!B38)</f>
        <v/>
      </c>
      <c r="C39" s="32" t="str">
        <f>IF(B39="","",VLOOKUP(B39,'سجل حساب الزيادة السنوية'!$B$6:$Q$205,2,0))</f>
        <v/>
      </c>
      <c r="D39" s="32" t="str">
        <f>IF(B39="","",VLOOKUP(B39,'سجل حساب الزيادة السنوية'!$B$6:$Q$205,3,0))</f>
        <v/>
      </c>
      <c r="E39" s="32" t="str">
        <f>IF(B39="","",VLOOKUP(B39,'سجل حساب الزيادة السنوية'!$B$6:$Q$205,4,0))</f>
        <v/>
      </c>
      <c r="F39" s="36" t="str">
        <f>IF(B39="","",VLOOKUP(B39,'سجل حساب الزيادة السنوية'!$B$6:$Q$205,5,0))</f>
        <v/>
      </c>
      <c r="G39" s="32" t="str">
        <f>IF(B39="","",VLOOKUP(B39,'سجل حساب الزيادة السنوية'!$B$6:$Q$205,6,0))</f>
        <v/>
      </c>
      <c r="H39" s="32" t="str">
        <f>IF(B39="","",VLOOKUP(B39,'سجل حساب الزيادة السنوية'!$B$6:$Q$205,7,0))</f>
        <v/>
      </c>
      <c r="I39" s="33" t="str">
        <f>IF(B39="","",VLOOKUP(B39,'سجل حساب الزيادة السنوية'!$B$6:$Q$205,8,0))</f>
        <v/>
      </c>
      <c r="J39" s="61" t="str">
        <f>IF(B39="","",VLOOKUP(B39,'سجل حساب الزيادة السنوية'!$B$6:$Q$205,9,0))</f>
        <v/>
      </c>
      <c r="K39" s="59" t="str">
        <f>IF(B39="","",VLOOKUP(B39,'سجل حساب الزيادة السنوية'!$B$6:$Q$205,10,0))</f>
        <v/>
      </c>
      <c r="L39" s="37" t="str">
        <f>IF(B39="","",VLOOKUP(B39,'سجل حساب الزيادة السنوية'!$B$6:$Q$205,11,0))</f>
        <v/>
      </c>
      <c r="M39" s="37" t="str">
        <f>IF(B39="","",VLOOKUP(B39,'سجل حساب الزيادة السنوية'!$B$6:$Q$205,12,0))</f>
        <v/>
      </c>
      <c r="N39" s="37" t="str">
        <f>IF(B39="","",VLOOKUP(B39,'سجل حساب الزيادة السنوية'!$B$6:$Q$205,13,0))</f>
        <v/>
      </c>
      <c r="O39" s="37" t="str">
        <f>IF(B39="","",VLOOKUP(B39,'سجل حساب الزيادة السنوية'!$B$6:$Q$205,14,0))</f>
        <v/>
      </c>
      <c r="P39" s="37" t="str">
        <f>IF(B39="","",VLOOKUP(B39,'سجل حساب الزيادة السنوية'!$B$6:$Q$205,15,0))</f>
        <v/>
      </c>
      <c r="Q39" s="37" t="str">
        <f>IF(B39="","",VLOOKUP(B39,'سجل حساب الزيادة السنوية'!$B$6:$Q$205,16,0))</f>
        <v/>
      </c>
    </row>
    <row r="40" spans="1:17" ht="22.5" customHeight="1" x14ac:dyDescent="0.25">
      <c r="A40" s="32" t="str">
        <f>IF(B40="","",SUBTOTAL(3,B$7:B40))</f>
        <v/>
      </c>
      <c r="B40" s="32" t="str">
        <f>IF('سجل حساب الزيادة السنوية'!B39="","",'سجل حساب الزيادة السنوية'!B39)</f>
        <v/>
      </c>
      <c r="C40" s="32" t="str">
        <f>IF(B40="","",VLOOKUP(B40,'سجل حساب الزيادة السنوية'!$B$6:$Q$205,2,0))</f>
        <v/>
      </c>
      <c r="D40" s="32" t="str">
        <f>IF(B40="","",VLOOKUP(B40,'سجل حساب الزيادة السنوية'!$B$6:$Q$205,3,0))</f>
        <v/>
      </c>
      <c r="E40" s="32" t="str">
        <f>IF(B40="","",VLOOKUP(B40,'سجل حساب الزيادة السنوية'!$B$6:$Q$205,4,0))</f>
        <v/>
      </c>
      <c r="F40" s="36" t="str">
        <f>IF(B40="","",VLOOKUP(B40,'سجل حساب الزيادة السنوية'!$B$6:$Q$205,5,0))</f>
        <v/>
      </c>
      <c r="G40" s="32" t="str">
        <f>IF(B40="","",VLOOKUP(B40,'سجل حساب الزيادة السنوية'!$B$6:$Q$205,6,0))</f>
        <v/>
      </c>
      <c r="H40" s="32" t="str">
        <f>IF(B40="","",VLOOKUP(B40,'سجل حساب الزيادة السنوية'!$B$6:$Q$205,7,0))</f>
        <v/>
      </c>
      <c r="I40" s="33" t="str">
        <f>IF(B40="","",VLOOKUP(B40,'سجل حساب الزيادة السنوية'!$B$6:$Q$205,8,0))</f>
        <v/>
      </c>
      <c r="J40" s="61" t="str">
        <f>IF(B40="","",VLOOKUP(B40,'سجل حساب الزيادة السنوية'!$B$6:$Q$205,9,0))</f>
        <v/>
      </c>
      <c r="K40" s="59" t="str">
        <f>IF(B40="","",VLOOKUP(B40,'سجل حساب الزيادة السنوية'!$B$6:$Q$205,10,0))</f>
        <v/>
      </c>
      <c r="L40" s="37" t="str">
        <f>IF(B40="","",VLOOKUP(B40,'سجل حساب الزيادة السنوية'!$B$6:$Q$205,11,0))</f>
        <v/>
      </c>
      <c r="M40" s="37" t="str">
        <f>IF(B40="","",VLOOKUP(B40,'سجل حساب الزيادة السنوية'!$B$6:$Q$205,12,0))</f>
        <v/>
      </c>
      <c r="N40" s="37" t="str">
        <f>IF(B40="","",VLOOKUP(B40,'سجل حساب الزيادة السنوية'!$B$6:$Q$205,13,0))</f>
        <v/>
      </c>
      <c r="O40" s="37" t="str">
        <f>IF(B40="","",VLOOKUP(B40,'سجل حساب الزيادة السنوية'!$B$6:$Q$205,14,0))</f>
        <v/>
      </c>
      <c r="P40" s="37" t="str">
        <f>IF(B40="","",VLOOKUP(B40,'سجل حساب الزيادة السنوية'!$B$6:$Q$205,15,0))</f>
        <v/>
      </c>
      <c r="Q40" s="37" t="str">
        <f>IF(B40="","",VLOOKUP(B40,'سجل حساب الزيادة السنوية'!$B$6:$Q$205,16,0))</f>
        <v/>
      </c>
    </row>
    <row r="41" spans="1:17" ht="22.5" customHeight="1" x14ac:dyDescent="0.25">
      <c r="A41" s="32" t="str">
        <f>IF(B41="","",SUBTOTAL(3,B$7:B41))</f>
        <v/>
      </c>
      <c r="B41" s="32" t="str">
        <f>IF('سجل حساب الزيادة السنوية'!B40="","",'سجل حساب الزيادة السنوية'!B40)</f>
        <v/>
      </c>
      <c r="C41" s="32" t="str">
        <f>IF(B41="","",VLOOKUP(B41,'سجل حساب الزيادة السنوية'!$B$6:$Q$205,2,0))</f>
        <v/>
      </c>
      <c r="D41" s="32" t="str">
        <f>IF(B41="","",VLOOKUP(B41,'سجل حساب الزيادة السنوية'!$B$6:$Q$205,3,0))</f>
        <v/>
      </c>
      <c r="E41" s="32" t="str">
        <f>IF(B41="","",VLOOKUP(B41,'سجل حساب الزيادة السنوية'!$B$6:$Q$205,4,0))</f>
        <v/>
      </c>
      <c r="F41" s="36" t="str">
        <f>IF(B41="","",VLOOKUP(B41,'سجل حساب الزيادة السنوية'!$B$6:$Q$205,5,0))</f>
        <v/>
      </c>
      <c r="G41" s="32" t="str">
        <f>IF(B41="","",VLOOKUP(B41,'سجل حساب الزيادة السنوية'!$B$6:$Q$205,6,0))</f>
        <v/>
      </c>
      <c r="H41" s="32" t="str">
        <f>IF(B41="","",VLOOKUP(B41,'سجل حساب الزيادة السنوية'!$B$6:$Q$205,7,0))</f>
        <v/>
      </c>
      <c r="I41" s="33" t="str">
        <f>IF(B41="","",VLOOKUP(B41,'سجل حساب الزيادة السنوية'!$B$6:$Q$205,8,0))</f>
        <v/>
      </c>
      <c r="J41" s="61" t="str">
        <f>IF(B41="","",VLOOKUP(B41,'سجل حساب الزيادة السنوية'!$B$6:$Q$205,9,0))</f>
        <v/>
      </c>
      <c r="K41" s="59" t="str">
        <f>IF(B41="","",VLOOKUP(B41,'سجل حساب الزيادة السنوية'!$B$6:$Q$205,10,0))</f>
        <v/>
      </c>
      <c r="L41" s="37" t="str">
        <f>IF(B41="","",VLOOKUP(B41,'سجل حساب الزيادة السنوية'!$B$6:$Q$205,11,0))</f>
        <v/>
      </c>
      <c r="M41" s="37" t="str">
        <f>IF(B41="","",VLOOKUP(B41,'سجل حساب الزيادة السنوية'!$B$6:$Q$205,12,0))</f>
        <v/>
      </c>
      <c r="N41" s="37" t="str">
        <f>IF(B41="","",VLOOKUP(B41,'سجل حساب الزيادة السنوية'!$B$6:$Q$205,13,0))</f>
        <v/>
      </c>
      <c r="O41" s="37" t="str">
        <f>IF(B41="","",VLOOKUP(B41,'سجل حساب الزيادة السنوية'!$B$6:$Q$205,14,0))</f>
        <v/>
      </c>
      <c r="P41" s="37" t="str">
        <f>IF(B41="","",VLOOKUP(B41,'سجل حساب الزيادة السنوية'!$B$6:$Q$205,15,0))</f>
        <v/>
      </c>
      <c r="Q41" s="37" t="str">
        <f>IF(B41="","",VLOOKUP(B41,'سجل حساب الزيادة السنوية'!$B$6:$Q$205,16,0))</f>
        <v/>
      </c>
    </row>
    <row r="42" spans="1:17" ht="22.5" customHeight="1" x14ac:dyDescent="0.25">
      <c r="A42" s="32" t="str">
        <f>IF(B42="","",SUBTOTAL(3,B$7:B42))</f>
        <v/>
      </c>
      <c r="B42" s="32" t="str">
        <f>IF('سجل حساب الزيادة السنوية'!B41="","",'سجل حساب الزيادة السنوية'!B41)</f>
        <v/>
      </c>
      <c r="C42" s="32" t="str">
        <f>IF(B42="","",VLOOKUP(B42,'سجل حساب الزيادة السنوية'!$B$6:$Q$205,2,0))</f>
        <v/>
      </c>
      <c r="D42" s="32" t="str">
        <f>IF(B42="","",VLOOKUP(B42,'سجل حساب الزيادة السنوية'!$B$6:$Q$205,3,0))</f>
        <v/>
      </c>
      <c r="E42" s="32" t="str">
        <f>IF(B42="","",VLOOKUP(B42,'سجل حساب الزيادة السنوية'!$B$6:$Q$205,4,0))</f>
        <v/>
      </c>
      <c r="F42" s="36" t="str">
        <f>IF(B42="","",VLOOKUP(B42,'سجل حساب الزيادة السنوية'!$B$6:$Q$205,5,0))</f>
        <v/>
      </c>
      <c r="G42" s="32" t="str">
        <f>IF(B42="","",VLOOKUP(B42,'سجل حساب الزيادة السنوية'!$B$6:$Q$205,6,0))</f>
        <v/>
      </c>
      <c r="H42" s="32" t="str">
        <f>IF(B42="","",VLOOKUP(B42,'سجل حساب الزيادة السنوية'!$B$6:$Q$205,7,0))</f>
        <v/>
      </c>
      <c r="I42" s="33" t="str">
        <f>IF(B42="","",VLOOKUP(B42,'سجل حساب الزيادة السنوية'!$B$6:$Q$205,8,0))</f>
        <v/>
      </c>
      <c r="J42" s="61" t="str">
        <f>IF(B42="","",VLOOKUP(B42,'سجل حساب الزيادة السنوية'!$B$6:$Q$205,9,0))</f>
        <v/>
      </c>
      <c r="K42" s="59" t="str">
        <f>IF(B42="","",VLOOKUP(B42,'سجل حساب الزيادة السنوية'!$B$6:$Q$205,10,0))</f>
        <v/>
      </c>
      <c r="L42" s="37" t="str">
        <f>IF(B42="","",VLOOKUP(B42,'سجل حساب الزيادة السنوية'!$B$6:$Q$205,11,0))</f>
        <v/>
      </c>
      <c r="M42" s="37" t="str">
        <f>IF(B42="","",VLOOKUP(B42,'سجل حساب الزيادة السنوية'!$B$6:$Q$205,12,0))</f>
        <v/>
      </c>
      <c r="N42" s="37" t="str">
        <f>IF(B42="","",VLOOKUP(B42,'سجل حساب الزيادة السنوية'!$B$6:$Q$205,13,0))</f>
        <v/>
      </c>
      <c r="O42" s="37" t="str">
        <f>IF(B42="","",VLOOKUP(B42,'سجل حساب الزيادة السنوية'!$B$6:$Q$205,14,0))</f>
        <v/>
      </c>
      <c r="P42" s="37" t="str">
        <f>IF(B42="","",VLOOKUP(B42,'سجل حساب الزيادة السنوية'!$B$6:$Q$205,15,0))</f>
        <v/>
      </c>
      <c r="Q42" s="37" t="str">
        <f>IF(B42="","",VLOOKUP(B42,'سجل حساب الزيادة السنوية'!$B$6:$Q$205,16,0))</f>
        <v/>
      </c>
    </row>
    <row r="43" spans="1:17" ht="22.5" customHeight="1" x14ac:dyDescent="0.25">
      <c r="A43" s="32" t="str">
        <f>IF(B43="","",SUBTOTAL(3,B$7:B43))</f>
        <v/>
      </c>
      <c r="B43" s="32" t="str">
        <f>IF('سجل حساب الزيادة السنوية'!B42="","",'سجل حساب الزيادة السنوية'!B42)</f>
        <v/>
      </c>
      <c r="C43" s="32" t="str">
        <f>IF(B43="","",VLOOKUP(B43,'سجل حساب الزيادة السنوية'!$B$6:$Q$205,2,0))</f>
        <v/>
      </c>
      <c r="D43" s="32" t="str">
        <f>IF(B43="","",VLOOKUP(B43,'سجل حساب الزيادة السنوية'!$B$6:$Q$205,3,0))</f>
        <v/>
      </c>
      <c r="E43" s="32" t="str">
        <f>IF(B43="","",VLOOKUP(B43,'سجل حساب الزيادة السنوية'!$B$6:$Q$205,4,0))</f>
        <v/>
      </c>
      <c r="F43" s="36" t="str">
        <f>IF(B43="","",VLOOKUP(B43,'سجل حساب الزيادة السنوية'!$B$6:$Q$205,5,0))</f>
        <v/>
      </c>
      <c r="G43" s="32" t="str">
        <f>IF(B43="","",VLOOKUP(B43,'سجل حساب الزيادة السنوية'!$B$6:$Q$205,6,0))</f>
        <v/>
      </c>
      <c r="H43" s="32" t="str">
        <f>IF(B43="","",VLOOKUP(B43,'سجل حساب الزيادة السنوية'!$B$6:$Q$205,7,0))</f>
        <v/>
      </c>
      <c r="I43" s="33" t="str">
        <f>IF(B43="","",VLOOKUP(B43,'سجل حساب الزيادة السنوية'!$B$6:$Q$205,8,0))</f>
        <v/>
      </c>
      <c r="J43" s="61" t="str">
        <f>IF(B43="","",VLOOKUP(B43,'سجل حساب الزيادة السنوية'!$B$6:$Q$205,9,0))</f>
        <v/>
      </c>
      <c r="K43" s="59" t="str">
        <f>IF(B43="","",VLOOKUP(B43,'سجل حساب الزيادة السنوية'!$B$6:$Q$205,10,0))</f>
        <v/>
      </c>
      <c r="L43" s="37" t="str">
        <f>IF(B43="","",VLOOKUP(B43,'سجل حساب الزيادة السنوية'!$B$6:$Q$205,11,0))</f>
        <v/>
      </c>
      <c r="M43" s="37" t="str">
        <f>IF(B43="","",VLOOKUP(B43,'سجل حساب الزيادة السنوية'!$B$6:$Q$205,12,0))</f>
        <v/>
      </c>
      <c r="N43" s="37" t="str">
        <f>IF(B43="","",VLOOKUP(B43,'سجل حساب الزيادة السنوية'!$B$6:$Q$205,13,0))</f>
        <v/>
      </c>
      <c r="O43" s="37" t="str">
        <f>IF(B43="","",VLOOKUP(B43,'سجل حساب الزيادة السنوية'!$B$6:$Q$205,14,0))</f>
        <v/>
      </c>
      <c r="P43" s="37" t="str">
        <f>IF(B43="","",VLOOKUP(B43,'سجل حساب الزيادة السنوية'!$B$6:$Q$205,15,0))</f>
        <v/>
      </c>
      <c r="Q43" s="37" t="str">
        <f>IF(B43="","",VLOOKUP(B43,'سجل حساب الزيادة السنوية'!$B$6:$Q$205,16,0))</f>
        <v/>
      </c>
    </row>
    <row r="44" spans="1:17" ht="22.5" customHeight="1" x14ac:dyDescent="0.25">
      <c r="A44" s="32" t="str">
        <f>IF(B44="","",SUBTOTAL(3,B$7:B44))</f>
        <v/>
      </c>
      <c r="B44" s="32" t="str">
        <f>IF('سجل حساب الزيادة السنوية'!B43="","",'سجل حساب الزيادة السنوية'!B43)</f>
        <v/>
      </c>
      <c r="C44" s="32" t="str">
        <f>IF(B44="","",VLOOKUP(B44,'سجل حساب الزيادة السنوية'!$B$6:$Q$205,2,0))</f>
        <v/>
      </c>
      <c r="D44" s="32" t="str">
        <f>IF(B44="","",VLOOKUP(B44,'سجل حساب الزيادة السنوية'!$B$6:$Q$205,3,0))</f>
        <v/>
      </c>
      <c r="E44" s="32" t="str">
        <f>IF(B44="","",VLOOKUP(B44,'سجل حساب الزيادة السنوية'!$B$6:$Q$205,4,0))</f>
        <v/>
      </c>
      <c r="F44" s="36" t="str">
        <f>IF(B44="","",VLOOKUP(B44,'سجل حساب الزيادة السنوية'!$B$6:$Q$205,5,0))</f>
        <v/>
      </c>
      <c r="G44" s="32" t="str">
        <f>IF(B44="","",VLOOKUP(B44,'سجل حساب الزيادة السنوية'!$B$6:$Q$205,6,0))</f>
        <v/>
      </c>
      <c r="H44" s="32" t="str">
        <f>IF(B44="","",VLOOKUP(B44,'سجل حساب الزيادة السنوية'!$B$6:$Q$205,7,0))</f>
        <v/>
      </c>
      <c r="I44" s="33" t="str">
        <f>IF(B44="","",VLOOKUP(B44,'سجل حساب الزيادة السنوية'!$B$6:$Q$205,8,0))</f>
        <v/>
      </c>
      <c r="J44" s="61" t="str">
        <f>IF(B44="","",VLOOKUP(B44,'سجل حساب الزيادة السنوية'!$B$6:$Q$205,9,0))</f>
        <v/>
      </c>
      <c r="K44" s="59" t="str">
        <f>IF(B44="","",VLOOKUP(B44,'سجل حساب الزيادة السنوية'!$B$6:$Q$205,10,0))</f>
        <v/>
      </c>
      <c r="L44" s="37" t="str">
        <f>IF(B44="","",VLOOKUP(B44,'سجل حساب الزيادة السنوية'!$B$6:$Q$205,11,0))</f>
        <v/>
      </c>
      <c r="M44" s="37" t="str">
        <f>IF(B44="","",VLOOKUP(B44,'سجل حساب الزيادة السنوية'!$B$6:$Q$205,12,0))</f>
        <v/>
      </c>
      <c r="N44" s="37" t="str">
        <f>IF(B44="","",VLOOKUP(B44,'سجل حساب الزيادة السنوية'!$B$6:$Q$205,13,0))</f>
        <v/>
      </c>
      <c r="O44" s="37" t="str">
        <f>IF(B44="","",VLOOKUP(B44,'سجل حساب الزيادة السنوية'!$B$6:$Q$205,14,0))</f>
        <v/>
      </c>
      <c r="P44" s="37" t="str">
        <f>IF(B44="","",VLOOKUP(B44,'سجل حساب الزيادة السنوية'!$B$6:$Q$205,15,0))</f>
        <v/>
      </c>
      <c r="Q44" s="37" t="str">
        <f>IF(B44="","",VLOOKUP(B44,'سجل حساب الزيادة السنوية'!$B$6:$Q$205,16,0))</f>
        <v/>
      </c>
    </row>
    <row r="45" spans="1:17" ht="22.5" customHeight="1" x14ac:dyDescent="0.25">
      <c r="A45" s="32" t="str">
        <f>IF(B45="","",SUBTOTAL(3,B$7:B45))</f>
        <v/>
      </c>
      <c r="B45" s="32" t="str">
        <f>IF('سجل حساب الزيادة السنوية'!B44="","",'سجل حساب الزيادة السنوية'!B44)</f>
        <v/>
      </c>
      <c r="C45" s="32" t="str">
        <f>IF(B45="","",VLOOKUP(B45,'سجل حساب الزيادة السنوية'!$B$6:$Q$205,2,0))</f>
        <v/>
      </c>
      <c r="D45" s="32" t="str">
        <f>IF(B45="","",VLOOKUP(B45,'سجل حساب الزيادة السنوية'!$B$6:$Q$205,3,0))</f>
        <v/>
      </c>
      <c r="E45" s="32" t="str">
        <f>IF(B45="","",VLOOKUP(B45,'سجل حساب الزيادة السنوية'!$B$6:$Q$205,4,0))</f>
        <v/>
      </c>
      <c r="F45" s="36" t="str">
        <f>IF(B45="","",VLOOKUP(B45,'سجل حساب الزيادة السنوية'!$B$6:$Q$205,5,0))</f>
        <v/>
      </c>
      <c r="G45" s="32" t="str">
        <f>IF(B45="","",VLOOKUP(B45,'سجل حساب الزيادة السنوية'!$B$6:$Q$205,6,0))</f>
        <v/>
      </c>
      <c r="H45" s="32" t="str">
        <f>IF(B45="","",VLOOKUP(B45,'سجل حساب الزيادة السنوية'!$B$6:$Q$205,7,0))</f>
        <v/>
      </c>
      <c r="I45" s="33" t="str">
        <f>IF(B45="","",VLOOKUP(B45,'سجل حساب الزيادة السنوية'!$B$6:$Q$205,8,0))</f>
        <v/>
      </c>
      <c r="J45" s="61" t="str">
        <f>IF(B45="","",VLOOKUP(B45,'سجل حساب الزيادة السنوية'!$B$6:$Q$205,9,0))</f>
        <v/>
      </c>
      <c r="K45" s="59" t="str">
        <f>IF(B45="","",VLOOKUP(B45,'سجل حساب الزيادة السنوية'!$B$6:$Q$205,10,0))</f>
        <v/>
      </c>
      <c r="L45" s="37" t="str">
        <f>IF(B45="","",VLOOKUP(B45,'سجل حساب الزيادة السنوية'!$B$6:$Q$205,11,0))</f>
        <v/>
      </c>
      <c r="M45" s="37" t="str">
        <f>IF(B45="","",VLOOKUP(B45,'سجل حساب الزيادة السنوية'!$B$6:$Q$205,12,0))</f>
        <v/>
      </c>
      <c r="N45" s="37" t="str">
        <f>IF(B45="","",VLOOKUP(B45,'سجل حساب الزيادة السنوية'!$B$6:$Q$205,13,0))</f>
        <v/>
      </c>
      <c r="O45" s="37" t="str">
        <f>IF(B45="","",VLOOKUP(B45,'سجل حساب الزيادة السنوية'!$B$6:$Q$205,14,0))</f>
        <v/>
      </c>
      <c r="P45" s="37" t="str">
        <f>IF(B45="","",VLOOKUP(B45,'سجل حساب الزيادة السنوية'!$B$6:$Q$205,15,0))</f>
        <v/>
      </c>
      <c r="Q45" s="37" t="str">
        <f>IF(B45="","",VLOOKUP(B45,'سجل حساب الزيادة السنوية'!$B$6:$Q$205,16,0))</f>
        <v/>
      </c>
    </row>
    <row r="46" spans="1:17" ht="22.5" customHeight="1" x14ac:dyDescent="0.25">
      <c r="A46" s="32" t="str">
        <f>IF(B46="","",SUBTOTAL(3,B$7:B46))</f>
        <v/>
      </c>
      <c r="B46" s="32" t="str">
        <f>IF('سجل حساب الزيادة السنوية'!B45="","",'سجل حساب الزيادة السنوية'!B45)</f>
        <v/>
      </c>
      <c r="C46" s="32" t="str">
        <f>IF(B46="","",VLOOKUP(B46,'سجل حساب الزيادة السنوية'!$B$6:$Q$205,2,0))</f>
        <v/>
      </c>
      <c r="D46" s="32" t="str">
        <f>IF(B46="","",VLOOKUP(B46,'سجل حساب الزيادة السنوية'!$B$6:$Q$205,3,0))</f>
        <v/>
      </c>
      <c r="E46" s="32" t="str">
        <f>IF(B46="","",VLOOKUP(B46,'سجل حساب الزيادة السنوية'!$B$6:$Q$205,4,0))</f>
        <v/>
      </c>
      <c r="F46" s="36" t="str">
        <f>IF(B46="","",VLOOKUP(B46,'سجل حساب الزيادة السنوية'!$B$6:$Q$205,5,0))</f>
        <v/>
      </c>
      <c r="G46" s="32" t="str">
        <f>IF(B46="","",VLOOKUP(B46,'سجل حساب الزيادة السنوية'!$B$6:$Q$205,6,0))</f>
        <v/>
      </c>
      <c r="H46" s="32" t="str">
        <f>IF(B46="","",VLOOKUP(B46,'سجل حساب الزيادة السنوية'!$B$6:$Q$205,7,0))</f>
        <v/>
      </c>
      <c r="I46" s="33" t="str">
        <f>IF(B46="","",VLOOKUP(B46,'سجل حساب الزيادة السنوية'!$B$6:$Q$205,8,0))</f>
        <v/>
      </c>
      <c r="J46" s="61" t="str">
        <f>IF(B46="","",VLOOKUP(B46,'سجل حساب الزيادة السنوية'!$B$6:$Q$205,9,0))</f>
        <v/>
      </c>
      <c r="K46" s="59" t="str">
        <f>IF(B46="","",VLOOKUP(B46,'سجل حساب الزيادة السنوية'!$B$6:$Q$205,10,0))</f>
        <v/>
      </c>
      <c r="L46" s="37" t="str">
        <f>IF(B46="","",VLOOKUP(B46,'سجل حساب الزيادة السنوية'!$B$6:$Q$205,11,0))</f>
        <v/>
      </c>
      <c r="M46" s="37" t="str">
        <f>IF(B46="","",VLOOKUP(B46,'سجل حساب الزيادة السنوية'!$B$6:$Q$205,12,0))</f>
        <v/>
      </c>
      <c r="N46" s="37" t="str">
        <f>IF(B46="","",VLOOKUP(B46,'سجل حساب الزيادة السنوية'!$B$6:$Q$205,13,0))</f>
        <v/>
      </c>
      <c r="O46" s="37" t="str">
        <f>IF(B46="","",VLOOKUP(B46,'سجل حساب الزيادة السنوية'!$B$6:$Q$205,14,0))</f>
        <v/>
      </c>
      <c r="P46" s="37" t="str">
        <f>IF(B46="","",VLOOKUP(B46,'سجل حساب الزيادة السنوية'!$B$6:$Q$205,15,0))</f>
        <v/>
      </c>
      <c r="Q46" s="37" t="str">
        <f>IF(B46="","",VLOOKUP(B46,'سجل حساب الزيادة السنوية'!$B$6:$Q$205,16,0))</f>
        <v/>
      </c>
    </row>
    <row r="47" spans="1:17" ht="22.5" customHeight="1" x14ac:dyDescent="0.25">
      <c r="A47" s="32" t="str">
        <f>IF(B47="","",SUBTOTAL(3,B$7:B47))</f>
        <v/>
      </c>
      <c r="B47" s="32" t="str">
        <f>IF('سجل حساب الزيادة السنوية'!B46="","",'سجل حساب الزيادة السنوية'!B46)</f>
        <v/>
      </c>
      <c r="C47" s="32" t="str">
        <f>IF(B47="","",VLOOKUP(B47,'سجل حساب الزيادة السنوية'!$B$6:$Q$205,2,0))</f>
        <v/>
      </c>
      <c r="D47" s="32" t="str">
        <f>IF(B47="","",VLOOKUP(B47,'سجل حساب الزيادة السنوية'!$B$6:$Q$205,3,0))</f>
        <v/>
      </c>
      <c r="E47" s="32" t="str">
        <f>IF(B47="","",VLOOKUP(B47,'سجل حساب الزيادة السنوية'!$B$6:$Q$205,4,0))</f>
        <v/>
      </c>
      <c r="F47" s="36" t="str">
        <f>IF(B47="","",VLOOKUP(B47,'سجل حساب الزيادة السنوية'!$B$6:$Q$205,5,0))</f>
        <v/>
      </c>
      <c r="G47" s="32" t="str">
        <f>IF(B47="","",VLOOKUP(B47,'سجل حساب الزيادة السنوية'!$B$6:$Q$205,6,0))</f>
        <v/>
      </c>
      <c r="H47" s="32" t="str">
        <f>IF(B47="","",VLOOKUP(B47,'سجل حساب الزيادة السنوية'!$B$6:$Q$205,7,0))</f>
        <v/>
      </c>
      <c r="I47" s="33" t="str">
        <f>IF(B47="","",VLOOKUP(B47,'سجل حساب الزيادة السنوية'!$B$6:$Q$205,8,0))</f>
        <v/>
      </c>
      <c r="J47" s="61" t="str">
        <f>IF(B47="","",VLOOKUP(B47,'سجل حساب الزيادة السنوية'!$B$6:$Q$205,9,0))</f>
        <v/>
      </c>
      <c r="K47" s="59" t="str">
        <f>IF(B47="","",VLOOKUP(B47,'سجل حساب الزيادة السنوية'!$B$6:$Q$205,10,0))</f>
        <v/>
      </c>
      <c r="L47" s="37" t="str">
        <f>IF(B47="","",VLOOKUP(B47,'سجل حساب الزيادة السنوية'!$B$6:$Q$205,11,0))</f>
        <v/>
      </c>
      <c r="M47" s="37" t="str">
        <f>IF(B47="","",VLOOKUP(B47,'سجل حساب الزيادة السنوية'!$B$6:$Q$205,12,0))</f>
        <v/>
      </c>
      <c r="N47" s="37" t="str">
        <f>IF(B47="","",VLOOKUP(B47,'سجل حساب الزيادة السنوية'!$B$6:$Q$205,13,0))</f>
        <v/>
      </c>
      <c r="O47" s="37" t="str">
        <f>IF(B47="","",VLOOKUP(B47,'سجل حساب الزيادة السنوية'!$B$6:$Q$205,14,0))</f>
        <v/>
      </c>
      <c r="P47" s="37" t="str">
        <f>IF(B47="","",VLOOKUP(B47,'سجل حساب الزيادة السنوية'!$B$6:$Q$205,15,0))</f>
        <v/>
      </c>
      <c r="Q47" s="37" t="str">
        <f>IF(B47="","",VLOOKUP(B47,'سجل حساب الزيادة السنوية'!$B$6:$Q$205,16,0))</f>
        <v/>
      </c>
    </row>
    <row r="48" spans="1:17" ht="22.5" customHeight="1" x14ac:dyDescent="0.25">
      <c r="A48" s="32" t="str">
        <f>IF(B48="","",SUBTOTAL(3,B$7:B48))</f>
        <v/>
      </c>
      <c r="B48" s="32" t="str">
        <f>IF('سجل حساب الزيادة السنوية'!B47="","",'سجل حساب الزيادة السنوية'!B47)</f>
        <v/>
      </c>
      <c r="C48" s="32" t="str">
        <f>IF(B48="","",VLOOKUP(B48,'سجل حساب الزيادة السنوية'!$B$6:$Q$205,2,0))</f>
        <v/>
      </c>
      <c r="D48" s="32" t="str">
        <f>IF(B48="","",VLOOKUP(B48,'سجل حساب الزيادة السنوية'!$B$6:$Q$205,3,0))</f>
        <v/>
      </c>
      <c r="E48" s="32" t="str">
        <f>IF(B48="","",VLOOKUP(B48,'سجل حساب الزيادة السنوية'!$B$6:$Q$205,4,0))</f>
        <v/>
      </c>
      <c r="F48" s="36" t="str">
        <f>IF(B48="","",VLOOKUP(B48,'سجل حساب الزيادة السنوية'!$B$6:$Q$205,5,0))</f>
        <v/>
      </c>
      <c r="G48" s="32" t="str">
        <f>IF(B48="","",VLOOKUP(B48,'سجل حساب الزيادة السنوية'!$B$6:$Q$205,6,0))</f>
        <v/>
      </c>
      <c r="H48" s="32" t="str">
        <f>IF(B48="","",VLOOKUP(B48,'سجل حساب الزيادة السنوية'!$B$6:$Q$205,7,0))</f>
        <v/>
      </c>
      <c r="I48" s="33" t="str">
        <f>IF(B48="","",VLOOKUP(B48,'سجل حساب الزيادة السنوية'!$B$6:$Q$205,8,0))</f>
        <v/>
      </c>
      <c r="J48" s="61" t="str">
        <f>IF(B48="","",VLOOKUP(B48,'سجل حساب الزيادة السنوية'!$B$6:$Q$205,9,0))</f>
        <v/>
      </c>
      <c r="K48" s="59" t="str">
        <f>IF(B48="","",VLOOKUP(B48,'سجل حساب الزيادة السنوية'!$B$6:$Q$205,10,0))</f>
        <v/>
      </c>
      <c r="L48" s="37" t="str">
        <f>IF(B48="","",VLOOKUP(B48,'سجل حساب الزيادة السنوية'!$B$6:$Q$205,11,0))</f>
        <v/>
      </c>
      <c r="M48" s="37" t="str">
        <f>IF(B48="","",VLOOKUP(B48,'سجل حساب الزيادة السنوية'!$B$6:$Q$205,12,0))</f>
        <v/>
      </c>
      <c r="N48" s="37" t="str">
        <f>IF(B48="","",VLOOKUP(B48,'سجل حساب الزيادة السنوية'!$B$6:$Q$205,13,0))</f>
        <v/>
      </c>
      <c r="O48" s="37" t="str">
        <f>IF(B48="","",VLOOKUP(B48,'سجل حساب الزيادة السنوية'!$B$6:$Q$205,14,0))</f>
        <v/>
      </c>
      <c r="P48" s="37" t="str">
        <f>IF(B48="","",VLOOKUP(B48,'سجل حساب الزيادة السنوية'!$B$6:$Q$205,15,0))</f>
        <v/>
      </c>
      <c r="Q48" s="37" t="str">
        <f>IF(B48="","",VLOOKUP(B48,'سجل حساب الزيادة السنوية'!$B$6:$Q$205,16,0))</f>
        <v/>
      </c>
    </row>
    <row r="49" spans="1:17" ht="22.5" customHeight="1" x14ac:dyDescent="0.25">
      <c r="A49" s="32" t="str">
        <f>IF(B49="","",SUBTOTAL(3,B$7:B49))</f>
        <v/>
      </c>
      <c r="B49" s="32" t="str">
        <f>IF('سجل حساب الزيادة السنوية'!B48="","",'سجل حساب الزيادة السنوية'!B48)</f>
        <v/>
      </c>
      <c r="C49" s="32" t="str">
        <f>IF(B49="","",VLOOKUP(B49,'سجل حساب الزيادة السنوية'!$B$6:$Q$205,2,0))</f>
        <v/>
      </c>
      <c r="D49" s="32" t="str">
        <f>IF(B49="","",VLOOKUP(B49,'سجل حساب الزيادة السنوية'!$B$6:$Q$205,3,0))</f>
        <v/>
      </c>
      <c r="E49" s="32" t="str">
        <f>IF(B49="","",VLOOKUP(B49,'سجل حساب الزيادة السنوية'!$B$6:$Q$205,4,0))</f>
        <v/>
      </c>
      <c r="F49" s="36" t="str">
        <f>IF(B49="","",VLOOKUP(B49,'سجل حساب الزيادة السنوية'!$B$6:$Q$205,5,0))</f>
        <v/>
      </c>
      <c r="G49" s="32" t="str">
        <f>IF(B49="","",VLOOKUP(B49,'سجل حساب الزيادة السنوية'!$B$6:$Q$205,6,0))</f>
        <v/>
      </c>
      <c r="H49" s="32" t="str">
        <f>IF(B49="","",VLOOKUP(B49,'سجل حساب الزيادة السنوية'!$B$6:$Q$205,7,0))</f>
        <v/>
      </c>
      <c r="I49" s="33" t="str">
        <f>IF(B49="","",VLOOKUP(B49,'سجل حساب الزيادة السنوية'!$B$6:$Q$205,8,0))</f>
        <v/>
      </c>
      <c r="J49" s="61" t="str">
        <f>IF(B49="","",VLOOKUP(B49,'سجل حساب الزيادة السنوية'!$B$6:$Q$205,9,0))</f>
        <v/>
      </c>
      <c r="K49" s="59" t="str">
        <f>IF(B49="","",VLOOKUP(B49,'سجل حساب الزيادة السنوية'!$B$6:$Q$205,10,0))</f>
        <v/>
      </c>
      <c r="L49" s="37" t="str">
        <f>IF(B49="","",VLOOKUP(B49,'سجل حساب الزيادة السنوية'!$B$6:$Q$205,11,0))</f>
        <v/>
      </c>
      <c r="M49" s="37" t="str">
        <f>IF(B49="","",VLOOKUP(B49,'سجل حساب الزيادة السنوية'!$B$6:$Q$205,12,0))</f>
        <v/>
      </c>
      <c r="N49" s="37" t="str">
        <f>IF(B49="","",VLOOKUP(B49,'سجل حساب الزيادة السنوية'!$B$6:$Q$205,13,0))</f>
        <v/>
      </c>
      <c r="O49" s="37" t="str">
        <f>IF(B49="","",VLOOKUP(B49,'سجل حساب الزيادة السنوية'!$B$6:$Q$205,14,0))</f>
        <v/>
      </c>
      <c r="P49" s="37" t="str">
        <f>IF(B49="","",VLOOKUP(B49,'سجل حساب الزيادة السنوية'!$B$6:$Q$205,15,0))</f>
        <v/>
      </c>
      <c r="Q49" s="37" t="str">
        <f>IF(B49="","",VLOOKUP(B49,'سجل حساب الزيادة السنوية'!$B$6:$Q$205,16,0))</f>
        <v/>
      </c>
    </row>
    <row r="50" spans="1:17" ht="22.5" customHeight="1" x14ac:dyDescent="0.25">
      <c r="A50" s="32" t="str">
        <f>IF(B50="","",SUBTOTAL(3,B$7:B50))</f>
        <v/>
      </c>
      <c r="B50" s="32" t="str">
        <f>IF('سجل حساب الزيادة السنوية'!B49="","",'سجل حساب الزيادة السنوية'!B49)</f>
        <v/>
      </c>
      <c r="C50" s="32" t="str">
        <f>IF(B50="","",VLOOKUP(B50,'سجل حساب الزيادة السنوية'!$B$6:$Q$205,2,0))</f>
        <v/>
      </c>
      <c r="D50" s="32" t="str">
        <f>IF(B50="","",VLOOKUP(B50,'سجل حساب الزيادة السنوية'!$B$6:$Q$205,3,0))</f>
        <v/>
      </c>
      <c r="E50" s="32" t="str">
        <f>IF(B50="","",VLOOKUP(B50,'سجل حساب الزيادة السنوية'!$B$6:$Q$205,4,0))</f>
        <v/>
      </c>
      <c r="F50" s="36" t="str">
        <f>IF(B50="","",VLOOKUP(B50,'سجل حساب الزيادة السنوية'!$B$6:$Q$205,5,0))</f>
        <v/>
      </c>
      <c r="G50" s="32" t="str">
        <f>IF(B50="","",VLOOKUP(B50,'سجل حساب الزيادة السنوية'!$B$6:$Q$205,6,0))</f>
        <v/>
      </c>
      <c r="H50" s="32" t="str">
        <f>IF(B50="","",VLOOKUP(B50,'سجل حساب الزيادة السنوية'!$B$6:$Q$205,7,0))</f>
        <v/>
      </c>
      <c r="I50" s="33" t="str">
        <f>IF(B50="","",VLOOKUP(B50,'سجل حساب الزيادة السنوية'!$B$6:$Q$205,8,0))</f>
        <v/>
      </c>
      <c r="J50" s="61" t="str">
        <f>IF(B50="","",VLOOKUP(B50,'سجل حساب الزيادة السنوية'!$B$6:$Q$205,9,0))</f>
        <v/>
      </c>
      <c r="K50" s="59" t="str">
        <f>IF(B50="","",VLOOKUP(B50,'سجل حساب الزيادة السنوية'!$B$6:$Q$205,10,0))</f>
        <v/>
      </c>
      <c r="L50" s="37" t="str">
        <f>IF(B50="","",VLOOKUP(B50,'سجل حساب الزيادة السنوية'!$B$6:$Q$205,11,0))</f>
        <v/>
      </c>
      <c r="M50" s="37" t="str">
        <f>IF(B50="","",VLOOKUP(B50,'سجل حساب الزيادة السنوية'!$B$6:$Q$205,12,0))</f>
        <v/>
      </c>
      <c r="N50" s="37" t="str">
        <f>IF(B50="","",VLOOKUP(B50,'سجل حساب الزيادة السنوية'!$B$6:$Q$205,13,0))</f>
        <v/>
      </c>
      <c r="O50" s="37" t="str">
        <f>IF(B50="","",VLOOKUP(B50,'سجل حساب الزيادة السنوية'!$B$6:$Q$205,14,0))</f>
        <v/>
      </c>
      <c r="P50" s="37" t="str">
        <f>IF(B50="","",VLOOKUP(B50,'سجل حساب الزيادة السنوية'!$B$6:$Q$205,15,0))</f>
        <v/>
      </c>
      <c r="Q50" s="37" t="str">
        <f>IF(B50="","",VLOOKUP(B50,'سجل حساب الزيادة السنوية'!$B$6:$Q$205,16,0))</f>
        <v/>
      </c>
    </row>
    <row r="51" spans="1:17" ht="22.5" customHeight="1" x14ac:dyDescent="0.25">
      <c r="A51" s="32" t="str">
        <f>IF(B51="","",SUBTOTAL(3,B$7:B51))</f>
        <v/>
      </c>
      <c r="B51" s="32" t="str">
        <f>IF('سجل حساب الزيادة السنوية'!B50="","",'سجل حساب الزيادة السنوية'!B50)</f>
        <v/>
      </c>
      <c r="C51" s="32" t="str">
        <f>IF(B51="","",VLOOKUP(B51,'سجل حساب الزيادة السنوية'!$B$6:$Q$205,2,0))</f>
        <v/>
      </c>
      <c r="D51" s="32" t="str">
        <f>IF(B51="","",VLOOKUP(B51,'سجل حساب الزيادة السنوية'!$B$6:$Q$205,3,0))</f>
        <v/>
      </c>
      <c r="E51" s="32" t="str">
        <f>IF(B51="","",VLOOKUP(B51,'سجل حساب الزيادة السنوية'!$B$6:$Q$205,4,0))</f>
        <v/>
      </c>
      <c r="F51" s="36" t="str">
        <f>IF(B51="","",VLOOKUP(B51,'سجل حساب الزيادة السنوية'!$B$6:$Q$205,5,0))</f>
        <v/>
      </c>
      <c r="G51" s="32" t="str">
        <f>IF(B51="","",VLOOKUP(B51,'سجل حساب الزيادة السنوية'!$B$6:$Q$205,6,0))</f>
        <v/>
      </c>
      <c r="H51" s="32" t="str">
        <f>IF(B51="","",VLOOKUP(B51,'سجل حساب الزيادة السنوية'!$B$6:$Q$205,7,0))</f>
        <v/>
      </c>
      <c r="I51" s="33" t="str">
        <f>IF(B51="","",VLOOKUP(B51,'سجل حساب الزيادة السنوية'!$B$6:$Q$205,8,0))</f>
        <v/>
      </c>
      <c r="J51" s="61" t="str">
        <f>IF(B51="","",VLOOKUP(B51,'سجل حساب الزيادة السنوية'!$B$6:$Q$205,9,0))</f>
        <v/>
      </c>
      <c r="K51" s="59" t="str">
        <f>IF(B51="","",VLOOKUP(B51,'سجل حساب الزيادة السنوية'!$B$6:$Q$205,10,0))</f>
        <v/>
      </c>
      <c r="L51" s="37" t="str">
        <f>IF(B51="","",VLOOKUP(B51,'سجل حساب الزيادة السنوية'!$B$6:$Q$205,11,0))</f>
        <v/>
      </c>
      <c r="M51" s="37" t="str">
        <f>IF(B51="","",VLOOKUP(B51,'سجل حساب الزيادة السنوية'!$B$6:$Q$205,12,0))</f>
        <v/>
      </c>
      <c r="N51" s="37" t="str">
        <f>IF(B51="","",VLOOKUP(B51,'سجل حساب الزيادة السنوية'!$B$6:$Q$205,13,0))</f>
        <v/>
      </c>
      <c r="O51" s="37" t="str">
        <f>IF(B51="","",VLOOKUP(B51,'سجل حساب الزيادة السنوية'!$B$6:$Q$205,14,0))</f>
        <v/>
      </c>
      <c r="P51" s="37" t="str">
        <f>IF(B51="","",VLOOKUP(B51,'سجل حساب الزيادة السنوية'!$B$6:$Q$205,15,0))</f>
        <v/>
      </c>
      <c r="Q51" s="37" t="str">
        <f>IF(B51="","",VLOOKUP(B51,'سجل حساب الزيادة السنوية'!$B$6:$Q$205,16,0))</f>
        <v/>
      </c>
    </row>
    <row r="52" spans="1:17" ht="22.5" customHeight="1" x14ac:dyDescent="0.25">
      <c r="A52" s="32" t="str">
        <f>IF(B52="","",SUBTOTAL(3,B$7:B52))</f>
        <v/>
      </c>
      <c r="B52" s="32" t="str">
        <f>IF('سجل حساب الزيادة السنوية'!B51="","",'سجل حساب الزيادة السنوية'!B51)</f>
        <v/>
      </c>
      <c r="C52" s="32" t="str">
        <f>IF(B52="","",VLOOKUP(B52,'سجل حساب الزيادة السنوية'!$B$6:$Q$205,2,0))</f>
        <v/>
      </c>
      <c r="D52" s="32" t="str">
        <f>IF(B52="","",VLOOKUP(B52,'سجل حساب الزيادة السنوية'!$B$6:$Q$205,3,0))</f>
        <v/>
      </c>
      <c r="E52" s="32" t="str">
        <f>IF(B52="","",VLOOKUP(B52,'سجل حساب الزيادة السنوية'!$B$6:$Q$205,4,0))</f>
        <v/>
      </c>
      <c r="F52" s="36" t="str">
        <f>IF(B52="","",VLOOKUP(B52,'سجل حساب الزيادة السنوية'!$B$6:$Q$205,5,0))</f>
        <v/>
      </c>
      <c r="G52" s="32" t="str">
        <f>IF(B52="","",VLOOKUP(B52,'سجل حساب الزيادة السنوية'!$B$6:$Q$205,6,0))</f>
        <v/>
      </c>
      <c r="H52" s="32" t="str">
        <f>IF(B52="","",VLOOKUP(B52,'سجل حساب الزيادة السنوية'!$B$6:$Q$205,7,0))</f>
        <v/>
      </c>
      <c r="I52" s="33" t="str">
        <f>IF(B52="","",VLOOKUP(B52,'سجل حساب الزيادة السنوية'!$B$6:$Q$205,8,0))</f>
        <v/>
      </c>
      <c r="J52" s="61" t="str">
        <f>IF(B52="","",VLOOKUP(B52,'سجل حساب الزيادة السنوية'!$B$6:$Q$205,9,0))</f>
        <v/>
      </c>
      <c r="K52" s="59" t="str">
        <f>IF(B52="","",VLOOKUP(B52,'سجل حساب الزيادة السنوية'!$B$6:$Q$205,10,0))</f>
        <v/>
      </c>
      <c r="L52" s="37" t="str">
        <f>IF(B52="","",VLOOKUP(B52,'سجل حساب الزيادة السنوية'!$B$6:$Q$205,11,0))</f>
        <v/>
      </c>
      <c r="M52" s="37" t="str">
        <f>IF(B52="","",VLOOKUP(B52,'سجل حساب الزيادة السنوية'!$B$6:$Q$205,12,0))</f>
        <v/>
      </c>
      <c r="N52" s="37" t="str">
        <f>IF(B52="","",VLOOKUP(B52,'سجل حساب الزيادة السنوية'!$B$6:$Q$205,13,0))</f>
        <v/>
      </c>
      <c r="O52" s="37" t="str">
        <f>IF(B52="","",VLOOKUP(B52,'سجل حساب الزيادة السنوية'!$B$6:$Q$205,14,0))</f>
        <v/>
      </c>
      <c r="P52" s="37" t="str">
        <f>IF(B52="","",VLOOKUP(B52,'سجل حساب الزيادة السنوية'!$B$6:$Q$205,15,0))</f>
        <v/>
      </c>
      <c r="Q52" s="37" t="str">
        <f>IF(B52="","",VLOOKUP(B52,'سجل حساب الزيادة السنوية'!$B$6:$Q$205,16,0))</f>
        <v/>
      </c>
    </row>
    <row r="53" spans="1:17" ht="22.5" customHeight="1" x14ac:dyDescent="0.25">
      <c r="A53" s="32" t="str">
        <f>IF(B53="","",SUBTOTAL(3,B$7:B53))</f>
        <v/>
      </c>
      <c r="B53" s="32" t="str">
        <f>IF('سجل حساب الزيادة السنوية'!B52="","",'سجل حساب الزيادة السنوية'!B52)</f>
        <v/>
      </c>
      <c r="C53" s="32" t="str">
        <f>IF(B53="","",VLOOKUP(B53,'سجل حساب الزيادة السنوية'!$B$6:$Q$205,2,0))</f>
        <v/>
      </c>
      <c r="D53" s="32" t="str">
        <f>IF(B53="","",VLOOKUP(B53,'سجل حساب الزيادة السنوية'!$B$6:$Q$205,3,0))</f>
        <v/>
      </c>
      <c r="E53" s="32" t="str">
        <f>IF(B53="","",VLOOKUP(B53,'سجل حساب الزيادة السنوية'!$B$6:$Q$205,4,0))</f>
        <v/>
      </c>
      <c r="F53" s="36" t="str">
        <f>IF(B53="","",VLOOKUP(B53,'سجل حساب الزيادة السنوية'!$B$6:$Q$205,5,0))</f>
        <v/>
      </c>
      <c r="G53" s="32" t="str">
        <f>IF(B53="","",VLOOKUP(B53,'سجل حساب الزيادة السنوية'!$B$6:$Q$205,6,0))</f>
        <v/>
      </c>
      <c r="H53" s="32" t="str">
        <f>IF(B53="","",VLOOKUP(B53,'سجل حساب الزيادة السنوية'!$B$6:$Q$205,7,0))</f>
        <v/>
      </c>
      <c r="I53" s="33" t="str">
        <f>IF(B53="","",VLOOKUP(B53,'سجل حساب الزيادة السنوية'!$B$6:$Q$205,8,0))</f>
        <v/>
      </c>
      <c r="J53" s="61" t="str">
        <f>IF(B53="","",VLOOKUP(B53,'سجل حساب الزيادة السنوية'!$B$6:$Q$205,9,0))</f>
        <v/>
      </c>
      <c r="K53" s="59" t="str">
        <f>IF(B53="","",VLOOKUP(B53,'سجل حساب الزيادة السنوية'!$B$6:$Q$205,10,0))</f>
        <v/>
      </c>
      <c r="L53" s="37" t="str">
        <f>IF(B53="","",VLOOKUP(B53,'سجل حساب الزيادة السنوية'!$B$6:$Q$205,11,0))</f>
        <v/>
      </c>
      <c r="M53" s="37" t="str">
        <f>IF(B53="","",VLOOKUP(B53,'سجل حساب الزيادة السنوية'!$B$6:$Q$205,12,0))</f>
        <v/>
      </c>
      <c r="N53" s="37" t="str">
        <f>IF(B53="","",VLOOKUP(B53,'سجل حساب الزيادة السنوية'!$B$6:$Q$205,13,0))</f>
        <v/>
      </c>
      <c r="O53" s="37" t="str">
        <f>IF(B53="","",VLOOKUP(B53,'سجل حساب الزيادة السنوية'!$B$6:$Q$205,14,0))</f>
        <v/>
      </c>
      <c r="P53" s="37" t="str">
        <f>IF(B53="","",VLOOKUP(B53,'سجل حساب الزيادة السنوية'!$B$6:$Q$205,15,0))</f>
        <v/>
      </c>
      <c r="Q53" s="37" t="str">
        <f>IF(B53="","",VLOOKUP(B53,'سجل حساب الزيادة السنوية'!$B$6:$Q$205,16,0))</f>
        <v/>
      </c>
    </row>
    <row r="54" spans="1:17" ht="22.5" customHeight="1" x14ac:dyDescent="0.25">
      <c r="A54" s="32" t="str">
        <f>IF(B54="","",SUBTOTAL(3,B$7:B54))</f>
        <v/>
      </c>
      <c r="B54" s="32" t="str">
        <f>IF('سجل حساب الزيادة السنوية'!B53="","",'سجل حساب الزيادة السنوية'!B53)</f>
        <v/>
      </c>
      <c r="C54" s="32" t="str">
        <f>IF(B54="","",VLOOKUP(B54,'سجل حساب الزيادة السنوية'!$B$6:$Q$205,2,0))</f>
        <v/>
      </c>
      <c r="D54" s="32" t="str">
        <f>IF(B54="","",VLOOKUP(B54,'سجل حساب الزيادة السنوية'!$B$6:$Q$205,3,0))</f>
        <v/>
      </c>
      <c r="E54" s="32" t="str">
        <f>IF(B54="","",VLOOKUP(B54,'سجل حساب الزيادة السنوية'!$B$6:$Q$205,4,0))</f>
        <v/>
      </c>
      <c r="F54" s="36" t="str">
        <f>IF(B54="","",VLOOKUP(B54,'سجل حساب الزيادة السنوية'!$B$6:$Q$205,5,0))</f>
        <v/>
      </c>
      <c r="G54" s="32" t="str">
        <f>IF(B54="","",VLOOKUP(B54,'سجل حساب الزيادة السنوية'!$B$6:$Q$205,6,0))</f>
        <v/>
      </c>
      <c r="H54" s="32" t="str">
        <f>IF(B54="","",VLOOKUP(B54,'سجل حساب الزيادة السنوية'!$B$6:$Q$205,7,0))</f>
        <v/>
      </c>
      <c r="I54" s="33" t="str">
        <f>IF(B54="","",VLOOKUP(B54,'سجل حساب الزيادة السنوية'!$B$6:$Q$205,8,0))</f>
        <v/>
      </c>
      <c r="J54" s="61" t="str">
        <f>IF(B54="","",VLOOKUP(B54,'سجل حساب الزيادة السنوية'!$B$6:$Q$205,9,0))</f>
        <v/>
      </c>
      <c r="K54" s="59" t="str">
        <f>IF(B54="","",VLOOKUP(B54,'سجل حساب الزيادة السنوية'!$B$6:$Q$205,10,0))</f>
        <v/>
      </c>
      <c r="L54" s="37" t="str">
        <f>IF(B54="","",VLOOKUP(B54,'سجل حساب الزيادة السنوية'!$B$6:$Q$205,11,0))</f>
        <v/>
      </c>
      <c r="M54" s="37" t="str">
        <f>IF(B54="","",VLOOKUP(B54,'سجل حساب الزيادة السنوية'!$B$6:$Q$205,12,0))</f>
        <v/>
      </c>
      <c r="N54" s="37" t="str">
        <f>IF(B54="","",VLOOKUP(B54,'سجل حساب الزيادة السنوية'!$B$6:$Q$205,13,0))</f>
        <v/>
      </c>
      <c r="O54" s="37" t="str">
        <f>IF(B54="","",VLOOKUP(B54,'سجل حساب الزيادة السنوية'!$B$6:$Q$205,14,0))</f>
        <v/>
      </c>
      <c r="P54" s="37" t="str">
        <f>IF(B54="","",VLOOKUP(B54,'سجل حساب الزيادة السنوية'!$B$6:$Q$205,15,0))</f>
        <v/>
      </c>
      <c r="Q54" s="37" t="str">
        <f>IF(B54="","",VLOOKUP(B54,'سجل حساب الزيادة السنوية'!$B$6:$Q$205,16,0))</f>
        <v/>
      </c>
    </row>
    <row r="55" spans="1:17" ht="22.5" customHeight="1" x14ac:dyDescent="0.25">
      <c r="A55" s="32" t="str">
        <f>IF(B55="","",SUBTOTAL(3,B$7:B55))</f>
        <v/>
      </c>
      <c r="B55" s="32" t="str">
        <f>IF('سجل حساب الزيادة السنوية'!B54="","",'سجل حساب الزيادة السنوية'!B54)</f>
        <v/>
      </c>
      <c r="C55" s="32" t="str">
        <f>IF(B55="","",VLOOKUP(B55,'سجل حساب الزيادة السنوية'!$B$6:$Q$205,2,0))</f>
        <v/>
      </c>
      <c r="D55" s="32" t="str">
        <f>IF(B55="","",VLOOKUP(B55,'سجل حساب الزيادة السنوية'!$B$6:$Q$205,3,0))</f>
        <v/>
      </c>
      <c r="E55" s="32" t="str">
        <f>IF(B55="","",VLOOKUP(B55,'سجل حساب الزيادة السنوية'!$B$6:$Q$205,4,0))</f>
        <v/>
      </c>
      <c r="F55" s="36" t="str">
        <f>IF(B55="","",VLOOKUP(B55,'سجل حساب الزيادة السنوية'!$B$6:$Q$205,5,0))</f>
        <v/>
      </c>
      <c r="G55" s="32" t="str">
        <f>IF(B55="","",VLOOKUP(B55,'سجل حساب الزيادة السنوية'!$B$6:$Q$205,6,0))</f>
        <v/>
      </c>
      <c r="H55" s="32" t="str">
        <f>IF(B55="","",VLOOKUP(B55,'سجل حساب الزيادة السنوية'!$B$6:$Q$205,7,0))</f>
        <v/>
      </c>
      <c r="I55" s="33" t="str">
        <f>IF(B55="","",VLOOKUP(B55,'سجل حساب الزيادة السنوية'!$B$6:$Q$205,8,0))</f>
        <v/>
      </c>
      <c r="J55" s="61" t="str">
        <f>IF(B55="","",VLOOKUP(B55,'سجل حساب الزيادة السنوية'!$B$6:$Q$205,9,0))</f>
        <v/>
      </c>
      <c r="K55" s="59" t="str">
        <f>IF(B55="","",VLOOKUP(B55,'سجل حساب الزيادة السنوية'!$B$6:$Q$205,10,0))</f>
        <v/>
      </c>
      <c r="L55" s="37" t="str">
        <f>IF(B55="","",VLOOKUP(B55,'سجل حساب الزيادة السنوية'!$B$6:$Q$205,11,0))</f>
        <v/>
      </c>
      <c r="M55" s="37" t="str">
        <f>IF(B55="","",VLOOKUP(B55,'سجل حساب الزيادة السنوية'!$B$6:$Q$205,12,0))</f>
        <v/>
      </c>
      <c r="N55" s="37" t="str">
        <f>IF(B55="","",VLOOKUP(B55,'سجل حساب الزيادة السنوية'!$B$6:$Q$205,13,0))</f>
        <v/>
      </c>
      <c r="O55" s="37" t="str">
        <f>IF(B55="","",VLOOKUP(B55,'سجل حساب الزيادة السنوية'!$B$6:$Q$205,14,0))</f>
        <v/>
      </c>
      <c r="P55" s="37" t="str">
        <f>IF(B55="","",VLOOKUP(B55,'سجل حساب الزيادة السنوية'!$B$6:$Q$205,15,0))</f>
        <v/>
      </c>
      <c r="Q55" s="37" t="str">
        <f>IF(B55="","",VLOOKUP(B55,'سجل حساب الزيادة السنوية'!$B$6:$Q$205,16,0))</f>
        <v/>
      </c>
    </row>
    <row r="56" spans="1:17" ht="22.5" customHeight="1" x14ac:dyDescent="0.25">
      <c r="A56" s="32" t="str">
        <f>IF(B56="","",SUBTOTAL(3,B$7:B56))</f>
        <v/>
      </c>
      <c r="B56" s="32" t="str">
        <f>IF('سجل حساب الزيادة السنوية'!B55="","",'سجل حساب الزيادة السنوية'!B55)</f>
        <v/>
      </c>
      <c r="C56" s="32" t="str">
        <f>IF(B56="","",VLOOKUP(B56,'سجل حساب الزيادة السنوية'!$B$6:$Q$205,2,0))</f>
        <v/>
      </c>
      <c r="D56" s="32" t="str">
        <f>IF(B56="","",VLOOKUP(B56,'سجل حساب الزيادة السنوية'!$B$6:$Q$205,3,0))</f>
        <v/>
      </c>
      <c r="E56" s="32" t="str">
        <f>IF(B56="","",VLOOKUP(B56,'سجل حساب الزيادة السنوية'!$B$6:$Q$205,4,0))</f>
        <v/>
      </c>
      <c r="F56" s="36" t="str">
        <f>IF(B56="","",VLOOKUP(B56,'سجل حساب الزيادة السنوية'!$B$6:$Q$205,5,0))</f>
        <v/>
      </c>
      <c r="G56" s="32" t="str">
        <f>IF(B56="","",VLOOKUP(B56,'سجل حساب الزيادة السنوية'!$B$6:$Q$205,6,0))</f>
        <v/>
      </c>
      <c r="H56" s="32" t="str">
        <f>IF(B56="","",VLOOKUP(B56,'سجل حساب الزيادة السنوية'!$B$6:$Q$205,7,0))</f>
        <v/>
      </c>
      <c r="I56" s="33" t="str">
        <f>IF(B56="","",VLOOKUP(B56,'سجل حساب الزيادة السنوية'!$B$6:$Q$205,8,0))</f>
        <v/>
      </c>
      <c r="J56" s="61" t="str">
        <f>IF(B56="","",VLOOKUP(B56,'سجل حساب الزيادة السنوية'!$B$6:$Q$205,9,0))</f>
        <v/>
      </c>
      <c r="K56" s="59" t="str">
        <f>IF(B56="","",VLOOKUP(B56,'سجل حساب الزيادة السنوية'!$B$6:$Q$205,10,0))</f>
        <v/>
      </c>
      <c r="L56" s="37" t="str">
        <f>IF(B56="","",VLOOKUP(B56,'سجل حساب الزيادة السنوية'!$B$6:$Q$205,11,0))</f>
        <v/>
      </c>
      <c r="M56" s="37" t="str">
        <f>IF(B56="","",VLOOKUP(B56,'سجل حساب الزيادة السنوية'!$B$6:$Q$205,12,0))</f>
        <v/>
      </c>
      <c r="N56" s="37" t="str">
        <f>IF(B56="","",VLOOKUP(B56,'سجل حساب الزيادة السنوية'!$B$6:$Q$205,13,0))</f>
        <v/>
      </c>
      <c r="O56" s="37" t="str">
        <f>IF(B56="","",VLOOKUP(B56,'سجل حساب الزيادة السنوية'!$B$6:$Q$205,14,0))</f>
        <v/>
      </c>
      <c r="P56" s="37" t="str">
        <f>IF(B56="","",VLOOKUP(B56,'سجل حساب الزيادة السنوية'!$B$6:$Q$205,15,0))</f>
        <v/>
      </c>
      <c r="Q56" s="37" t="str">
        <f>IF(B56="","",VLOOKUP(B56,'سجل حساب الزيادة السنوية'!$B$6:$Q$205,16,0))</f>
        <v/>
      </c>
    </row>
    <row r="57" spans="1:17" ht="22.5" customHeight="1" x14ac:dyDescent="0.25">
      <c r="A57" s="32" t="str">
        <f>IF(B57="","",SUBTOTAL(3,B$7:B57))</f>
        <v/>
      </c>
      <c r="B57" s="32" t="str">
        <f>IF('سجل حساب الزيادة السنوية'!B56="","",'سجل حساب الزيادة السنوية'!B56)</f>
        <v/>
      </c>
      <c r="C57" s="32" t="str">
        <f>IF(B57="","",VLOOKUP(B57,'سجل حساب الزيادة السنوية'!$B$6:$Q$205,2,0))</f>
        <v/>
      </c>
      <c r="D57" s="32" t="str">
        <f>IF(B57="","",VLOOKUP(B57,'سجل حساب الزيادة السنوية'!$B$6:$Q$205,3,0))</f>
        <v/>
      </c>
      <c r="E57" s="32" t="str">
        <f>IF(B57="","",VLOOKUP(B57,'سجل حساب الزيادة السنوية'!$B$6:$Q$205,4,0))</f>
        <v/>
      </c>
      <c r="F57" s="36" t="str">
        <f>IF(B57="","",VLOOKUP(B57,'سجل حساب الزيادة السنوية'!$B$6:$Q$205,5,0))</f>
        <v/>
      </c>
      <c r="G57" s="32" t="str">
        <f>IF(B57="","",VLOOKUP(B57,'سجل حساب الزيادة السنوية'!$B$6:$Q$205,6,0))</f>
        <v/>
      </c>
      <c r="H57" s="32" t="str">
        <f>IF(B57="","",VLOOKUP(B57,'سجل حساب الزيادة السنوية'!$B$6:$Q$205,7,0))</f>
        <v/>
      </c>
      <c r="I57" s="33" t="str">
        <f>IF(B57="","",VLOOKUP(B57,'سجل حساب الزيادة السنوية'!$B$6:$Q$205,8,0))</f>
        <v/>
      </c>
      <c r="J57" s="61" t="str">
        <f>IF(B57="","",VLOOKUP(B57,'سجل حساب الزيادة السنوية'!$B$6:$Q$205,9,0))</f>
        <v/>
      </c>
      <c r="K57" s="59" t="str">
        <f>IF(B57="","",VLOOKUP(B57,'سجل حساب الزيادة السنوية'!$B$6:$Q$205,10,0))</f>
        <v/>
      </c>
      <c r="L57" s="37" t="str">
        <f>IF(B57="","",VLOOKUP(B57,'سجل حساب الزيادة السنوية'!$B$6:$Q$205,11,0))</f>
        <v/>
      </c>
      <c r="M57" s="37" t="str">
        <f>IF(B57="","",VLOOKUP(B57,'سجل حساب الزيادة السنوية'!$B$6:$Q$205,12,0))</f>
        <v/>
      </c>
      <c r="N57" s="37" t="str">
        <f>IF(B57="","",VLOOKUP(B57,'سجل حساب الزيادة السنوية'!$B$6:$Q$205,13,0))</f>
        <v/>
      </c>
      <c r="O57" s="37" t="str">
        <f>IF(B57="","",VLOOKUP(B57,'سجل حساب الزيادة السنوية'!$B$6:$Q$205,14,0))</f>
        <v/>
      </c>
      <c r="P57" s="37" t="str">
        <f>IF(B57="","",VLOOKUP(B57,'سجل حساب الزيادة السنوية'!$B$6:$Q$205,15,0))</f>
        <v/>
      </c>
      <c r="Q57" s="37" t="str">
        <f>IF(B57="","",VLOOKUP(B57,'سجل حساب الزيادة السنوية'!$B$6:$Q$205,16,0))</f>
        <v/>
      </c>
    </row>
    <row r="58" spans="1:17" ht="22.5" customHeight="1" x14ac:dyDescent="0.25">
      <c r="A58" s="32" t="str">
        <f>IF(B58="","",SUBTOTAL(3,B$7:B58))</f>
        <v/>
      </c>
      <c r="B58" s="32" t="str">
        <f>IF('سجل حساب الزيادة السنوية'!B57="","",'سجل حساب الزيادة السنوية'!B57)</f>
        <v/>
      </c>
      <c r="C58" s="32" t="str">
        <f>IF(B58="","",VLOOKUP(B58,'سجل حساب الزيادة السنوية'!$B$6:$Q$205,2,0))</f>
        <v/>
      </c>
      <c r="D58" s="32" t="str">
        <f>IF(B58="","",VLOOKUP(B58,'سجل حساب الزيادة السنوية'!$B$6:$Q$205,3,0))</f>
        <v/>
      </c>
      <c r="E58" s="32" t="str">
        <f>IF(B58="","",VLOOKUP(B58,'سجل حساب الزيادة السنوية'!$B$6:$Q$205,4,0))</f>
        <v/>
      </c>
      <c r="F58" s="36" t="str">
        <f>IF(B58="","",VLOOKUP(B58,'سجل حساب الزيادة السنوية'!$B$6:$Q$205,5,0))</f>
        <v/>
      </c>
      <c r="G58" s="32" t="str">
        <f>IF(B58="","",VLOOKUP(B58,'سجل حساب الزيادة السنوية'!$B$6:$Q$205,6,0))</f>
        <v/>
      </c>
      <c r="H58" s="32" t="str">
        <f>IF(B58="","",VLOOKUP(B58,'سجل حساب الزيادة السنوية'!$B$6:$Q$205,7,0))</f>
        <v/>
      </c>
      <c r="I58" s="33" t="str">
        <f>IF(B58="","",VLOOKUP(B58,'سجل حساب الزيادة السنوية'!$B$6:$Q$205,8,0))</f>
        <v/>
      </c>
      <c r="J58" s="61" t="str">
        <f>IF(B58="","",VLOOKUP(B58,'سجل حساب الزيادة السنوية'!$B$6:$Q$205,9,0))</f>
        <v/>
      </c>
      <c r="K58" s="59" t="str">
        <f>IF(B58="","",VLOOKUP(B58,'سجل حساب الزيادة السنوية'!$B$6:$Q$205,10,0))</f>
        <v/>
      </c>
      <c r="L58" s="37" t="str">
        <f>IF(B58="","",VLOOKUP(B58,'سجل حساب الزيادة السنوية'!$B$6:$Q$205,11,0))</f>
        <v/>
      </c>
      <c r="M58" s="37" t="str">
        <f>IF(B58="","",VLOOKUP(B58,'سجل حساب الزيادة السنوية'!$B$6:$Q$205,12,0))</f>
        <v/>
      </c>
      <c r="N58" s="37" t="str">
        <f>IF(B58="","",VLOOKUP(B58,'سجل حساب الزيادة السنوية'!$B$6:$Q$205,13,0))</f>
        <v/>
      </c>
      <c r="O58" s="37" t="str">
        <f>IF(B58="","",VLOOKUP(B58,'سجل حساب الزيادة السنوية'!$B$6:$Q$205,14,0))</f>
        <v/>
      </c>
      <c r="P58" s="37" t="str">
        <f>IF(B58="","",VLOOKUP(B58,'سجل حساب الزيادة السنوية'!$B$6:$Q$205,15,0))</f>
        <v/>
      </c>
      <c r="Q58" s="37" t="str">
        <f>IF(B58="","",VLOOKUP(B58,'سجل حساب الزيادة السنوية'!$B$6:$Q$205,16,0))</f>
        <v/>
      </c>
    </row>
    <row r="59" spans="1:17" ht="22.5" customHeight="1" x14ac:dyDescent="0.25">
      <c r="A59" s="32" t="str">
        <f>IF(B59="","",SUBTOTAL(3,B$7:B59))</f>
        <v/>
      </c>
      <c r="B59" s="32" t="str">
        <f>IF('سجل حساب الزيادة السنوية'!B58="","",'سجل حساب الزيادة السنوية'!B58)</f>
        <v/>
      </c>
      <c r="C59" s="32" t="str">
        <f>IF(B59="","",VLOOKUP(B59,'سجل حساب الزيادة السنوية'!$B$6:$Q$205,2,0))</f>
        <v/>
      </c>
      <c r="D59" s="32" t="str">
        <f>IF(B59="","",VLOOKUP(B59,'سجل حساب الزيادة السنوية'!$B$6:$Q$205,3,0))</f>
        <v/>
      </c>
      <c r="E59" s="32" t="str">
        <f>IF(B59="","",VLOOKUP(B59,'سجل حساب الزيادة السنوية'!$B$6:$Q$205,4,0))</f>
        <v/>
      </c>
      <c r="F59" s="36" t="str">
        <f>IF(B59="","",VLOOKUP(B59,'سجل حساب الزيادة السنوية'!$B$6:$Q$205,5,0))</f>
        <v/>
      </c>
      <c r="G59" s="32" t="str">
        <f>IF(B59="","",VLOOKUP(B59,'سجل حساب الزيادة السنوية'!$B$6:$Q$205,6,0))</f>
        <v/>
      </c>
      <c r="H59" s="32" t="str">
        <f>IF(B59="","",VLOOKUP(B59,'سجل حساب الزيادة السنوية'!$B$6:$Q$205,7,0))</f>
        <v/>
      </c>
      <c r="I59" s="33" t="str">
        <f>IF(B59="","",VLOOKUP(B59,'سجل حساب الزيادة السنوية'!$B$6:$Q$205,8,0))</f>
        <v/>
      </c>
      <c r="J59" s="61" t="str">
        <f>IF(B59="","",VLOOKUP(B59,'سجل حساب الزيادة السنوية'!$B$6:$Q$205,9,0))</f>
        <v/>
      </c>
      <c r="K59" s="59" t="str">
        <f>IF(B59="","",VLOOKUP(B59,'سجل حساب الزيادة السنوية'!$B$6:$Q$205,10,0))</f>
        <v/>
      </c>
      <c r="L59" s="37" t="str">
        <f>IF(B59="","",VLOOKUP(B59,'سجل حساب الزيادة السنوية'!$B$6:$Q$205,11,0))</f>
        <v/>
      </c>
      <c r="M59" s="37" t="str">
        <f>IF(B59="","",VLOOKUP(B59,'سجل حساب الزيادة السنوية'!$B$6:$Q$205,12,0))</f>
        <v/>
      </c>
      <c r="N59" s="37" t="str">
        <f>IF(B59="","",VLOOKUP(B59,'سجل حساب الزيادة السنوية'!$B$6:$Q$205,13,0))</f>
        <v/>
      </c>
      <c r="O59" s="37" t="str">
        <f>IF(B59="","",VLOOKUP(B59,'سجل حساب الزيادة السنوية'!$B$6:$Q$205,14,0))</f>
        <v/>
      </c>
      <c r="P59" s="37" t="str">
        <f>IF(B59="","",VLOOKUP(B59,'سجل حساب الزيادة السنوية'!$B$6:$Q$205,15,0))</f>
        <v/>
      </c>
      <c r="Q59" s="37" t="str">
        <f>IF(B59="","",VLOOKUP(B59,'سجل حساب الزيادة السنوية'!$B$6:$Q$205,16,0))</f>
        <v/>
      </c>
    </row>
    <row r="60" spans="1:17" ht="22.5" customHeight="1" x14ac:dyDescent="0.25">
      <c r="A60" s="32" t="str">
        <f>IF(B60="","",SUBTOTAL(3,B$7:B60))</f>
        <v/>
      </c>
      <c r="B60" s="32" t="str">
        <f>IF('سجل حساب الزيادة السنوية'!B59="","",'سجل حساب الزيادة السنوية'!B59)</f>
        <v/>
      </c>
      <c r="C60" s="32" t="str">
        <f>IF(B60="","",VLOOKUP(B60,'سجل حساب الزيادة السنوية'!$B$6:$Q$205,2,0))</f>
        <v/>
      </c>
      <c r="D60" s="32" t="str">
        <f>IF(B60="","",VLOOKUP(B60,'سجل حساب الزيادة السنوية'!$B$6:$Q$205,3,0))</f>
        <v/>
      </c>
      <c r="E60" s="32" t="str">
        <f>IF(B60="","",VLOOKUP(B60,'سجل حساب الزيادة السنوية'!$B$6:$Q$205,4,0))</f>
        <v/>
      </c>
      <c r="F60" s="36" t="str">
        <f>IF(B60="","",VLOOKUP(B60,'سجل حساب الزيادة السنوية'!$B$6:$Q$205,5,0))</f>
        <v/>
      </c>
      <c r="G60" s="32" t="str">
        <f>IF(B60="","",VLOOKUP(B60,'سجل حساب الزيادة السنوية'!$B$6:$Q$205,6,0))</f>
        <v/>
      </c>
      <c r="H60" s="32" t="str">
        <f>IF(B60="","",VLOOKUP(B60,'سجل حساب الزيادة السنوية'!$B$6:$Q$205,7,0))</f>
        <v/>
      </c>
      <c r="I60" s="33" t="str">
        <f>IF(B60="","",VLOOKUP(B60,'سجل حساب الزيادة السنوية'!$B$6:$Q$205,8,0))</f>
        <v/>
      </c>
      <c r="J60" s="61" t="str">
        <f>IF(B60="","",VLOOKUP(B60,'سجل حساب الزيادة السنوية'!$B$6:$Q$205,9,0))</f>
        <v/>
      </c>
      <c r="K60" s="59" t="str">
        <f>IF(B60="","",VLOOKUP(B60,'سجل حساب الزيادة السنوية'!$B$6:$Q$205,10,0))</f>
        <v/>
      </c>
      <c r="L60" s="37" t="str">
        <f>IF(B60="","",VLOOKUP(B60,'سجل حساب الزيادة السنوية'!$B$6:$Q$205,11,0))</f>
        <v/>
      </c>
      <c r="M60" s="37" t="str">
        <f>IF(B60="","",VLOOKUP(B60,'سجل حساب الزيادة السنوية'!$B$6:$Q$205,12,0))</f>
        <v/>
      </c>
      <c r="N60" s="37" t="str">
        <f>IF(B60="","",VLOOKUP(B60,'سجل حساب الزيادة السنوية'!$B$6:$Q$205,13,0))</f>
        <v/>
      </c>
      <c r="O60" s="37" t="str">
        <f>IF(B60="","",VLOOKUP(B60,'سجل حساب الزيادة السنوية'!$B$6:$Q$205,14,0))</f>
        <v/>
      </c>
      <c r="P60" s="37" t="str">
        <f>IF(B60="","",VLOOKUP(B60,'سجل حساب الزيادة السنوية'!$B$6:$Q$205,15,0))</f>
        <v/>
      </c>
      <c r="Q60" s="37" t="str">
        <f>IF(B60="","",VLOOKUP(B60,'سجل حساب الزيادة السنوية'!$B$6:$Q$205,16,0))</f>
        <v/>
      </c>
    </row>
    <row r="61" spans="1:17" ht="22.5" customHeight="1" x14ac:dyDescent="0.25">
      <c r="A61" s="32" t="str">
        <f>IF(B61="","",SUBTOTAL(3,B$7:B61))</f>
        <v/>
      </c>
      <c r="B61" s="32" t="str">
        <f>IF('سجل حساب الزيادة السنوية'!B60="","",'سجل حساب الزيادة السنوية'!B60)</f>
        <v/>
      </c>
      <c r="C61" s="32" t="str">
        <f>IF(B61="","",VLOOKUP(B61,'سجل حساب الزيادة السنوية'!$B$6:$Q$205,2,0))</f>
        <v/>
      </c>
      <c r="D61" s="32" t="str">
        <f>IF(B61="","",VLOOKUP(B61,'سجل حساب الزيادة السنوية'!$B$6:$Q$205,3,0))</f>
        <v/>
      </c>
      <c r="E61" s="32" t="str">
        <f>IF(B61="","",VLOOKUP(B61,'سجل حساب الزيادة السنوية'!$B$6:$Q$205,4,0))</f>
        <v/>
      </c>
      <c r="F61" s="36" t="str">
        <f>IF(B61="","",VLOOKUP(B61,'سجل حساب الزيادة السنوية'!$B$6:$Q$205,5,0))</f>
        <v/>
      </c>
      <c r="G61" s="32" t="str">
        <f>IF(B61="","",VLOOKUP(B61,'سجل حساب الزيادة السنوية'!$B$6:$Q$205,6,0))</f>
        <v/>
      </c>
      <c r="H61" s="32" t="str">
        <f>IF(B61="","",VLOOKUP(B61,'سجل حساب الزيادة السنوية'!$B$6:$Q$205,7,0))</f>
        <v/>
      </c>
      <c r="I61" s="33" t="str">
        <f>IF(B61="","",VLOOKUP(B61,'سجل حساب الزيادة السنوية'!$B$6:$Q$205,8,0))</f>
        <v/>
      </c>
      <c r="J61" s="61" t="str">
        <f>IF(B61="","",VLOOKUP(B61,'سجل حساب الزيادة السنوية'!$B$6:$Q$205,9,0))</f>
        <v/>
      </c>
      <c r="K61" s="59" t="str">
        <f>IF(B61="","",VLOOKUP(B61,'سجل حساب الزيادة السنوية'!$B$6:$Q$205,10,0))</f>
        <v/>
      </c>
      <c r="L61" s="37" t="str">
        <f>IF(B61="","",VLOOKUP(B61,'سجل حساب الزيادة السنوية'!$B$6:$Q$205,11,0))</f>
        <v/>
      </c>
      <c r="M61" s="37" t="str">
        <f>IF(B61="","",VLOOKUP(B61,'سجل حساب الزيادة السنوية'!$B$6:$Q$205,12,0))</f>
        <v/>
      </c>
      <c r="N61" s="37" t="str">
        <f>IF(B61="","",VLOOKUP(B61,'سجل حساب الزيادة السنوية'!$B$6:$Q$205,13,0))</f>
        <v/>
      </c>
      <c r="O61" s="37" t="str">
        <f>IF(B61="","",VLOOKUP(B61,'سجل حساب الزيادة السنوية'!$B$6:$Q$205,14,0))</f>
        <v/>
      </c>
      <c r="P61" s="37" t="str">
        <f>IF(B61="","",VLOOKUP(B61,'سجل حساب الزيادة السنوية'!$B$6:$Q$205,15,0))</f>
        <v/>
      </c>
      <c r="Q61" s="37" t="str">
        <f>IF(B61="","",VLOOKUP(B61,'سجل حساب الزيادة السنوية'!$B$6:$Q$205,16,0))</f>
        <v/>
      </c>
    </row>
    <row r="62" spans="1:17" ht="22.5" customHeight="1" x14ac:dyDescent="0.25">
      <c r="A62" s="32" t="str">
        <f>IF(B62="","",SUBTOTAL(3,B$7:B62))</f>
        <v/>
      </c>
      <c r="B62" s="32" t="str">
        <f>IF('سجل حساب الزيادة السنوية'!B61="","",'سجل حساب الزيادة السنوية'!B61)</f>
        <v/>
      </c>
      <c r="C62" s="32" t="str">
        <f>IF(B62="","",VLOOKUP(B62,'سجل حساب الزيادة السنوية'!$B$6:$Q$205,2,0))</f>
        <v/>
      </c>
      <c r="D62" s="32" t="str">
        <f>IF(B62="","",VLOOKUP(B62,'سجل حساب الزيادة السنوية'!$B$6:$Q$205,3,0))</f>
        <v/>
      </c>
      <c r="E62" s="32" t="str">
        <f>IF(B62="","",VLOOKUP(B62,'سجل حساب الزيادة السنوية'!$B$6:$Q$205,4,0))</f>
        <v/>
      </c>
      <c r="F62" s="36" t="str">
        <f>IF(B62="","",VLOOKUP(B62,'سجل حساب الزيادة السنوية'!$B$6:$Q$205,5,0))</f>
        <v/>
      </c>
      <c r="G62" s="32" t="str">
        <f>IF(B62="","",VLOOKUP(B62,'سجل حساب الزيادة السنوية'!$B$6:$Q$205,6,0))</f>
        <v/>
      </c>
      <c r="H62" s="32" t="str">
        <f>IF(B62="","",VLOOKUP(B62,'سجل حساب الزيادة السنوية'!$B$6:$Q$205,7,0))</f>
        <v/>
      </c>
      <c r="I62" s="33" t="str">
        <f>IF(B62="","",VLOOKUP(B62,'سجل حساب الزيادة السنوية'!$B$6:$Q$205,8,0))</f>
        <v/>
      </c>
      <c r="J62" s="61" t="str">
        <f>IF(B62="","",VLOOKUP(B62,'سجل حساب الزيادة السنوية'!$B$6:$Q$205,9,0))</f>
        <v/>
      </c>
      <c r="K62" s="59" t="str">
        <f>IF(B62="","",VLOOKUP(B62,'سجل حساب الزيادة السنوية'!$B$6:$Q$205,10,0))</f>
        <v/>
      </c>
      <c r="L62" s="37" t="str">
        <f>IF(B62="","",VLOOKUP(B62,'سجل حساب الزيادة السنوية'!$B$6:$Q$205,11,0))</f>
        <v/>
      </c>
      <c r="M62" s="37" t="str">
        <f>IF(B62="","",VLOOKUP(B62,'سجل حساب الزيادة السنوية'!$B$6:$Q$205,12,0))</f>
        <v/>
      </c>
      <c r="N62" s="37" t="str">
        <f>IF(B62="","",VLOOKUP(B62,'سجل حساب الزيادة السنوية'!$B$6:$Q$205,13,0))</f>
        <v/>
      </c>
      <c r="O62" s="37" t="str">
        <f>IF(B62="","",VLOOKUP(B62,'سجل حساب الزيادة السنوية'!$B$6:$Q$205,14,0))</f>
        <v/>
      </c>
      <c r="P62" s="37" t="str">
        <f>IF(B62="","",VLOOKUP(B62,'سجل حساب الزيادة السنوية'!$B$6:$Q$205,15,0))</f>
        <v/>
      </c>
      <c r="Q62" s="37" t="str">
        <f>IF(B62="","",VLOOKUP(B62,'سجل حساب الزيادة السنوية'!$B$6:$Q$205,16,0))</f>
        <v/>
      </c>
    </row>
    <row r="63" spans="1:17" ht="22.5" customHeight="1" x14ac:dyDescent="0.25">
      <c r="A63" s="32" t="str">
        <f>IF(B63="","",SUBTOTAL(3,B$7:B63))</f>
        <v/>
      </c>
      <c r="B63" s="32" t="str">
        <f>IF('سجل حساب الزيادة السنوية'!B62="","",'سجل حساب الزيادة السنوية'!B62)</f>
        <v/>
      </c>
      <c r="C63" s="32" t="str">
        <f>IF(B63="","",VLOOKUP(B63,'سجل حساب الزيادة السنوية'!$B$6:$Q$205,2,0))</f>
        <v/>
      </c>
      <c r="D63" s="32" t="str">
        <f>IF(B63="","",VLOOKUP(B63,'سجل حساب الزيادة السنوية'!$B$6:$Q$205,3,0))</f>
        <v/>
      </c>
      <c r="E63" s="32" t="str">
        <f>IF(B63="","",VLOOKUP(B63,'سجل حساب الزيادة السنوية'!$B$6:$Q$205,4,0))</f>
        <v/>
      </c>
      <c r="F63" s="36" t="str">
        <f>IF(B63="","",VLOOKUP(B63,'سجل حساب الزيادة السنوية'!$B$6:$Q$205,5,0))</f>
        <v/>
      </c>
      <c r="G63" s="32" t="str">
        <f>IF(B63="","",VLOOKUP(B63,'سجل حساب الزيادة السنوية'!$B$6:$Q$205,6,0))</f>
        <v/>
      </c>
      <c r="H63" s="32" t="str">
        <f>IF(B63="","",VLOOKUP(B63,'سجل حساب الزيادة السنوية'!$B$6:$Q$205,7,0))</f>
        <v/>
      </c>
      <c r="I63" s="33" t="str">
        <f>IF(B63="","",VLOOKUP(B63,'سجل حساب الزيادة السنوية'!$B$6:$Q$205,8,0))</f>
        <v/>
      </c>
      <c r="J63" s="61" t="str">
        <f>IF(B63="","",VLOOKUP(B63,'سجل حساب الزيادة السنوية'!$B$6:$Q$205,9,0))</f>
        <v/>
      </c>
      <c r="K63" s="59" t="str">
        <f>IF(B63="","",VLOOKUP(B63,'سجل حساب الزيادة السنوية'!$B$6:$Q$205,10,0))</f>
        <v/>
      </c>
      <c r="L63" s="37" t="str">
        <f>IF(B63="","",VLOOKUP(B63,'سجل حساب الزيادة السنوية'!$B$6:$Q$205,11,0))</f>
        <v/>
      </c>
      <c r="M63" s="37" t="str">
        <f>IF(B63="","",VLOOKUP(B63,'سجل حساب الزيادة السنوية'!$B$6:$Q$205,12,0))</f>
        <v/>
      </c>
      <c r="N63" s="37" t="str">
        <f>IF(B63="","",VLOOKUP(B63,'سجل حساب الزيادة السنوية'!$B$6:$Q$205,13,0))</f>
        <v/>
      </c>
      <c r="O63" s="37" t="str">
        <f>IF(B63="","",VLOOKUP(B63,'سجل حساب الزيادة السنوية'!$B$6:$Q$205,14,0))</f>
        <v/>
      </c>
      <c r="P63" s="37" t="str">
        <f>IF(B63="","",VLOOKUP(B63,'سجل حساب الزيادة السنوية'!$B$6:$Q$205,15,0))</f>
        <v/>
      </c>
      <c r="Q63" s="37" t="str">
        <f>IF(B63="","",VLOOKUP(B63,'سجل حساب الزيادة السنوية'!$B$6:$Q$205,16,0))</f>
        <v/>
      </c>
    </row>
    <row r="64" spans="1:17" ht="22.5" customHeight="1" x14ac:dyDescent="0.25">
      <c r="A64" s="32" t="str">
        <f>IF(B64="","",SUBTOTAL(3,B$7:B64))</f>
        <v/>
      </c>
      <c r="B64" s="32" t="str">
        <f>IF('سجل حساب الزيادة السنوية'!B63="","",'سجل حساب الزيادة السنوية'!B63)</f>
        <v/>
      </c>
      <c r="C64" s="32" t="str">
        <f>IF(B64="","",VLOOKUP(B64,'سجل حساب الزيادة السنوية'!$B$6:$Q$205,2,0))</f>
        <v/>
      </c>
      <c r="D64" s="32" t="str">
        <f>IF(B64="","",VLOOKUP(B64,'سجل حساب الزيادة السنوية'!$B$6:$Q$205,3,0))</f>
        <v/>
      </c>
      <c r="E64" s="32" t="str">
        <f>IF(B64="","",VLOOKUP(B64,'سجل حساب الزيادة السنوية'!$B$6:$Q$205,4,0))</f>
        <v/>
      </c>
      <c r="F64" s="36" t="str">
        <f>IF(B64="","",VLOOKUP(B64,'سجل حساب الزيادة السنوية'!$B$6:$Q$205,5,0))</f>
        <v/>
      </c>
      <c r="G64" s="32" t="str">
        <f>IF(B64="","",VLOOKUP(B64,'سجل حساب الزيادة السنوية'!$B$6:$Q$205,6,0))</f>
        <v/>
      </c>
      <c r="H64" s="32" t="str">
        <f>IF(B64="","",VLOOKUP(B64,'سجل حساب الزيادة السنوية'!$B$6:$Q$205,7,0))</f>
        <v/>
      </c>
      <c r="I64" s="33" t="str">
        <f>IF(B64="","",VLOOKUP(B64,'سجل حساب الزيادة السنوية'!$B$6:$Q$205,8,0))</f>
        <v/>
      </c>
      <c r="J64" s="61" t="str">
        <f>IF(B64="","",VLOOKUP(B64,'سجل حساب الزيادة السنوية'!$B$6:$Q$205,9,0))</f>
        <v/>
      </c>
      <c r="K64" s="59" t="str">
        <f>IF(B64="","",VLOOKUP(B64,'سجل حساب الزيادة السنوية'!$B$6:$Q$205,10,0))</f>
        <v/>
      </c>
      <c r="L64" s="37" t="str">
        <f>IF(B64="","",VLOOKUP(B64,'سجل حساب الزيادة السنوية'!$B$6:$Q$205,11,0))</f>
        <v/>
      </c>
      <c r="M64" s="37" t="str">
        <f>IF(B64="","",VLOOKUP(B64,'سجل حساب الزيادة السنوية'!$B$6:$Q$205,12,0))</f>
        <v/>
      </c>
      <c r="N64" s="37" t="str">
        <f>IF(B64="","",VLOOKUP(B64,'سجل حساب الزيادة السنوية'!$B$6:$Q$205,13,0))</f>
        <v/>
      </c>
      <c r="O64" s="37" t="str">
        <f>IF(B64="","",VLOOKUP(B64,'سجل حساب الزيادة السنوية'!$B$6:$Q$205,14,0))</f>
        <v/>
      </c>
      <c r="P64" s="37" t="str">
        <f>IF(B64="","",VLOOKUP(B64,'سجل حساب الزيادة السنوية'!$B$6:$Q$205,15,0))</f>
        <v/>
      </c>
      <c r="Q64" s="37" t="str">
        <f>IF(B64="","",VLOOKUP(B64,'سجل حساب الزيادة السنوية'!$B$6:$Q$205,16,0))</f>
        <v/>
      </c>
    </row>
    <row r="65" spans="1:17" ht="22.5" customHeight="1" x14ac:dyDescent="0.25">
      <c r="A65" s="32" t="str">
        <f>IF(B65="","",SUBTOTAL(3,B$7:B65))</f>
        <v/>
      </c>
      <c r="B65" s="32" t="str">
        <f>IF('سجل حساب الزيادة السنوية'!B64="","",'سجل حساب الزيادة السنوية'!B64)</f>
        <v/>
      </c>
      <c r="C65" s="32" t="str">
        <f>IF(B65="","",VLOOKUP(B65,'سجل حساب الزيادة السنوية'!$B$6:$Q$205,2,0))</f>
        <v/>
      </c>
      <c r="D65" s="32" t="str">
        <f>IF(B65="","",VLOOKUP(B65,'سجل حساب الزيادة السنوية'!$B$6:$Q$205,3,0))</f>
        <v/>
      </c>
      <c r="E65" s="32" t="str">
        <f>IF(B65="","",VLOOKUP(B65,'سجل حساب الزيادة السنوية'!$B$6:$Q$205,4,0))</f>
        <v/>
      </c>
      <c r="F65" s="36" t="str">
        <f>IF(B65="","",VLOOKUP(B65,'سجل حساب الزيادة السنوية'!$B$6:$Q$205,5,0))</f>
        <v/>
      </c>
      <c r="G65" s="32" t="str">
        <f>IF(B65="","",VLOOKUP(B65,'سجل حساب الزيادة السنوية'!$B$6:$Q$205,6,0))</f>
        <v/>
      </c>
      <c r="H65" s="32" t="str">
        <f>IF(B65="","",VLOOKUP(B65,'سجل حساب الزيادة السنوية'!$B$6:$Q$205,7,0))</f>
        <v/>
      </c>
      <c r="I65" s="33" t="str">
        <f>IF(B65="","",VLOOKUP(B65,'سجل حساب الزيادة السنوية'!$B$6:$Q$205,8,0))</f>
        <v/>
      </c>
      <c r="J65" s="61" t="str">
        <f>IF(B65="","",VLOOKUP(B65,'سجل حساب الزيادة السنوية'!$B$6:$Q$205,9,0))</f>
        <v/>
      </c>
      <c r="K65" s="59" t="str">
        <f>IF(B65="","",VLOOKUP(B65,'سجل حساب الزيادة السنوية'!$B$6:$Q$205,10,0))</f>
        <v/>
      </c>
      <c r="L65" s="37" t="str">
        <f>IF(B65="","",VLOOKUP(B65,'سجل حساب الزيادة السنوية'!$B$6:$Q$205,11,0))</f>
        <v/>
      </c>
      <c r="M65" s="37" t="str">
        <f>IF(B65="","",VLOOKUP(B65,'سجل حساب الزيادة السنوية'!$B$6:$Q$205,12,0))</f>
        <v/>
      </c>
      <c r="N65" s="37" t="str">
        <f>IF(B65="","",VLOOKUP(B65,'سجل حساب الزيادة السنوية'!$B$6:$Q$205,13,0))</f>
        <v/>
      </c>
      <c r="O65" s="37" t="str">
        <f>IF(B65="","",VLOOKUP(B65,'سجل حساب الزيادة السنوية'!$B$6:$Q$205,14,0))</f>
        <v/>
      </c>
      <c r="P65" s="37" t="str">
        <f>IF(B65="","",VLOOKUP(B65,'سجل حساب الزيادة السنوية'!$B$6:$Q$205,15,0))</f>
        <v/>
      </c>
      <c r="Q65" s="37" t="str">
        <f>IF(B65="","",VLOOKUP(B65,'سجل حساب الزيادة السنوية'!$B$6:$Q$205,16,0))</f>
        <v/>
      </c>
    </row>
    <row r="66" spans="1:17" ht="22.5" customHeight="1" x14ac:dyDescent="0.25">
      <c r="A66" s="32" t="str">
        <f>IF(B66="","",SUBTOTAL(3,B$7:B66))</f>
        <v/>
      </c>
      <c r="B66" s="32" t="str">
        <f>IF('سجل حساب الزيادة السنوية'!B65="","",'سجل حساب الزيادة السنوية'!B65)</f>
        <v/>
      </c>
      <c r="C66" s="32" t="str">
        <f>IF(B66="","",VLOOKUP(B66,'سجل حساب الزيادة السنوية'!$B$6:$Q$205,2,0))</f>
        <v/>
      </c>
      <c r="D66" s="32" t="str">
        <f>IF(B66="","",VLOOKUP(B66,'سجل حساب الزيادة السنوية'!$B$6:$Q$205,3,0))</f>
        <v/>
      </c>
      <c r="E66" s="32" t="str">
        <f>IF(B66="","",VLOOKUP(B66,'سجل حساب الزيادة السنوية'!$B$6:$Q$205,4,0))</f>
        <v/>
      </c>
      <c r="F66" s="36" t="str">
        <f>IF(B66="","",VLOOKUP(B66,'سجل حساب الزيادة السنوية'!$B$6:$Q$205,5,0))</f>
        <v/>
      </c>
      <c r="G66" s="32" t="str">
        <f>IF(B66="","",VLOOKUP(B66,'سجل حساب الزيادة السنوية'!$B$6:$Q$205,6,0))</f>
        <v/>
      </c>
      <c r="H66" s="32" t="str">
        <f>IF(B66="","",VLOOKUP(B66,'سجل حساب الزيادة السنوية'!$B$6:$Q$205,7,0))</f>
        <v/>
      </c>
      <c r="I66" s="33" t="str">
        <f>IF(B66="","",VLOOKUP(B66,'سجل حساب الزيادة السنوية'!$B$6:$Q$205,8,0))</f>
        <v/>
      </c>
      <c r="J66" s="61" t="str">
        <f>IF(B66="","",VLOOKUP(B66,'سجل حساب الزيادة السنوية'!$B$6:$Q$205,9,0))</f>
        <v/>
      </c>
      <c r="K66" s="59" t="str">
        <f>IF(B66="","",VLOOKUP(B66,'سجل حساب الزيادة السنوية'!$B$6:$Q$205,10,0))</f>
        <v/>
      </c>
      <c r="L66" s="37" t="str">
        <f>IF(B66="","",VLOOKUP(B66,'سجل حساب الزيادة السنوية'!$B$6:$Q$205,11,0))</f>
        <v/>
      </c>
      <c r="M66" s="37" t="str">
        <f>IF(B66="","",VLOOKUP(B66,'سجل حساب الزيادة السنوية'!$B$6:$Q$205,12,0))</f>
        <v/>
      </c>
      <c r="N66" s="37" t="str">
        <f>IF(B66="","",VLOOKUP(B66,'سجل حساب الزيادة السنوية'!$B$6:$Q$205,13,0))</f>
        <v/>
      </c>
      <c r="O66" s="37" t="str">
        <f>IF(B66="","",VLOOKUP(B66,'سجل حساب الزيادة السنوية'!$B$6:$Q$205,14,0))</f>
        <v/>
      </c>
      <c r="P66" s="37" t="str">
        <f>IF(B66="","",VLOOKUP(B66,'سجل حساب الزيادة السنوية'!$B$6:$Q$205,15,0))</f>
        <v/>
      </c>
      <c r="Q66" s="37" t="str">
        <f>IF(B66="","",VLOOKUP(B66,'سجل حساب الزيادة السنوية'!$B$6:$Q$205,16,0))</f>
        <v/>
      </c>
    </row>
    <row r="67" spans="1:17" ht="22.5" customHeight="1" x14ac:dyDescent="0.25">
      <c r="A67" s="32" t="str">
        <f>IF(B67="","",SUBTOTAL(3,B$7:B67))</f>
        <v/>
      </c>
      <c r="B67" s="32" t="str">
        <f>IF('سجل حساب الزيادة السنوية'!B66="","",'سجل حساب الزيادة السنوية'!B66)</f>
        <v/>
      </c>
      <c r="C67" s="32" t="str">
        <f>IF(B67="","",VLOOKUP(B67,'سجل حساب الزيادة السنوية'!$B$6:$Q$205,2,0))</f>
        <v/>
      </c>
      <c r="D67" s="32" t="str">
        <f>IF(B67="","",VLOOKUP(B67,'سجل حساب الزيادة السنوية'!$B$6:$Q$205,3,0))</f>
        <v/>
      </c>
      <c r="E67" s="32" t="str">
        <f>IF(B67="","",VLOOKUP(B67,'سجل حساب الزيادة السنوية'!$B$6:$Q$205,4,0))</f>
        <v/>
      </c>
      <c r="F67" s="36" t="str">
        <f>IF(B67="","",VLOOKUP(B67,'سجل حساب الزيادة السنوية'!$B$6:$Q$205,5,0))</f>
        <v/>
      </c>
      <c r="G67" s="32" t="str">
        <f>IF(B67="","",VLOOKUP(B67,'سجل حساب الزيادة السنوية'!$B$6:$Q$205,6,0))</f>
        <v/>
      </c>
      <c r="H67" s="32" t="str">
        <f>IF(B67="","",VLOOKUP(B67,'سجل حساب الزيادة السنوية'!$B$6:$Q$205,7,0))</f>
        <v/>
      </c>
      <c r="I67" s="33" t="str">
        <f>IF(B67="","",VLOOKUP(B67,'سجل حساب الزيادة السنوية'!$B$6:$Q$205,8,0))</f>
        <v/>
      </c>
      <c r="J67" s="61" t="str">
        <f>IF(B67="","",VLOOKUP(B67,'سجل حساب الزيادة السنوية'!$B$6:$Q$205,9,0))</f>
        <v/>
      </c>
      <c r="K67" s="59" t="str">
        <f>IF(B67="","",VLOOKUP(B67,'سجل حساب الزيادة السنوية'!$B$6:$Q$205,10,0))</f>
        <v/>
      </c>
      <c r="L67" s="37" t="str">
        <f>IF(B67="","",VLOOKUP(B67,'سجل حساب الزيادة السنوية'!$B$6:$Q$205,11,0))</f>
        <v/>
      </c>
      <c r="M67" s="37" t="str">
        <f>IF(B67="","",VLOOKUP(B67,'سجل حساب الزيادة السنوية'!$B$6:$Q$205,12,0))</f>
        <v/>
      </c>
      <c r="N67" s="37" t="str">
        <f>IF(B67="","",VLOOKUP(B67,'سجل حساب الزيادة السنوية'!$B$6:$Q$205,13,0))</f>
        <v/>
      </c>
      <c r="O67" s="37" t="str">
        <f>IF(B67="","",VLOOKUP(B67,'سجل حساب الزيادة السنوية'!$B$6:$Q$205,14,0))</f>
        <v/>
      </c>
      <c r="P67" s="37" t="str">
        <f>IF(B67="","",VLOOKUP(B67,'سجل حساب الزيادة السنوية'!$B$6:$Q$205,15,0))</f>
        <v/>
      </c>
      <c r="Q67" s="37" t="str">
        <f>IF(B67="","",VLOOKUP(B67,'سجل حساب الزيادة السنوية'!$B$6:$Q$205,16,0))</f>
        <v/>
      </c>
    </row>
    <row r="68" spans="1:17" ht="22.5" customHeight="1" x14ac:dyDescent="0.25">
      <c r="A68" s="32" t="str">
        <f>IF(B68="","",SUBTOTAL(3,B$7:B68))</f>
        <v/>
      </c>
      <c r="B68" s="32" t="str">
        <f>IF('سجل حساب الزيادة السنوية'!B67="","",'سجل حساب الزيادة السنوية'!B67)</f>
        <v/>
      </c>
      <c r="C68" s="32" t="str">
        <f>IF(B68="","",VLOOKUP(B68,'سجل حساب الزيادة السنوية'!$B$6:$Q$205,2,0))</f>
        <v/>
      </c>
      <c r="D68" s="32" t="str">
        <f>IF(B68="","",VLOOKUP(B68,'سجل حساب الزيادة السنوية'!$B$6:$Q$205,3,0))</f>
        <v/>
      </c>
      <c r="E68" s="32" t="str">
        <f>IF(B68="","",VLOOKUP(B68,'سجل حساب الزيادة السنوية'!$B$6:$Q$205,4,0))</f>
        <v/>
      </c>
      <c r="F68" s="36" t="str">
        <f>IF(B68="","",VLOOKUP(B68,'سجل حساب الزيادة السنوية'!$B$6:$Q$205,5,0))</f>
        <v/>
      </c>
      <c r="G68" s="32" t="str">
        <f>IF(B68="","",VLOOKUP(B68,'سجل حساب الزيادة السنوية'!$B$6:$Q$205,6,0))</f>
        <v/>
      </c>
      <c r="H68" s="32" t="str">
        <f>IF(B68="","",VLOOKUP(B68,'سجل حساب الزيادة السنوية'!$B$6:$Q$205,7,0))</f>
        <v/>
      </c>
      <c r="I68" s="33" t="str">
        <f>IF(B68="","",VLOOKUP(B68,'سجل حساب الزيادة السنوية'!$B$6:$Q$205,8,0))</f>
        <v/>
      </c>
      <c r="J68" s="61" t="str">
        <f>IF(B68="","",VLOOKUP(B68,'سجل حساب الزيادة السنوية'!$B$6:$Q$205,9,0))</f>
        <v/>
      </c>
      <c r="K68" s="59" t="str">
        <f>IF(B68="","",VLOOKUP(B68,'سجل حساب الزيادة السنوية'!$B$6:$Q$205,10,0))</f>
        <v/>
      </c>
      <c r="L68" s="37" t="str">
        <f>IF(B68="","",VLOOKUP(B68,'سجل حساب الزيادة السنوية'!$B$6:$Q$205,11,0))</f>
        <v/>
      </c>
      <c r="M68" s="37" t="str">
        <f>IF(B68="","",VLOOKUP(B68,'سجل حساب الزيادة السنوية'!$B$6:$Q$205,12,0))</f>
        <v/>
      </c>
      <c r="N68" s="37" t="str">
        <f>IF(B68="","",VLOOKUP(B68,'سجل حساب الزيادة السنوية'!$B$6:$Q$205,13,0))</f>
        <v/>
      </c>
      <c r="O68" s="37" t="str">
        <f>IF(B68="","",VLOOKUP(B68,'سجل حساب الزيادة السنوية'!$B$6:$Q$205,14,0))</f>
        <v/>
      </c>
      <c r="P68" s="37" t="str">
        <f>IF(B68="","",VLOOKUP(B68,'سجل حساب الزيادة السنوية'!$B$6:$Q$205,15,0))</f>
        <v/>
      </c>
      <c r="Q68" s="37" t="str">
        <f>IF(B68="","",VLOOKUP(B68,'سجل حساب الزيادة السنوية'!$B$6:$Q$205,16,0))</f>
        <v/>
      </c>
    </row>
    <row r="69" spans="1:17" ht="22.5" customHeight="1" x14ac:dyDescent="0.25">
      <c r="A69" s="32" t="str">
        <f>IF(B69="","",SUBTOTAL(3,B$7:B69))</f>
        <v/>
      </c>
      <c r="B69" s="32" t="str">
        <f>IF('سجل حساب الزيادة السنوية'!B68="","",'سجل حساب الزيادة السنوية'!B68)</f>
        <v/>
      </c>
      <c r="C69" s="32" t="str">
        <f>IF(B69="","",VLOOKUP(B69,'سجل حساب الزيادة السنوية'!$B$6:$Q$205,2,0))</f>
        <v/>
      </c>
      <c r="D69" s="32" t="str">
        <f>IF(B69="","",VLOOKUP(B69,'سجل حساب الزيادة السنوية'!$B$6:$Q$205,3,0))</f>
        <v/>
      </c>
      <c r="E69" s="32" t="str">
        <f>IF(B69="","",VLOOKUP(B69,'سجل حساب الزيادة السنوية'!$B$6:$Q$205,4,0))</f>
        <v/>
      </c>
      <c r="F69" s="36" t="str">
        <f>IF(B69="","",VLOOKUP(B69,'سجل حساب الزيادة السنوية'!$B$6:$Q$205,5,0))</f>
        <v/>
      </c>
      <c r="G69" s="32" t="str">
        <f>IF(B69="","",VLOOKUP(B69,'سجل حساب الزيادة السنوية'!$B$6:$Q$205,6,0))</f>
        <v/>
      </c>
      <c r="H69" s="32" t="str">
        <f>IF(B69="","",VLOOKUP(B69,'سجل حساب الزيادة السنوية'!$B$6:$Q$205,7,0))</f>
        <v/>
      </c>
      <c r="I69" s="33" t="str">
        <f>IF(B69="","",VLOOKUP(B69,'سجل حساب الزيادة السنوية'!$B$6:$Q$205,8,0))</f>
        <v/>
      </c>
      <c r="J69" s="61" t="str">
        <f>IF(B69="","",VLOOKUP(B69,'سجل حساب الزيادة السنوية'!$B$6:$Q$205,9,0))</f>
        <v/>
      </c>
      <c r="K69" s="59" t="str">
        <f>IF(B69="","",VLOOKUP(B69,'سجل حساب الزيادة السنوية'!$B$6:$Q$205,10,0))</f>
        <v/>
      </c>
      <c r="L69" s="37" t="str">
        <f>IF(B69="","",VLOOKUP(B69,'سجل حساب الزيادة السنوية'!$B$6:$Q$205,11,0))</f>
        <v/>
      </c>
      <c r="M69" s="37" t="str">
        <f>IF(B69="","",VLOOKUP(B69,'سجل حساب الزيادة السنوية'!$B$6:$Q$205,12,0))</f>
        <v/>
      </c>
      <c r="N69" s="37" t="str">
        <f>IF(B69="","",VLOOKUP(B69,'سجل حساب الزيادة السنوية'!$B$6:$Q$205,13,0))</f>
        <v/>
      </c>
      <c r="O69" s="37" t="str">
        <f>IF(B69="","",VLOOKUP(B69,'سجل حساب الزيادة السنوية'!$B$6:$Q$205,14,0))</f>
        <v/>
      </c>
      <c r="P69" s="37" t="str">
        <f>IF(B69="","",VLOOKUP(B69,'سجل حساب الزيادة السنوية'!$B$6:$Q$205,15,0))</f>
        <v/>
      </c>
      <c r="Q69" s="37" t="str">
        <f>IF(B69="","",VLOOKUP(B69,'سجل حساب الزيادة السنوية'!$B$6:$Q$205,16,0))</f>
        <v/>
      </c>
    </row>
    <row r="70" spans="1:17" ht="22.5" customHeight="1" x14ac:dyDescent="0.25">
      <c r="A70" s="32" t="str">
        <f>IF(B70="","",SUBTOTAL(3,B$7:B70))</f>
        <v/>
      </c>
      <c r="B70" s="32" t="str">
        <f>IF('سجل حساب الزيادة السنوية'!B69="","",'سجل حساب الزيادة السنوية'!B69)</f>
        <v/>
      </c>
      <c r="C70" s="32" t="str">
        <f>IF(B70="","",VLOOKUP(B70,'سجل حساب الزيادة السنوية'!$B$6:$Q$205,2,0))</f>
        <v/>
      </c>
      <c r="D70" s="32" t="str">
        <f>IF(B70="","",VLOOKUP(B70,'سجل حساب الزيادة السنوية'!$B$6:$Q$205,3,0))</f>
        <v/>
      </c>
      <c r="E70" s="32" t="str">
        <f>IF(B70="","",VLOOKUP(B70,'سجل حساب الزيادة السنوية'!$B$6:$Q$205,4,0))</f>
        <v/>
      </c>
      <c r="F70" s="36" t="str">
        <f>IF(B70="","",VLOOKUP(B70,'سجل حساب الزيادة السنوية'!$B$6:$Q$205,5,0))</f>
        <v/>
      </c>
      <c r="G70" s="32" t="str">
        <f>IF(B70="","",VLOOKUP(B70,'سجل حساب الزيادة السنوية'!$B$6:$Q$205,6,0))</f>
        <v/>
      </c>
      <c r="H70" s="32" t="str">
        <f>IF(B70="","",VLOOKUP(B70,'سجل حساب الزيادة السنوية'!$B$6:$Q$205,7,0))</f>
        <v/>
      </c>
      <c r="I70" s="33" t="str">
        <f>IF(B70="","",VLOOKUP(B70,'سجل حساب الزيادة السنوية'!$B$6:$Q$205,8,0))</f>
        <v/>
      </c>
      <c r="J70" s="61" t="str">
        <f>IF(B70="","",VLOOKUP(B70,'سجل حساب الزيادة السنوية'!$B$6:$Q$205,9,0))</f>
        <v/>
      </c>
      <c r="K70" s="59" t="str">
        <f>IF(B70="","",VLOOKUP(B70,'سجل حساب الزيادة السنوية'!$B$6:$Q$205,10,0))</f>
        <v/>
      </c>
      <c r="L70" s="37" t="str">
        <f>IF(B70="","",VLOOKUP(B70,'سجل حساب الزيادة السنوية'!$B$6:$Q$205,11,0))</f>
        <v/>
      </c>
      <c r="M70" s="37" t="str">
        <f>IF(B70="","",VLOOKUP(B70,'سجل حساب الزيادة السنوية'!$B$6:$Q$205,12,0))</f>
        <v/>
      </c>
      <c r="N70" s="37" t="str">
        <f>IF(B70="","",VLOOKUP(B70,'سجل حساب الزيادة السنوية'!$B$6:$Q$205,13,0))</f>
        <v/>
      </c>
      <c r="O70" s="37" t="str">
        <f>IF(B70="","",VLOOKUP(B70,'سجل حساب الزيادة السنوية'!$B$6:$Q$205,14,0))</f>
        <v/>
      </c>
      <c r="P70" s="37" t="str">
        <f>IF(B70="","",VLOOKUP(B70,'سجل حساب الزيادة السنوية'!$B$6:$Q$205,15,0))</f>
        <v/>
      </c>
      <c r="Q70" s="37" t="str">
        <f>IF(B70="","",VLOOKUP(B70,'سجل حساب الزيادة السنوية'!$B$6:$Q$205,16,0))</f>
        <v/>
      </c>
    </row>
    <row r="71" spans="1:17" ht="22.5" customHeight="1" x14ac:dyDescent="0.25">
      <c r="A71" s="32" t="str">
        <f>IF(B71="","",SUBTOTAL(3,B$7:B71))</f>
        <v/>
      </c>
      <c r="B71" s="32" t="str">
        <f>IF('سجل حساب الزيادة السنوية'!B70="","",'سجل حساب الزيادة السنوية'!B70)</f>
        <v/>
      </c>
      <c r="C71" s="32" t="str">
        <f>IF(B71="","",VLOOKUP(B71,'سجل حساب الزيادة السنوية'!$B$6:$Q$205,2,0))</f>
        <v/>
      </c>
      <c r="D71" s="32" t="str">
        <f>IF(B71="","",VLOOKUP(B71,'سجل حساب الزيادة السنوية'!$B$6:$Q$205,3,0))</f>
        <v/>
      </c>
      <c r="E71" s="32" t="str">
        <f>IF(B71="","",VLOOKUP(B71,'سجل حساب الزيادة السنوية'!$B$6:$Q$205,4,0))</f>
        <v/>
      </c>
      <c r="F71" s="36" t="str">
        <f>IF(B71="","",VLOOKUP(B71,'سجل حساب الزيادة السنوية'!$B$6:$Q$205,5,0))</f>
        <v/>
      </c>
      <c r="G71" s="32" t="str">
        <f>IF(B71="","",VLOOKUP(B71,'سجل حساب الزيادة السنوية'!$B$6:$Q$205,6,0))</f>
        <v/>
      </c>
      <c r="H71" s="32" t="str">
        <f>IF(B71="","",VLOOKUP(B71,'سجل حساب الزيادة السنوية'!$B$6:$Q$205,7,0))</f>
        <v/>
      </c>
      <c r="I71" s="33" t="str">
        <f>IF(B71="","",VLOOKUP(B71,'سجل حساب الزيادة السنوية'!$B$6:$Q$205,8,0))</f>
        <v/>
      </c>
      <c r="J71" s="61" t="str">
        <f>IF(B71="","",VLOOKUP(B71,'سجل حساب الزيادة السنوية'!$B$6:$Q$205,9,0))</f>
        <v/>
      </c>
      <c r="K71" s="59" t="str">
        <f>IF(B71="","",VLOOKUP(B71,'سجل حساب الزيادة السنوية'!$B$6:$Q$205,10,0))</f>
        <v/>
      </c>
      <c r="L71" s="37" t="str">
        <f>IF(B71="","",VLOOKUP(B71,'سجل حساب الزيادة السنوية'!$B$6:$Q$205,11,0))</f>
        <v/>
      </c>
      <c r="M71" s="37" t="str">
        <f>IF(B71="","",VLOOKUP(B71,'سجل حساب الزيادة السنوية'!$B$6:$Q$205,12,0))</f>
        <v/>
      </c>
      <c r="N71" s="37" t="str">
        <f>IF(B71="","",VLOOKUP(B71,'سجل حساب الزيادة السنوية'!$B$6:$Q$205,13,0))</f>
        <v/>
      </c>
      <c r="O71" s="37" t="str">
        <f>IF(B71="","",VLOOKUP(B71,'سجل حساب الزيادة السنوية'!$B$6:$Q$205,14,0))</f>
        <v/>
      </c>
      <c r="P71" s="37" t="str">
        <f>IF(B71="","",VLOOKUP(B71,'سجل حساب الزيادة السنوية'!$B$6:$Q$205,15,0))</f>
        <v/>
      </c>
      <c r="Q71" s="37" t="str">
        <f>IF(B71="","",VLOOKUP(B71,'سجل حساب الزيادة السنوية'!$B$6:$Q$205,16,0))</f>
        <v/>
      </c>
    </row>
    <row r="72" spans="1:17" ht="22.5" customHeight="1" x14ac:dyDescent="0.25">
      <c r="A72" s="32" t="str">
        <f>IF(B72="","",SUBTOTAL(3,B$7:B72))</f>
        <v/>
      </c>
      <c r="B72" s="32" t="str">
        <f>IF('سجل حساب الزيادة السنوية'!B71="","",'سجل حساب الزيادة السنوية'!B71)</f>
        <v/>
      </c>
      <c r="C72" s="32" t="str">
        <f>IF(B72="","",VLOOKUP(B72,'سجل حساب الزيادة السنوية'!$B$6:$Q$205,2,0))</f>
        <v/>
      </c>
      <c r="D72" s="32" t="str">
        <f>IF(B72="","",VLOOKUP(B72,'سجل حساب الزيادة السنوية'!$B$6:$Q$205,3,0))</f>
        <v/>
      </c>
      <c r="E72" s="32" t="str">
        <f>IF(B72="","",VLOOKUP(B72,'سجل حساب الزيادة السنوية'!$B$6:$Q$205,4,0))</f>
        <v/>
      </c>
      <c r="F72" s="36" t="str">
        <f>IF(B72="","",VLOOKUP(B72,'سجل حساب الزيادة السنوية'!$B$6:$Q$205,5,0))</f>
        <v/>
      </c>
      <c r="G72" s="32" t="str">
        <f>IF(B72="","",VLOOKUP(B72,'سجل حساب الزيادة السنوية'!$B$6:$Q$205,6,0))</f>
        <v/>
      </c>
      <c r="H72" s="32" t="str">
        <f>IF(B72="","",VLOOKUP(B72,'سجل حساب الزيادة السنوية'!$B$6:$Q$205,7,0))</f>
        <v/>
      </c>
      <c r="I72" s="33" t="str">
        <f>IF(B72="","",VLOOKUP(B72,'سجل حساب الزيادة السنوية'!$B$6:$Q$205,8,0))</f>
        <v/>
      </c>
      <c r="J72" s="61" t="str">
        <f>IF(B72="","",VLOOKUP(B72,'سجل حساب الزيادة السنوية'!$B$6:$Q$205,9,0))</f>
        <v/>
      </c>
      <c r="K72" s="59" t="str">
        <f>IF(B72="","",VLOOKUP(B72,'سجل حساب الزيادة السنوية'!$B$6:$Q$205,10,0))</f>
        <v/>
      </c>
      <c r="L72" s="37" t="str">
        <f>IF(B72="","",VLOOKUP(B72,'سجل حساب الزيادة السنوية'!$B$6:$Q$205,11,0))</f>
        <v/>
      </c>
      <c r="M72" s="37" t="str">
        <f>IF(B72="","",VLOOKUP(B72,'سجل حساب الزيادة السنوية'!$B$6:$Q$205,12,0))</f>
        <v/>
      </c>
      <c r="N72" s="37" t="str">
        <f>IF(B72="","",VLOOKUP(B72,'سجل حساب الزيادة السنوية'!$B$6:$Q$205,13,0))</f>
        <v/>
      </c>
      <c r="O72" s="37" t="str">
        <f>IF(B72="","",VLOOKUP(B72,'سجل حساب الزيادة السنوية'!$B$6:$Q$205,14,0))</f>
        <v/>
      </c>
      <c r="P72" s="37" t="str">
        <f>IF(B72="","",VLOOKUP(B72,'سجل حساب الزيادة السنوية'!$B$6:$Q$205,15,0))</f>
        <v/>
      </c>
      <c r="Q72" s="37" t="str">
        <f>IF(B72="","",VLOOKUP(B72,'سجل حساب الزيادة السنوية'!$B$6:$Q$205,16,0))</f>
        <v/>
      </c>
    </row>
    <row r="73" spans="1:17" ht="22.5" customHeight="1" x14ac:dyDescent="0.25">
      <c r="A73" s="32" t="str">
        <f>IF(B73="","",SUBTOTAL(3,B$7:B73))</f>
        <v/>
      </c>
      <c r="B73" s="32" t="str">
        <f>IF('سجل حساب الزيادة السنوية'!B72="","",'سجل حساب الزيادة السنوية'!B72)</f>
        <v/>
      </c>
      <c r="C73" s="32" t="str">
        <f>IF(B73="","",VLOOKUP(B73,'سجل حساب الزيادة السنوية'!$B$6:$Q$205,2,0))</f>
        <v/>
      </c>
      <c r="D73" s="32" t="str">
        <f>IF(B73="","",VLOOKUP(B73,'سجل حساب الزيادة السنوية'!$B$6:$Q$205,3,0))</f>
        <v/>
      </c>
      <c r="E73" s="32" t="str">
        <f>IF(B73="","",VLOOKUP(B73,'سجل حساب الزيادة السنوية'!$B$6:$Q$205,4,0))</f>
        <v/>
      </c>
      <c r="F73" s="36" t="str">
        <f>IF(B73="","",VLOOKUP(B73,'سجل حساب الزيادة السنوية'!$B$6:$Q$205,5,0))</f>
        <v/>
      </c>
      <c r="G73" s="32" t="str">
        <f>IF(B73="","",VLOOKUP(B73,'سجل حساب الزيادة السنوية'!$B$6:$Q$205,6,0))</f>
        <v/>
      </c>
      <c r="H73" s="32" t="str">
        <f>IF(B73="","",VLOOKUP(B73,'سجل حساب الزيادة السنوية'!$B$6:$Q$205,7,0))</f>
        <v/>
      </c>
      <c r="I73" s="33" t="str">
        <f>IF(B73="","",VLOOKUP(B73,'سجل حساب الزيادة السنوية'!$B$6:$Q$205,8,0))</f>
        <v/>
      </c>
      <c r="J73" s="61" t="str">
        <f>IF(B73="","",VLOOKUP(B73,'سجل حساب الزيادة السنوية'!$B$6:$Q$205,9,0))</f>
        <v/>
      </c>
      <c r="K73" s="59" t="str">
        <f>IF(B73="","",VLOOKUP(B73,'سجل حساب الزيادة السنوية'!$B$6:$Q$205,10,0))</f>
        <v/>
      </c>
      <c r="L73" s="37" t="str">
        <f>IF(B73="","",VLOOKUP(B73,'سجل حساب الزيادة السنوية'!$B$6:$Q$205,11,0))</f>
        <v/>
      </c>
      <c r="M73" s="37" t="str">
        <f>IF(B73="","",VLOOKUP(B73,'سجل حساب الزيادة السنوية'!$B$6:$Q$205,12,0))</f>
        <v/>
      </c>
      <c r="N73" s="37" t="str">
        <f>IF(B73="","",VLOOKUP(B73,'سجل حساب الزيادة السنوية'!$B$6:$Q$205,13,0))</f>
        <v/>
      </c>
      <c r="O73" s="37" t="str">
        <f>IF(B73="","",VLOOKUP(B73,'سجل حساب الزيادة السنوية'!$B$6:$Q$205,14,0))</f>
        <v/>
      </c>
      <c r="P73" s="37" t="str">
        <f>IF(B73="","",VLOOKUP(B73,'سجل حساب الزيادة السنوية'!$B$6:$Q$205,15,0))</f>
        <v/>
      </c>
      <c r="Q73" s="37" t="str">
        <f>IF(B73="","",VLOOKUP(B73,'سجل حساب الزيادة السنوية'!$B$6:$Q$205,16,0))</f>
        <v/>
      </c>
    </row>
    <row r="74" spans="1:17" ht="22.5" customHeight="1" x14ac:dyDescent="0.25">
      <c r="A74" s="32" t="str">
        <f>IF(B74="","",SUBTOTAL(3,B$7:B74))</f>
        <v/>
      </c>
      <c r="B74" s="32" t="str">
        <f>IF('سجل حساب الزيادة السنوية'!B73="","",'سجل حساب الزيادة السنوية'!B73)</f>
        <v/>
      </c>
      <c r="C74" s="32" t="str">
        <f>IF(B74="","",VLOOKUP(B74,'سجل حساب الزيادة السنوية'!$B$6:$Q$205,2,0))</f>
        <v/>
      </c>
      <c r="D74" s="32" t="str">
        <f>IF(B74="","",VLOOKUP(B74,'سجل حساب الزيادة السنوية'!$B$6:$Q$205,3,0))</f>
        <v/>
      </c>
      <c r="E74" s="32" t="str">
        <f>IF(B74="","",VLOOKUP(B74,'سجل حساب الزيادة السنوية'!$B$6:$Q$205,4,0))</f>
        <v/>
      </c>
      <c r="F74" s="36" t="str">
        <f>IF(B74="","",VLOOKUP(B74,'سجل حساب الزيادة السنوية'!$B$6:$Q$205,5,0))</f>
        <v/>
      </c>
      <c r="G74" s="32" t="str">
        <f>IF(B74="","",VLOOKUP(B74,'سجل حساب الزيادة السنوية'!$B$6:$Q$205,6,0))</f>
        <v/>
      </c>
      <c r="H74" s="32" t="str">
        <f>IF(B74="","",VLOOKUP(B74,'سجل حساب الزيادة السنوية'!$B$6:$Q$205,7,0))</f>
        <v/>
      </c>
      <c r="I74" s="33" t="str">
        <f>IF(B74="","",VLOOKUP(B74,'سجل حساب الزيادة السنوية'!$B$6:$Q$205,8,0))</f>
        <v/>
      </c>
      <c r="J74" s="61" t="str">
        <f>IF(B74="","",VLOOKUP(B74,'سجل حساب الزيادة السنوية'!$B$6:$Q$205,9,0))</f>
        <v/>
      </c>
      <c r="K74" s="59" t="str">
        <f>IF(B74="","",VLOOKUP(B74,'سجل حساب الزيادة السنوية'!$B$6:$Q$205,10,0))</f>
        <v/>
      </c>
      <c r="L74" s="37" t="str">
        <f>IF(B74="","",VLOOKUP(B74,'سجل حساب الزيادة السنوية'!$B$6:$Q$205,11,0))</f>
        <v/>
      </c>
      <c r="M74" s="37" t="str">
        <f>IF(B74="","",VLOOKUP(B74,'سجل حساب الزيادة السنوية'!$B$6:$Q$205,12,0))</f>
        <v/>
      </c>
      <c r="N74" s="37" t="str">
        <f>IF(B74="","",VLOOKUP(B74,'سجل حساب الزيادة السنوية'!$B$6:$Q$205,13,0))</f>
        <v/>
      </c>
      <c r="O74" s="37" t="str">
        <f>IF(B74="","",VLOOKUP(B74,'سجل حساب الزيادة السنوية'!$B$6:$Q$205,14,0))</f>
        <v/>
      </c>
      <c r="P74" s="37" t="str">
        <f>IF(B74="","",VLOOKUP(B74,'سجل حساب الزيادة السنوية'!$B$6:$Q$205,15,0))</f>
        <v/>
      </c>
      <c r="Q74" s="37" t="str">
        <f>IF(B74="","",VLOOKUP(B74,'سجل حساب الزيادة السنوية'!$B$6:$Q$205,16,0))</f>
        <v/>
      </c>
    </row>
    <row r="75" spans="1:17" ht="22.5" customHeight="1" x14ac:dyDescent="0.25">
      <c r="A75" s="32" t="str">
        <f>IF(B75="","",SUBTOTAL(3,B$7:B75))</f>
        <v/>
      </c>
      <c r="B75" s="32" t="str">
        <f>IF('سجل حساب الزيادة السنوية'!B74="","",'سجل حساب الزيادة السنوية'!B74)</f>
        <v/>
      </c>
      <c r="C75" s="32" t="str">
        <f>IF(B75="","",VLOOKUP(B75,'سجل حساب الزيادة السنوية'!$B$6:$Q$205,2,0))</f>
        <v/>
      </c>
      <c r="D75" s="32" t="str">
        <f>IF(B75="","",VLOOKUP(B75,'سجل حساب الزيادة السنوية'!$B$6:$Q$205,3,0))</f>
        <v/>
      </c>
      <c r="E75" s="32" t="str">
        <f>IF(B75="","",VLOOKUP(B75,'سجل حساب الزيادة السنوية'!$B$6:$Q$205,4,0))</f>
        <v/>
      </c>
      <c r="F75" s="36" t="str">
        <f>IF(B75="","",VLOOKUP(B75,'سجل حساب الزيادة السنوية'!$B$6:$Q$205,5,0))</f>
        <v/>
      </c>
      <c r="G75" s="32" t="str">
        <f>IF(B75="","",VLOOKUP(B75,'سجل حساب الزيادة السنوية'!$B$6:$Q$205,6,0))</f>
        <v/>
      </c>
      <c r="H75" s="32" t="str">
        <f>IF(B75="","",VLOOKUP(B75,'سجل حساب الزيادة السنوية'!$B$6:$Q$205,7,0))</f>
        <v/>
      </c>
      <c r="I75" s="33" t="str">
        <f>IF(B75="","",VLOOKUP(B75,'سجل حساب الزيادة السنوية'!$B$6:$Q$205,8,0))</f>
        <v/>
      </c>
      <c r="J75" s="61" t="str">
        <f>IF(B75="","",VLOOKUP(B75,'سجل حساب الزيادة السنوية'!$B$6:$Q$205,9,0))</f>
        <v/>
      </c>
      <c r="K75" s="59" t="str">
        <f>IF(B75="","",VLOOKUP(B75,'سجل حساب الزيادة السنوية'!$B$6:$Q$205,10,0))</f>
        <v/>
      </c>
      <c r="L75" s="37" t="str">
        <f>IF(B75="","",VLOOKUP(B75,'سجل حساب الزيادة السنوية'!$B$6:$Q$205,11,0))</f>
        <v/>
      </c>
      <c r="M75" s="37" t="str">
        <f>IF(B75="","",VLOOKUP(B75,'سجل حساب الزيادة السنوية'!$B$6:$Q$205,12,0))</f>
        <v/>
      </c>
      <c r="N75" s="37" t="str">
        <f>IF(B75="","",VLOOKUP(B75,'سجل حساب الزيادة السنوية'!$B$6:$Q$205,13,0))</f>
        <v/>
      </c>
      <c r="O75" s="37" t="str">
        <f>IF(B75="","",VLOOKUP(B75,'سجل حساب الزيادة السنوية'!$B$6:$Q$205,14,0))</f>
        <v/>
      </c>
      <c r="P75" s="37" t="str">
        <f>IF(B75="","",VLOOKUP(B75,'سجل حساب الزيادة السنوية'!$B$6:$Q$205,15,0))</f>
        <v/>
      </c>
      <c r="Q75" s="37" t="str">
        <f>IF(B75="","",VLOOKUP(B75,'سجل حساب الزيادة السنوية'!$B$6:$Q$205,16,0))</f>
        <v/>
      </c>
    </row>
    <row r="76" spans="1:17" ht="22.5" customHeight="1" x14ac:dyDescent="0.25">
      <c r="A76" s="32" t="str">
        <f>IF(B76="","",SUBTOTAL(3,B$7:B76))</f>
        <v/>
      </c>
      <c r="B76" s="32" t="str">
        <f>IF('سجل حساب الزيادة السنوية'!B75="","",'سجل حساب الزيادة السنوية'!B75)</f>
        <v/>
      </c>
      <c r="C76" s="32" t="str">
        <f>IF(B76="","",VLOOKUP(B76,'سجل حساب الزيادة السنوية'!$B$6:$Q$205,2,0))</f>
        <v/>
      </c>
      <c r="D76" s="32" t="str">
        <f>IF(B76="","",VLOOKUP(B76,'سجل حساب الزيادة السنوية'!$B$6:$Q$205,3,0))</f>
        <v/>
      </c>
      <c r="E76" s="32" t="str">
        <f>IF(B76="","",VLOOKUP(B76,'سجل حساب الزيادة السنوية'!$B$6:$Q$205,4,0))</f>
        <v/>
      </c>
      <c r="F76" s="36" t="str">
        <f>IF(B76="","",VLOOKUP(B76,'سجل حساب الزيادة السنوية'!$B$6:$Q$205,5,0))</f>
        <v/>
      </c>
      <c r="G76" s="32" t="str">
        <f>IF(B76="","",VLOOKUP(B76,'سجل حساب الزيادة السنوية'!$B$6:$Q$205,6,0))</f>
        <v/>
      </c>
      <c r="H76" s="32" t="str">
        <f>IF(B76="","",VLOOKUP(B76,'سجل حساب الزيادة السنوية'!$B$6:$Q$205,7,0))</f>
        <v/>
      </c>
      <c r="I76" s="33" t="str">
        <f>IF(B76="","",VLOOKUP(B76,'سجل حساب الزيادة السنوية'!$B$6:$Q$205,8,0))</f>
        <v/>
      </c>
      <c r="J76" s="61" t="str">
        <f>IF(B76="","",VLOOKUP(B76,'سجل حساب الزيادة السنوية'!$B$6:$Q$205,9,0))</f>
        <v/>
      </c>
      <c r="K76" s="59" t="str">
        <f>IF(B76="","",VLOOKUP(B76,'سجل حساب الزيادة السنوية'!$B$6:$Q$205,10,0))</f>
        <v/>
      </c>
      <c r="L76" s="37" t="str">
        <f>IF(B76="","",VLOOKUP(B76,'سجل حساب الزيادة السنوية'!$B$6:$Q$205,11,0))</f>
        <v/>
      </c>
      <c r="M76" s="37" t="str">
        <f>IF(B76="","",VLOOKUP(B76,'سجل حساب الزيادة السنوية'!$B$6:$Q$205,12,0))</f>
        <v/>
      </c>
      <c r="N76" s="37" t="str">
        <f>IF(B76="","",VLOOKUP(B76,'سجل حساب الزيادة السنوية'!$B$6:$Q$205,13,0))</f>
        <v/>
      </c>
      <c r="O76" s="37" t="str">
        <f>IF(B76="","",VLOOKUP(B76,'سجل حساب الزيادة السنوية'!$B$6:$Q$205,14,0))</f>
        <v/>
      </c>
      <c r="P76" s="37" t="str">
        <f>IF(B76="","",VLOOKUP(B76,'سجل حساب الزيادة السنوية'!$B$6:$Q$205,15,0))</f>
        <v/>
      </c>
      <c r="Q76" s="37" t="str">
        <f>IF(B76="","",VLOOKUP(B76,'سجل حساب الزيادة السنوية'!$B$6:$Q$205,16,0))</f>
        <v/>
      </c>
    </row>
    <row r="77" spans="1:17" ht="22.5" customHeight="1" x14ac:dyDescent="0.25">
      <c r="A77" s="32" t="str">
        <f>IF(B77="","",SUBTOTAL(3,B$7:B77))</f>
        <v/>
      </c>
      <c r="B77" s="32" t="str">
        <f>IF('سجل حساب الزيادة السنوية'!B76="","",'سجل حساب الزيادة السنوية'!B76)</f>
        <v/>
      </c>
      <c r="C77" s="32" t="str">
        <f>IF(B77="","",VLOOKUP(B77,'سجل حساب الزيادة السنوية'!$B$6:$Q$205,2,0))</f>
        <v/>
      </c>
      <c r="D77" s="32" t="str">
        <f>IF(B77="","",VLOOKUP(B77,'سجل حساب الزيادة السنوية'!$B$6:$Q$205,3,0))</f>
        <v/>
      </c>
      <c r="E77" s="32" t="str">
        <f>IF(B77="","",VLOOKUP(B77,'سجل حساب الزيادة السنوية'!$B$6:$Q$205,4,0))</f>
        <v/>
      </c>
      <c r="F77" s="36" t="str">
        <f>IF(B77="","",VLOOKUP(B77,'سجل حساب الزيادة السنوية'!$B$6:$Q$205,5,0))</f>
        <v/>
      </c>
      <c r="G77" s="32" t="str">
        <f>IF(B77="","",VLOOKUP(B77,'سجل حساب الزيادة السنوية'!$B$6:$Q$205,6,0))</f>
        <v/>
      </c>
      <c r="H77" s="32" t="str">
        <f>IF(B77="","",VLOOKUP(B77,'سجل حساب الزيادة السنوية'!$B$6:$Q$205,7,0))</f>
        <v/>
      </c>
      <c r="I77" s="33" t="str">
        <f>IF(B77="","",VLOOKUP(B77,'سجل حساب الزيادة السنوية'!$B$6:$Q$205,8,0))</f>
        <v/>
      </c>
      <c r="J77" s="61" t="str">
        <f>IF(B77="","",VLOOKUP(B77,'سجل حساب الزيادة السنوية'!$B$6:$Q$205,9,0))</f>
        <v/>
      </c>
      <c r="K77" s="59" t="str">
        <f>IF(B77="","",VLOOKUP(B77,'سجل حساب الزيادة السنوية'!$B$6:$Q$205,10,0))</f>
        <v/>
      </c>
      <c r="L77" s="37" t="str">
        <f>IF(B77="","",VLOOKUP(B77,'سجل حساب الزيادة السنوية'!$B$6:$Q$205,11,0))</f>
        <v/>
      </c>
      <c r="M77" s="37" t="str">
        <f>IF(B77="","",VLOOKUP(B77,'سجل حساب الزيادة السنوية'!$B$6:$Q$205,12,0))</f>
        <v/>
      </c>
      <c r="N77" s="37" t="str">
        <f>IF(B77="","",VLOOKUP(B77,'سجل حساب الزيادة السنوية'!$B$6:$Q$205,13,0))</f>
        <v/>
      </c>
      <c r="O77" s="37" t="str">
        <f>IF(B77="","",VLOOKUP(B77,'سجل حساب الزيادة السنوية'!$B$6:$Q$205,14,0))</f>
        <v/>
      </c>
      <c r="P77" s="37" t="str">
        <f>IF(B77="","",VLOOKUP(B77,'سجل حساب الزيادة السنوية'!$B$6:$Q$205,15,0))</f>
        <v/>
      </c>
      <c r="Q77" s="37" t="str">
        <f>IF(B77="","",VLOOKUP(B77,'سجل حساب الزيادة السنوية'!$B$6:$Q$205,16,0))</f>
        <v/>
      </c>
    </row>
    <row r="78" spans="1:17" ht="22.5" customHeight="1" x14ac:dyDescent="0.25">
      <c r="A78" s="32" t="str">
        <f>IF(B78="","",SUBTOTAL(3,B$7:B78))</f>
        <v/>
      </c>
      <c r="B78" s="32" t="str">
        <f>IF('سجل حساب الزيادة السنوية'!B77="","",'سجل حساب الزيادة السنوية'!B77)</f>
        <v/>
      </c>
      <c r="C78" s="32" t="str">
        <f>IF(B78="","",VLOOKUP(B78,'سجل حساب الزيادة السنوية'!$B$6:$Q$205,2,0))</f>
        <v/>
      </c>
      <c r="D78" s="32" t="str">
        <f>IF(B78="","",VLOOKUP(B78,'سجل حساب الزيادة السنوية'!$B$6:$Q$205,3,0))</f>
        <v/>
      </c>
      <c r="E78" s="32" t="str">
        <f>IF(B78="","",VLOOKUP(B78,'سجل حساب الزيادة السنوية'!$B$6:$Q$205,4,0))</f>
        <v/>
      </c>
      <c r="F78" s="36" t="str">
        <f>IF(B78="","",VLOOKUP(B78,'سجل حساب الزيادة السنوية'!$B$6:$Q$205,5,0))</f>
        <v/>
      </c>
      <c r="G78" s="32" t="str">
        <f>IF(B78="","",VLOOKUP(B78,'سجل حساب الزيادة السنوية'!$B$6:$Q$205,6,0))</f>
        <v/>
      </c>
      <c r="H78" s="32" t="str">
        <f>IF(B78="","",VLOOKUP(B78,'سجل حساب الزيادة السنوية'!$B$6:$Q$205,7,0))</f>
        <v/>
      </c>
      <c r="I78" s="33" t="str">
        <f>IF(B78="","",VLOOKUP(B78,'سجل حساب الزيادة السنوية'!$B$6:$Q$205,8,0))</f>
        <v/>
      </c>
      <c r="J78" s="61" t="str">
        <f>IF(B78="","",VLOOKUP(B78,'سجل حساب الزيادة السنوية'!$B$6:$Q$205,9,0))</f>
        <v/>
      </c>
      <c r="K78" s="59" t="str">
        <f>IF(B78="","",VLOOKUP(B78,'سجل حساب الزيادة السنوية'!$B$6:$Q$205,10,0))</f>
        <v/>
      </c>
      <c r="L78" s="37" t="str">
        <f>IF(B78="","",VLOOKUP(B78,'سجل حساب الزيادة السنوية'!$B$6:$Q$205,11,0))</f>
        <v/>
      </c>
      <c r="M78" s="37" t="str">
        <f>IF(B78="","",VLOOKUP(B78,'سجل حساب الزيادة السنوية'!$B$6:$Q$205,12,0))</f>
        <v/>
      </c>
      <c r="N78" s="37" t="str">
        <f>IF(B78="","",VLOOKUP(B78,'سجل حساب الزيادة السنوية'!$B$6:$Q$205,13,0))</f>
        <v/>
      </c>
      <c r="O78" s="37" t="str">
        <f>IF(B78="","",VLOOKUP(B78,'سجل حساب الزيادة السنوية'!$B$6:$Q$205,14,0))</f>
        <v/>
      </c>
      <c r="P78" s="37" t="str">
        <f>IF(B78="","",VLOOKUP(B78,'سجل حساب الزيادة السنوية'!$B$6:$Q$205,15,0))</f>
        <v/>
      </c>
      <c r="Q78" s="37" t="str">
        <f>IF(B78="","",VLOOKUP(B78,'سجل حساب الزيادة السنوية'!$B$6:$Q$205,16,0))</f>
        <v/>
      </c>
    </row>
    <row r="79" spans="1:17" ht="22.5" customHeight="1" x14ac:dyDescent="0.25">
      <c r="A79" s="32" t="str">
        <f>IF(B79="","",SUBTOTAL(3,B$7:B79))</f>
        <v/>
      </c>
      <c r="B79" s="32" t="str">
        <f>IF('سجل حساب الزيادة السنوية'!B78="","",'سجل حساب الزيادة السنوية'!B78)</f>
        <v/>
      </c>
      <c r="C79" s="32" t="str">
        <f>IF(B79="","",VLOOKUP(B79,'سجل حساب الزيادة السنوية'!$B$6:$Q$205,2,0))</f>
        <v/>
      </c>
      <c r="D79" s="32" t="str">
        <f>IF(B79="","",VLOOKUP(B79,'سجل حساب الزيادة السنوية'!$B$6:$Q$205,3,0))</f>
        <v/>
      </c>
      <c r="E79" s="32" t="str">
        <f>IF(B79="","",VLOOKUP(B79,'سجل حساب الزيادة السنوية'!$B$6:$Q$205,4,0))</f>
        <v/>
      </c>
      <c r="F79" s="36" t="str">
        <f>IF(B79="","",VLOOKUP(B79,'سجل حساب الزيادة السنوية'!$B$6:$Q$205,5,0))</f>
        <v/>
      </c>
      <c r="G79" s="32" t="str">
        <f>IF(B79="","",VLOOKUP(B79,'سجل حساب الزيادة السنوية'!$B$6:$Q$205,6,0))</f>
        <v/>
      </c>
      <c r="H79" s="32" t="str">
        <f>IF(B79="","",VLOOKUP(B79,'سجل حساب الزيادة السنوية'!$B$6:$Q$205,7,0))</f>
        <v/>
      </c>
      <c r="I79" s="33" t="str">
        <f>IF(B79="","",VLOOKUP(B79,'سجل حساب الزيادة السنوية'!$B$6:$Q$205,8,0))</f>
        <v/>
      </c>
      <c r="J79" s="61" t="str">
        <f>IF(B79="","",VLOOKUP(B79,'سجل حساب الزيادة السنوية'!$B$6:$Q$205,9,0))</f>
        <v/>
      </c>
      <c r="K79" s="59" t="str">
        <f>IF(B79="","",VLOOKUP(B79,'سجل حساب الزيادة السنوية'!$B$6:$Q$205,10,0))</f>
        <v/>
      </c>
      <c r="L79" s="37" t="str">
        <f>IF(B79="","",VLOOKUP(B79,'سجل حساب الزيادة السنوية'!$B$6:$Q$205,11,0))</f>
        <v/>
      </c>
      <c r="M79" s="37" t="str">
        <f>IF(B79="","",VLOOKUP(B79,'سجل حساب الزيادة السنوية'!$B$6:$Q$205,12,0))</f>
        <v/>
      </c>
      <c r="N79" s="37" t="str">
        <f>IF(B79="","",VLOOKUP(B79,'سجل حساب الزيادة السنوية'!$B$6:$Q$205,13,0))</f>
        <v/>
      </c>
      <c r="O79" s="37" t="str">
        <f>IF(B79="","",VLOOKUP(B79,'سجل حساب الزيادة السنوية'!$B$6:$Q$205,14,0))</f>
        <v/>
      </c>
      <c r="P79" s="37" t="str">
        <f>IF(B79="","",VLOOKUP(B79,'سجل حساب الزيادة السنوية'!$B$6:$Q$205,15,0))</f>
        <v/>
      </c>
      <c r="Q79" s="37" t="str">
        <f>IF(B79="","",VLOOKUP(B79,'سجل حساب الزيادة السنوية'!$B$6:$Q$205,16,0))</f>
        <v/>
      </c>
    </row>
    <row r="80" spans="1:17" ht="22.5" customHeight="1" x14ac:dyDescent="0.25">
      <c r="A80" s="32" t="str">
        <f>IF(B80="","",SUBTOTAL(3,B$7:B80))</f>
        <v/>
      </c>
      <c r="B80" s="32" t="str">
        <f>IF('سجل حساب الزيادة السنوية'!B79="","",'سجل حساب الزيادة السنوية'!B79)</f>
        <v/>
      </c>
      <c r="C80" s="32" t="str">
        <f>IF(B80="","",VLOOKUP(B80,'سجل حساب الزيادة السنوية'!$B$6:$Q$205,2,0))</f>
        <v/>
      </c>
      <c r="D80" s="32" t="str">
        <f>IF(B80="","",VLOOKUP(B80,'سجل حساب الزيادة السنوية'!$B$6:$Q$205,3,0))</f>
        <v/>
      </c>
      <c r="E80" s="32" t="str">
        <f>IF(B80="","",VLOOKUP(B80,'سجل حساب الزيادة السنوية'!$B$6:$Q$205,4,0))</f>
        <v/>
      </c>
      <c r="F80" s="36" t="str">
        <f>IF(B80="","",VLOOKUP(B80,'سجل حساب الزيادة السنوية'!$B$6:$Q$205,5,0))</f>
        <v/>
      </c>
      <c r="G80" s="32" t="str">
        <f>IF(B80="","",VLOOKUP(B80,'سجل حساب الزيادة السنوية'!$B$6:$Q$205,6,0))</f>
        <v/>
      </c>
      <c r="H80" s="32" t="str">
        <f>IF(B80="","",VLOOKUP(B80,'سجل حساب الزيادة السنوية'!$B$6:$Q$205,7,0))</f>
        <v/>
      </c>
      <c r="I80" s="33" t="str">
        <f>IF(B80="","",VLOOKUP(B80,'سجل حساب الزيادة السنوية'!$B$6:$Q$205,8,0))</f>
        <v/>
      </c>
      <c r="J80" s="61" t="str">
        <f>IF(B80="","",VLOOKUP(B80,'سجل حساب الزيادة السنوية'!$B$6:$Q$205,9,0))</f>
        <v/>
      </c>
      <c r="K80" s="59" t="str">
        <f>IF(B80="","",VLOOKUP(B80,'سجل حساب الزيادة السنوية'!$B$6:$Q$205,10,0))</f>
        <v/>
      </c>
      <c r="L80" s="37" t="str">
        <f>IF(B80="","",VLOOKUP(B80,'سجل حساب الزيادة السنوية'!$B$6:$Q$205,11,0))</f>
        <v/>
      </c>
      <c r="M80" s="37" t="str">
        <f>IF(B80="","",VLOOKUP(B80,'سجل حساب الزيادة السنوية'!$B$6:$Q$205,12,0))</f>
        <v/>
      </c>
      <c r="N80" s="37" t="str">
        <f>IF(B80="","",VLOOKUP(B80,'سجل حساب الزيادة السنوية'!$B$6:$Q$205,13,0))</f>
        <v/>
      </c>
      <c r="O80" s="37" t="str">
        <f>IF(B80="","",VLOOKUP(B80,'سجل حساب الزيادة السنوية'!$B$6:$Q$205,14,0))</f>
        <v/>
      </c>
      <c r="P80" s="37" t="str">
        <f>IF(B80="","",VLOOKUP(B80,'سجل حساب الزيادة السنوية'!$B$6:$Q$205,15,0))</f>
        <v/>
      </c>
      <c r="Q80" s="37" t="str">
        <f>IF(B80="","",VLOOKUP(B80,'سجل حساب الزيادة السنوية'!$B$6:$Q$205,16,0))</f>
        <v/>
      </c>
    </row>
    <row r="81" spans="1:17" ht="22.5" customHeight="1" x14ac:dyDescent="0.25">
      <c r="A81" s="32" t="str">
        <f>IF(B81="","",SUBTOTAL(3,B$7:B81))</f>
        <v/>
      </c>
      <c r="B81" s="32" t="str">
        <f>IF('سجل حساب الزيادة السنوية'!B80="","",'سجل حساب الزيادة السنوية'!B80)</f>
        <v/>
      </c>
      <c r="C81" s="32" t="str">
        <f>IF(B81="","",VLOOKUP(B81,'سجل حساب الزيادة السنوية'!$B$6:$Q$205,2,0))</f>
        <v/>
      </c>
      <c r="D81" s="32" t="str">
        <f>IF(B81="","",VLOOKUP(B81,'سجل حساب الزيادة السنوية'!$B$6:$Q$205,3,0))</f>
        <v/>
      </c>
      <c r="E81" s="32" t="str">
        <f>IF(B81="","",VLOOKUP(B81,'سجل حساب الزيادة السنوية'!$B$6:$Q$205,4,0))</f>
        <v/>
      </c>
      <c r="F81" s="36" t="str">
        <f>IF(B81="","",VLOOKUP(B81,'سجل حساب الزيادة السنوية'!$B$6:$Q$205,5,0))</f>
        <v/>
      </c>
      <c r="G81" s="32" t="str">
        <f>IF(B81="","",VLOOKUP(B81,'سجل حساب الزيادة السنوية'!$B$6:$Q$205,6,0))</f>
        <v/>
      </c>
      <c r="H81" s="32" t="str">
        <f>IF(B81="","",VLOOKUP(B81,'سجل حساب الزيادة السنوية'!$B$6:$Q$205,7,0))</f>
        <v/>
      </c>
      <c r="I81" s="33" t="str">
        <f>IF(B81="","",VLOOKUP(B81,'سجل حساب الزيادة السنوية'!$B$6:$Q$205,8,0))</f>
        <v/>
      </c>
      <c r="J81" s="61" t="str">
        <f>IF(B81="","",VLOOKUP(B81,'سجل حساب الزيادة السنوية'!$B$6:$Q$205,9,0))</f>
        <v/>
      </c>
      <c r="K81" s="59" t="str">
        <f>IF(B81="","",VLOOKUP(B81,'سجل حساب الزيادة السنوية'!$B$6:$Q$205,10,0))</f>
        <v/>
      </c>
      <c r="L81" s="37" t="str">
        <f>IF(B81="","",VLOOKUP(B81,'سجل حساب الزيادة السنوية'!$B$6:$Q$205,11,0))</f>
        <v/>
      </c>
      <c r="M81" s="37" t="str">
        <f>IF(B81="","",VLOOKUP(B81,'سجل حساب الزيادة السنوية'!$B$6:$Q$205,12,0))</f>
        <v/>
      </c>
      <c r="N81" s="37" t="str">
        <f>IF(B81="","",VLOOKUP(B81,'سجل حساب الزيادة السنوية'!$B$6:$Q$205,13,0))</f>
        <v/>
      </c>
      <c r="O81" s="37" t="str">
        <f>IF(B81="","",VLOOKUP(B81,'سجل حساب الزيادة السنوية'!$B$6:$Q$205,14,0))</f>
        <v/>
      </c>
      <c r="P81" s="37" t="str">
        <f>IF(B81="","",VLOOKUP(B81,'سجل حساب الزيادة السنوية'!$B$6:$Q$205,15,0))</f>
        <v/>
      </c>
      <c r="Q81" s="37" t="str">
        <f>IF(B81="","",VLOOKUP(B81,'سجل حساب الزيادة السنوية'!$B$6:$Q$205,16,0))</f>
        <v/>
      </c>
    </row>
    <row r="82" spans="1:17" ht="22.5" customHeight="1" x14ac:dyDescent="0.25">
      <c r="A82" s="32" t="str">
        <f>IF(B82="","",SUBTOTAL(3,B$7:B82))</f>
        <v/>
      </c>
      <c r="B82" s="32" t="str">
        <f>IF('سجل حساب الزيادة السنوية'!B81="","",'سجل حساب الزيادة السنوية'!B81)</f>
        <v/>
      </c>
      <c r="C82" s="32" t="str">
        <f>IF(B82="","",VLOOKUP(B82,'سجل حساب الزيادة السنوية'!$B$6:$Q$205,2,0))</f>
        <v/>
      </c>
      <c r="D82" s="32" t="str">
        <f>IF(B82="","",VLOOKUP(B82,'سجل حساب الزيادة السنوية'!$B$6:$Q$205,3,0))</f>
        <v/>
      </c>
      <c r="E82" s="32" t="str">
        <f>IF(B82="","",VLOOKUP(B82,'سجل حساب الزيادة السنوية'!$B$6:$Q$205,4,0))</f>
        <v/>
      </c>
      <c r="F82" s="36" t="str">
        <f>IF(B82="","",VLOOKUP(B82,'سجل حساب الزيادة السنوية'!$B$6:$Q$205,5,0))</f>
        <v/>
      </c>
      <c r="G82" s="32" t="str">
        <f>IF(B82="","",VLOOKUP(B82,'سجل حساب الزيادة السنوية'!$B$6:$Q$205,6,0))</f>
        <v/>
      </c>
      <c r="H82" s="32" t="str">
        <f>IF(B82="","",VLOOKUP(B82,'سجل حساب الزيادة السنوية'!$B$6:$Q$205,7,0))</f>
        <v/>
      </c>
      <c r="I82" s="33" t="str">
        <f>IF(B82="","",VLOOKUP(B82,'سجل حساب الزيادة السنوية'!$B$6:$Q$205,8,0))</f>
        <v/>
      </c>
      <c r="J82" s="61" t="str">
        <f>IF(B82="","",VLOOKUP(B82,'سجل حساب الزيادة السنوية'!$B$6:$Q$205,9,0))</f>
        <v/>
      </c>
      <c r="K82" s="59" t="str">
        <f>IF(B82="","",VLOOKUP(B82,'سجل حساب الزيادة السنوية'!$B$6:$Q$205,10,0))</f>
        <v/>
      </c>
      <c r="L82" s="37" t="str">
        <f>IF(B82="","",VLOOKUP(B82,'سجل حساب الزيادة السنوية'!$B$6:$Q$205,11,0))</f>
        <v/>
      </c>
      <c r="M82" s="37" t="str">
        <f>IF(B82="","",VLOOKUP(B82,'سجل حساب الزيادة السنوية'!$B$6:$Q$205,12,0))</f>
        <v/>
      </c>
      <c r="N82" s="37" t="str">
        <f>IF(B82="","",VLOOKUP(B82,'سجل حساب الزيادة السنوية'!$B$6:$Q$205,13,0))</f>
        <v/>
      </c>
      <c r="O82" s="37" t="str">
        <f>IF(B82="","",VLOOKUP(B82,'سجل حساب الزيادة السنوية'!$B$6:$Q$205,14,0))</f>
        <v/>
      </c>
      <c r="P82" s="37" t="str">
        <f>IF(B82="","",VLOOKUP(B82,'سجل حساب الزيادة السنوية'!$B$6:$Q$205,15,0))</f>
        <v/>
      </c>
      <c r="Q82" s="37" t="str">
        <f>IF(B82="","",VLOOKUP(B82,'سجل حساب الزيادة السنوية'!$B$6:$Q$205,16,0))</f>
        <v/>
      </c>
    </row>
    <row r="83" spans="1:17" ht="22.5" customHeight="1" x14ac:dyDescent="0.25">
      <c r="A83" s="32" t="str">
        <f>IF(B83="","",SUBTOTAL(3,B$7:B83))</f>
        <v/>
      </c>
      <c r="B83" s="32" t="str">
        <f>IF('سجل حساب الزيادة السنوية'!B82="","",'سجل حساب الزيادة السنوية'!B82)</f>
        <v/>
      </c>
      <c r="C83" s="32" t="str">
        <f>IF(B83="","",VLOOKUP(B83,'سجل حساب الزيادة السنوية'!$B$6:$Q$205,2,0))</f>
        <v/>
      </c>
      <c r="D83" s="32" t="str">
        <f>IF(B83="","",VLOOKUP(B83,'سجل حساب الزيادة السنوية'!$B$6:$Q$205,3,0))</f>
        <v/>
      </c>
      <c r="E83" s="32" t="str">
        <f>IF(B83="","",VLOOKUP(B83,'سجل حساب الزيادة السنوية'!$B$6:$Q$205,4,0))</f>
        <v/>
      </c>
      <c r="F83" s="36" t="str">
        <f>IF(B83="","",VLOOKUP(B83,'سجل حساب الزيادة السنوية'!$B$6:$Q$205,5,0))</f>
        <v/>
      </c>
      <c r="G83" s="32" t="str">
        <f>IF(B83="","",VLOOKUP(B83,'سجل حساب الزيادة السنوية'!$B$6:$Q$205,6,0))</f>
        <v/>
      </c>
      <c r="H83" s="32" t="str">
        <f>IF(B83="","",VLOOKUP(B83,'سجل حساب الزيادة السنوية'!$B$6:$Q$205,7,0))</f>
        <v/>
      </c>
      <c r="I83" s="33" t="str">
        <f>IF(B83="","",VLOOKUP(B83,'سجل حساب الزيادة السنوية'!$B$6:$Q$205,8,0))</f>
        <v/>
      </c>
      <c r="J83" s="61" t="str">
        <f>IF(B83="","",VLOOKUP(B83,'سجل حساب الزيادة السنوية'!$B$6:$Q$205,9,0))</f>
        <v/>
      </c>
      <c r="K83" s="59" t="str">
        <f>IF(B83="","",VLOOKUP(B83,'سجل حساب الزيادة السنوية'!$B$6:$Q$205,10,0))</f>
        <v/>
      </c>
      <c r="L83" s="37" t="str">
        <f>IF(B83="","",VLOOKUP(B83,'سجل حساب الزيادة السنوية'!$B$6:$Q$205,11,0))</f>
        <v/>
      </c>
      <c r="M83" s="37" t="str">
        <f>IF(B83="","",VLOOKUP(B83,'سجل حساب الزيادة السنوية'!$B$6:$Q$205,12,0))</f>
        <v/>
      </c>
      <c r="N83" s="37" t="str">
        <f>IF(B83="","",VLOOKUP(B83,'سجل حساب الزيادة السنوية'!$B$6:$Q$205,13,0))</f>
        <v/>
      </c>
      <c r="O83" s="37" t="str">
        <f>IF(B83="","",VLOOKUP(B83,'سجل حساب الزيادة السنوية'!$B$6:$Q$205,14,0))</f>
        <v/>
      </c>
      <c r="P83" s="37" t="str">
        <f>IF(B83="","",VLOOKUP(B83,'سجل حساب الزيادة السنوية'!$B$6:$Q$205,15,0))</f>
        <v/>
      </c>
      <c r="Q83" s="37" t="str">
        <f>IF(B83="","",VLOOKUP(B83,'سجل حساب الزيادة السنوية'!$B$6:$Q$205,16,0))</f>
        <v/>
      </c>
    </row>
    <row r="84" spans="1:17" ht="22.5" customHeight="1" x14ac:dyDescent="0.25">
      <c r="A84" s="32" t="str">
        <f>IF(B84="","",SUBTOTAL(3,B$7:B84))</f>
        <v/>
      </c>
      <c r="B84" s="32" t="str">
        <f>IF('سجل حساب الزيادة السنوية'!B83="","",'سجل حساب الزيادة السنوية'!B83)</f>
        <v/>
      </c>
      <c r="C84" s="32" t="str">
        <f>IF(B84="","",VLOOKUP(B84,'سجل حساب الزيادة السنوية'!$B$6:$Q$205,2,0))</f>
        <v/>
      </c>
      <c r="D84" s="32" t="str">
        <f>IF(B84="","",VLOOKUP(B84,'سجل حساب الزيادة السنوية'!$B$6:$Q$205,3,0))</f>
        <v/>
      </c>
      <c r="E84" s="32" t="str">
        <f>IF(B84="","",VLOOKUP(B84,'سجل حساب الزيادة السنوية'!$B$6:$Q$205,4,0))</f>
        <v/>
      </c>
      <c r="F84" s="36" t="str">
        <f>IF(B84="","",VLOOKUP(B84,'سجل حساب الزيادة السنوية'!$B$6:$Q$205,5,0))</f>
        <v/>
      </c>
      <c r="G84" s="32" t="str">
        <f>IF(B84="","",VLOOKUP(B84,'سجل حساب الزيادة السنوية'!$B$6:$Q$205,6,0))</f>
        <v/>
      </c>
      <c r="H84" s="32" t="str">
        <f>IF(B84="","",VLOOKUP(B84,'سجل حساب الزيادة السنوية'!$B$6:$Q$205,7,0))</f>
        <v/>
      </c>
      <c r="I84" s="33" t="str">
        <f>IF(B84="","",VLOOKUP(B84,'سجل حساب الزيادة السنوية'!$B$6:$Q$205,8,0))</f>
        <v/>
      </c>
      <c r="J84" s="61" t="str">
        <f>IF(B84="","",VLOOKUP(B84,'سجل حساب الزيادة السنوية'!$B$6:$Q$205,9,0))</f>
        <v/>
      </c>
      <c r="K84" s="59" t="str">
        <f>IF(B84="","",VLOOKUP(B84,'سجل حساب الزيادة السنوية'!$B$6:$Q$205,10,0))</f>
        <v/>
      </c>
      <c r="L84" s="37" t="str">
        <f>IF(B84="","",VLOOKUP(B84,'سجل حساب الزيادة السنوية'!$B$6:$Q$205,11,0))</f>
        <v/>
      </c>
      <c r="M84" s="37" t="str">
        <f>IF(B84="","",VLOOKUP(B84,'سجل حساب الزيادة السنوية'!$B$6:$Q$205,12,0))</f>
        <v/>
      </c>
      <c r="N84" s="37" t="str">
        <f>IF(B84="","",VLOOKUP(B84,'سجل حساب الزيادة السنوية'!$B$6:$Q$205,13,0))</f>
        <v/>
      </c>
      <c r="O84" s="37" t="str">
        <f>IF(B84="","",VLOOKUP(B84,'سجل حساب الزيادة السنوية'!$B$6:$Q$205,14,0))</f>
        <v/>
      </c>
      <c r="P84" s="37" t="str">
        <f>IF(B84="","",VLOOKUP(B84,'سجل حساب الزيادة السنوية'!$B$6:$Q$205,15,0))</f>
        <v/>
      </c>
      <c r="Q84" s="37" t="str">
        <f>IF(B84="","",VLOOKUP(B84,'سجل حساب الزيادة السنوية'!$B$6:$Q$205,16,0))</f>
        <v/>
      </c>
    </row>
    <row r="85" spans="1:17" ht="22.5" customHeight="1" x14ac:dyDescent="0.25">
      <c r="A85" s="32" t="str">
        <f>IF(B85="","",SUBTOTAL(3,B$7:B85))</f>
        <v/>
      </c>
      <c r="B85" s="32" t="str">
        <f>IF('سجل حساب الزيادة السنوية'!B84="","",'سجل حساب الزيادة السنوية'!B84)</f>
        <v/>
      </c>
      <c r="C85" s="32" t="str">
        <f>IF(B85="","",VLOOKUP(B85,'سجل حساب الزيادة السنوية'!$B$6:$Q$205,2,0))</f>
        <v/>
      </c>
      <c r="D85" s="32" t="str">
        <f>IF(B85="","",VLOOKUP(B85,'سجل حساب الزيادة السنوية'!$B$6:$Q$205,3,0))</f>
        <v/>
      </c>
      <c r="E85" s="32" t="str">
        <f>IF(B85="","",VLOOKUP(B85,'سجل حساب الزيادة السنوية'!$B$6:$Q$205,4,0))</f>
        <v/>
      </c>
      <c r="F85" s="36" t="str">
        <f>IF(B85="","",VLOOKUP(B85,'سجل حساب الزيادة السنوية'!$B$6:$Q$205,5,0))</f>
        <v/>
      </c>
      <c r="G85" s="32" t="str">
        <f>IF(B85="","",VLOOKUP(B85,'سجل حساب الزيادة السنوية'!$B$6:$Q$205,6,0))</f>
        <v/>
      </c>
      <c r="H85" s="32" t="str">
        <f>IF(B85="","",VLOOKUP(B85,'سجل حساب الزيادة السنوية'!$B$6:$Q$205,7,0))</f>
        <v/>
      </c>
      <c r="I85" s="33" t="str">
        <f>IF(B85="","",VLOOKUP(B85,'سجل حساب الزيادة السنوية'!$B$6:$Q$205,8,0))</f>
        <v/>
      </c>
      <c r="J85" s="61" t="str">
        <f>IF(B85="","",VLOOKUP(B85,'سجل حساب الزيادة السنوية'!$B$6:$Q$205,9,0))</f>
        <v/>
      </c>
      <c r="K85" s="59" t="str">
        <f>IF(B85="","",VLOOKUP(B85,'سجل حساب الزيادة السنوية'!$B$6:$Q$205,10,0))</f>
        <v/>
      </c>
      <c r="L85" s="37" t="str">
        <f>IF(B85="","",VLOOKUP(B85,'سجل حساب الزيادة السنوية'!$B$6:$Q$205,11,0))</f>
        <v/>
      </c>
      <c r="M85" s="37" t="str">
        <f>IF(B85="","",VLOOKUP(B85,'سجل حساب الزيادة السنوية'!$B$6:$Q$205,12,0))</f>
        <v/>
      </c>
      <c r="N85" s="37" t="str">
        <f>IF(B85="","",VLOOKUP(B85,'سجل حساب الزيادة السنوية'!$B$6:$Q$205,13,0))</f>
        <v/>
      </c>
      <c r="O85" s="37" t="str">
        <f>IF(B85="","",VLOOKUP(B85,'سجل حساب الزيادة السنوية'!$B$6:$Q$205,14,0))</f>
        <v/>
      </c>
      <c r="P85" s="37" t="str">
        <f>IF(B85="","",VLOOKUP(B85,'سجل حساب الزيادة السنوية'!$B$6:$Q$205,15,0))</f>
        <v/>
      </c>
      <c r="Q85" s="37" t="str">
        <f>IF(B85="","",VLOOKUP(B85,'سجل حساب الزيادة السنوية'!$B$6:$Q$205,16,0))</f>
        <v/>
      </c>
    </row>
    <row r="86" spans="1:17" ht="22.5" customHeight="1" x14ac:dyDescent="0.25">
      <c r="A86" s="32" t="str">
        <f>IF(B86="","",SUBTOTAL(3,B$7:B86))</f>
        <v/>
      </c>
      <c r="B86" s="32" t="str">
        <f>IF('سجل حساب الزيادة السنوية'!B85="","",'سجل حساب الزيادة السنوية'!B85)</f>
        <v/>
      </c>
      <c r="C86" s="32" t="str">
        <f>IF(B86="","",VLOOKUP(B86,'سجل حساب الزيادة السنوية'!$B$6:$Q$205,2,0))</f>
        <v/>
      </c>
      <c r="D86" s="32" t="str">
        <f>IF(B86="","",VLOOKUP(B86,'سجل حساب الزيادة السنوية'!$B$6:$Q$205,3,0))</f>
        <v/>
      </c>
      <c r="E86" s="32" t="str">
        <f>IF(B86="","",VLOOKUP(B86,'سجل حساب الزيادة السنوية'!$B$6:$Q$205,4,0))</f>
        <v/>
      </c>
      <c r="F86" s="36" t="str">
        <f>IF(B86="","",VLOOKUP(B86,'سجل حساب الزيادة السنوية'!$B$6:$Q$205,5,0))</f>
        <v/>
      </c>
      <c r="G86" s="32" t="str">
        <f>IF(B86="","",VLOOKUP(B86,'سجل حساب الزيادة السنوية'!$B$6:$Q$205,6,0))</f>
        <v/>
      </c>
      <c r="H86" s="32" t="str">
        <f>IF(B86="","",VLOOKUP(B86,'سجل حساب الزيادة السنوية'!$B$6:$Q$205,7,0))</f>
        <v/>
      </c>
      <c r="I86" s="33" t="str">
        <f>IF(B86="","",VLOOKUP(B86,'سجل حساب الزيادة السنوية'!$B$6:$Q$205,8,0))</f>
        <v/>
      </c>
      <c r="J86" s="61" t="str">
        <f>IF(B86="","",VLOOKUP(B86,'سجل حساب الزيادة السنوية'!$B$6:$Q$205,9,0))</f>
        <v/>
      </c>
      <c r="K86" s="59" t="str">
        <f>IF(B86="","",VLOOKUP(B86,'سجل حساب الزيادة السنوية'!$B$6:$Q$205,10,0))</f>
        <v/>
      </c>
      <c r="L86" s="37" t="str">
        <f>IF(B86="","",VLOOKUP(B86,'سجل حساب الزيادة السنوية'!$B$6:$Q$205,11,0))</f>
        <v/>
      </c>
      <c r="M86" s="37" t="str">
        <f>IF(B86="","",VLOOKUP(B86,'سجل حساب الزيادة السنوية'!$B$6:$Q$205,12,0))</f>
        <v/>
      </c>
      <c r="N86" s="37" t="str">
        <f>IF(B86="","",VLOOKUP(B86,'سجل حساب الزيادة السنوية'!$B$6:$Q$205,13,0))</f>
        <v/>
      </c>
      <c r="O86" s="37" t="str">
        <f>IF(B86="","",VLOOKUP(B86,'سجل حساب الزيادة السنوية'!$B$6:$Q$205,14,0))</f>
        <v/>
      </c>
      <c r="P86" s="37" t="str">
        <f>IF(B86="","",VLOOKUP(B86,'سجل حساب الزيادة السنوية'!$B$6:$Q$205,15,0))</f>
        <v/>
      </c>
      <c r="Q86" s="37" t="str">
        <f>IF(B86="","",VLOOKUP(B86,'سجل حساب الزيادة السنوية'!$B$6:$Q$205,16,0))</f>
        <v/>
      </c>
    </row>
    <row r="87" spans="1:17" ht="22.5" customHeight="1" x14ac:dyDescent="0.25">
      <c r="A87" s="32" t="str">
        <f>IF(B87="","",SUBTOTAL(3,B$7:B87))</f>
        <v/>
      </c>
      <c r="B87" s="32" t="str">
        <f>IF('سجل حساب الزيادة السنوية'!B86="","",'سجل حساب الزيادة السنوية'!B86)</f>
        <v/>
      </c>
      <c r="C87" s="32" t="str">
        <f>IF(B87="","",VLOOKUP(B87,'سجل حساب الزيادة السنوية'!$B$6:$Q$205,2,0))</f>
        <v/>
      </c>
      <c r="D87" s="32" t="str">
        <f>IF(B87="","",VLOOKUP(B87,'سجل حساب الزيادة السنوية'!$B$6:$Q$205,3,0))</f>
        <v/>
      </c>
      <c r="E87" s="32" t="str">
        <f>IF(B87="","",VLOOKUP(B87,'سجل حساب الزيادة السنوية'!$B$6:$Q$205,4,0))</f>
        <v/>
      </c>
      <c r="F87" s="36" t="str">
        <f>IF(B87="","",VLOOKUP(B87,'سجل حساب الزيادة السنوية'!$B$6:$Q$205,5,0))</f>
        <v/>
      </c>
      <c r="G87" s="32" t="str">
        <f>IF(B87="","",VLOOKUP(B87,'سجل حساب الزيادة السنوية'!$B$6:$Q$205,6,0))</f>
        <v/>
      </c>
      <c r="H87" s="32" t="str">
        <f>IF(B87="","",VLOOKUP(B87,'سجل حساب الزيادة السنوية'!$B$6:$Q$205,7,0))</f>
        <v/>
      </c>
      <c r="I87" s="33" t="str">
        <f>IF(B87="","",VLOOKUP(B87,'سجل حساب الزيادة السنوية'!$B$6:$Q$205,8,0))</f>
        <v/>
      </c>
      <c r="J87" s="61" t="str">
        <f>IF(B87="","",VLOOKUP(B87,'سجل حساب الزيادة السنوية'!$B$6:$Q$205,9,0))</f>
        <v/>
      </c>
      <c r="K87" s="59" t="str">
        <f>IF(B87="","",VLOOKUP(B87,'سجل حساب الزيادة السنوية'!$B$6:$Q$205,10,0))</f>
        <v/>
      </c>
      <c r="L87" s="37" t="str">
        <f>IF(B87="","",VLOOKUP(B87,'سجل حساب الزيادة السنوية'!$B$6:$Q$205,11,0))</f>
        <v/>
      </c>
      <c r="M87" s="37" t="str">
        <f>IF(B87="","",VLOOKUP(B87,'سجل حساب الزيادة السنوية'!$B$6:$Q$205,12,0))</f>
        <v/>
      </c>
      <c r="N87" s="37" t="str">
        <f>IF(B87="","",VLOOKUP(B87,'سجل حساب الزيادة السنوية'!$B$6:$Q$205,13,0))</f>
        <v/>
      </c>
      <c r="O87" s="37" t="str">
        <f>IF(B87="","",VLOOKUP(B87,'سجل حساب الزيادة السنوية'!$B$6:$Q$205,14,0))</f>
        <v/>
      </c>
      <c r="P87" s="37" t="str">
        <f>IF(B87="","",VLOOKUP(B87,'سجل حساب الزيادة السنوية'!$B$6:$Q$205,15,0))</f>
        <v/>
      </c>
      <c r="Q87" s="37" t="str">
        <f>IF(B87="","",VLOOKUP(B87,'سجل حساب الزيادة السنوية'!$B$6:$Q$205,16,0))</f>
        <v/>
      </c>
    </row>
    <row r="88" spans="1:17" ht="22.5" customHeight="1" x14ac:dyDescent="0.25">
      <c r="A88" s="32" t="str">
        <f>IF(B88="","",SUBTOTAL(3,B$7:B88))</f>
        <v/>
      </c>
      <c r="B88" s="32" t="str">
        <f>IF('سجل حساب الزيادة السنوية'!B87="","",'سجل حساب الزيادة السنوية'!B87)</f>
        <v/>
      </c>
      <c r="C88" s="32" t="str">
        <f>IF(B88="","",VLOOKUP(B88,'سجل حساب الزيادة السنوية'!$B$6:$Q$205,2,0))</f>
        <v/>
      </c>
      <c r="D88" s="32" t="str">
        <f>IF(B88="","",VLOOKUP(B88,'سجل حساب الزيادة السنوية'!$B$6:$Q$205,3,0))</f>
        <v/>
      </c>
      <c r="E88" s="32" t="str">
        <f>IF(B88="","",VLOOKUP(B88,'سجل حساب الزيادة السنوية'!$B$6:$Q$205,4,0))</f>
        <v/>
      </c>
      <c r="F88" s="36" t="str">
        <f>IF(B88="","",VLOOKUP(B88,'سجل حساب الزيادة السنوية'!$B$6:$Q$205,5,0))</f>
        <v/>
      </c>
      <c r="G88" s="32" t="str">
        <f>IF(B88="","",VLOOKUP(B88,'سجل حساب الزيادة السنوية'!$B$6:$Q$205,6,0))</f>
        <v/>
      </c>
      <c r="H88" s="32" t="str">
        <f>IF(B88="","",VLOOKUP(B88,'سجل حساب الزيادة السنوية'!$B$6:$Q$205,7,0))</f>
        <v/>
      </c>
      <c r="I88" s="33" t="str">
        <f>IF(B88="","",VLOOKUP(B88,'سجل حساب الزيادة السنوية'!$B$6:$Q$205,8,0))</f>
        <v/>
      </c>
      <c r="J88" s="61" t="str">
        <f>IF(B88="","",VLOOKUP(B88,'سجل حساب الزيادة السنوية'!$B$6:$Q$205,9,0))</f>
        <v/>
      </c>
      <c r="K88" s="59" t="str">
        <f>IF(B88="","",VLOOKUP(B88,'سجل حساب الزيادة السنوية'!$B$6:$Q$205,10,0))</f>
        <v/>
      </c>
      <c r="L88" s="37" t="str">
        <f>IF(B88="","",VLOOKUP(B88,'سجل حساب الزيادة السنوية'!$B$6:$Q$205,11,0))</f>
        <v/>
      </c>
      <c r="M88" s="37" t="str">
        <f>IF(B88="","",VLOOKUP(B88,'سجل حساب الزيادة السنوية'!$B$6:$Q$205,12,0))</f>
        <v/>
      </c>
      <c r="N88" s="37" t="str">
        <f>IF(B88="","",VLOOKUP(B88,'سجل حساب الزيادة السنوية'!$B$6:$Q$205,13,0))</f>
        <v/>
      </c>
      <c r="O88" s="37" t="str">
        <f>IF(B88="","",VLOOKUP(B88,'سجل حساب الزيادة السنوية'!$B$6:$Q$205,14,0))</f>
        <v/>
      </c>
      <c r="P88" s="37" t="str">
        <f>IF(B88="","",VLOOKUP(B88,'سجل حساب الزيادة السنوية'!$B$6:$Q$205,15,0))</f>
        <v/>
      </c>
      <c r="Q88" s="37" t="str">
        <f>IF(B88="","",VLOOKUP(B88,'سجل حساب الزيادة السنوية'!$B$6:$Q$205,16,0))</f>
        <v/>
      </c>
    </row>
    <row r="89" spans="1:17" ht="22.5" customHeight="1" x14ac:dyDescent="0.25">
      <c r="A89" s="32" t="str">
        <f>IF(B89="","",SUBTOTAL(3,B$7:B89))</f>
        <v/>
      </c>
      <c r="B89" s="32" t="str">
        <f>IF('سجل حساب الزيادة السنوية'!B88="","",'سجل حساب الزيادة السنوية'!B88)</f>
        <v/>
      </c>
      <c r="C89" s="32" t="str">
        <f>IF(B89="","",VLOOKUP(B89,'سجل حساب الزيادة السنوية'!$B$6:$Q$205,2,0))</f>
        <v/>
      </c>
      <c r="D89" s="32" t="str">
        <f>IF(B89="","",VLOOKUP(B89,'سجل حساب الزيادة السنوية'!$B$6:$Q$205,3,0))</f>
        <v/>
      </c>
      <c r="E89" s="32" t="str">
        <f>IF(B89="","",VLOOKUP(B89,'سجل حساب الزيادة السنوية'!$B$6:$Q$205,4,0))</f>
        <v/>
      </c>
      <c r="F89" s="36" t="str">
        <f>IF(B89="","",VLOOKUP(B89,'سجل حساب الزيادة السنوية'!$B$6:$Q$205,5,0))</f>
        <v/>
      </c>
      <c r="G89" s="32" t="str">
        <f>IF(B89="","",VLOOKUP(B89,'سجل حساب الزيادة السنوية'!$B$6:$Q$205,6,0))</f>
        <v/>
      </c>
      <c r="H89" s="32" t="str">
        <f>IF(B89="","",VLOOKUP(B89,'سجل حساب الزيادة السنوية'!$B$6:$Q$205,7,0))</f>
        <v/>
      </c>
      <c r="I89" s="33" t="str">
        <f>IF(B89="","",VLOOKUP(B89,'سجل حساب الزيادة السنوية'!$B$6:$Q$205,8,0))</f>
        <v/>
      </c>
      <c r="J89" s="61" t="str">
        <f>IF(B89="","",VLOOKUP(B89,'سجل حساب الزيادة السنوية'!$B$6:$Q$205,9,0))</f>
        <v/>
      </c>
      <c r="K89" s="59" t="str">
        <f>IF(B89="","",VLOOKUP(B89,'سجل حساب الزيادة السنوية'!$B$6:$Q$205,10,0))</f>
        <v/>
      </c>
      <c r="L89" s="37" t="str">
        <f>IF(B89="","",VLOOKUP(B89,'سجل حساب الزيادة السنوية'!$B$6:$Q$205,11,0))</f>
        <v/>
      </c>
      <c r="M89" s="37" t="str">
        <f>IF(B89="","",VLOOKUP(B89,'سجل حساب الزيادة السنوية'!$B$6:$Q$205,12,0))</f>
        <v/>
      </c>
      <c r="N89" s="37" t="str">
        <f>IF(B89="","",VLOOKUP(B89,'سجل حساب الزيادة السنوية'!$B$6:$Q$205,13,0))</f>
        <v/>
      </c>
      <c r="O89" s="37" t="str">
        <f>IF(B89="","",VLOOKUP(B89,'سجل حساب الزيادة السنوية'!$B$6:$Q$205,14,0))</f>
        <v/>
      </c>
      <c r="P89" s="37" t="str">
        <f>IF(B89="","",VLOOKUP(B89,'سجل حساب الزيادة السنوية'!$B$6:$Q$205,15,0))</f>
        <v/>
      </c>
      <c r="Q89" s="37" t="str">
        <f>IF(B89="","",VLOOKUP(B89,'سجل حساب الزيادة السنوية'!$B$6:$Q$205,16,0))</f>
        <v/>
      </c>
    </row>
    <row r="90" spans="1:17" ht="22.5" customHeight="1" x14ac:dyDescent="0.25">
      <c r="A90" s="32" t="str">
        <f>IF(B90="","",SUBTOTAL(3,B$7:B90))</f>
        <v/>
      </c>
      <c r="B90" s="32" t="str">
        <f>IF('سجل حساب الزيادة السنوية'!B89="","",'سجل حساب الزيادة السنوية'!B89)</f>
        <v/>
      </c>
      <c r="C90" s="32" t="str">
        <f>IF(B90="","",VLOOKUP(B90,'سجل حساب الزيادة السنوية'!$B$6:$Q$205,2,0))</f>
        <v/>
      </c>
      <c r="D90" s="32" t="str">
        <f>IF(B90="","",VLOOKUP(B90,'سجل حساب الزيادة السنوية'!$B$6:$Q$205,3,0))</f>
        <v/>
      </c>
      <c r="E90" s="32" t="str">
        <f>IF(B90="","",VLOOKUP(B90,'سجل حساب الزيادة السنوية'!$B$6:$Q$205,4,0))</f>
        <v/>
      </c>
      <c r="F90" s="36" t="str">
        <f>IF(B90="","",VLOOKUP(B90,'سجل حساب الزيادة السنوية'!$B$6:$Q$205,5,0))</f>
        <v/>
      </c>
      <c r="G90" s="32" t="str">
        <f>IF(B90="","",VLOOKUP(B90,'سجل حساب الزيادة السنوية'!$B$6:$Q$205,6,0))</f>
        <v/>
      </c>
      <c r="H90" s="32" t="str">
        <f>IF(B90="","",VLOOKUP(B90,'سجل حساب الزيادة السنوية'!$B$6:$Q$205,7,0))</f>
        <v/>
      </c>
      <c r="I90" s="33" t="str">
        <f>IF(B90="","",VLOOKUP(B90,'سجل حساب الزيادة السنوية'!$B$6:$Q$205,8,0))</f>
        <v/>
      </c>
      <c r="J90" s="61" t="str">
        <f>IF(B90="","",VLOOKUP(B90,'سجل حساب الزيادة السنوية'!$B$6:$Q$205,9,0))</f>
        <v/>
      </c>
      <c r="K90" s="59" t="str">
        <f>IF(B90="","",VLOOKUP(B90,'سجل حساب الزيادة السنوية'!$B$6:$Q$205,10,0))</f>
        <v/>
      </c>
      <c r="L90" s="37" t="str">
        <f>IF(B90="","",VLOOKUP(B90,'سجل حساب الزيادة السنوية'!$B$6:$Q$205,11,0))</f>
        <v/>
      </c>
      <c r="M90" s="37" t="str">
        <f>IF(B90="","",VLOOKUP(B90,'سجل حساب الزيادة السنوية'!$B$6:$Q$205,12,0))</f>
        <v/>
      </c>
      <c r="N90" s="37" t="str">
        <f>IF(B90="","",VLOOKUP(B90,'سجل حساب الزيادة السنوية'!$B$6:$Q$205,13,0))</f>
        <v/>
      </c>
      <c r="O90" s="37" t="str">
        <f>IF(B90="","",VLOOKUP(B90,'سجل حساب الزيادة السنوية'!$B$6:$Q$205,14,0))</f>
        <v/>
      </c>
      <c r="P90" s="37" t="str">
        <f>IF(B90="","",VLOOKUP(B90,'سجل حساب الزيادة السنوية'!$B$6:$Q$205,15,0))</f>
        <v/>
      </c>
      <c r="Q90" s="37" t="str">
        <f>IF(B90="","",VLOOKUP(B90,'سجل حساب الزيادة السنوية'!$B$6:$Q$205,16,0))</f>
        <v/>
      </c>
    </row>
    <row r="91" spans="1:17" ht="22.5" customHeight="1" x14ac:dyDescent="0.25">
      <c r="A91" s="32" t="str">
        <f>IF(B91="","",SUBTOTAL(3,B$7:B91))</f>
        <v/>
      </c>
      <c r="B91" s="32" t="str">
        <f>IF('سجل حساب الزيادة السنوية'!B90="","",'سجل حساب الزيادة السنوية'!B90)</f>
        <v/>
      </c>
      <c r="C91" s="32" t="str">
        <f>IF(B91="","",VLOOKUP(B91,'سجل حساب الزيادة السنوية'!$B$6:$Q$205,2,0))</f>
        <v/>
      </c>
      <c r="D91" s="32" t="str">
        <f>IF(B91="","",VLOOKUP(B91,'سجل حساب الزيادة السنوية'!$B$6:$Q$205,3,0))</f>
        <v/>
      </c>
      <c r="E91" s="32" t="str">
        <f>IF(B91="","",VLOOKUP(B91,'سجل حساب الزيادة السنوية'!$B$6:$Q$205,4,0))</f>
        <v/>
      </c>
      <c r="F91" s="36" t="str">
        <f>IF(B91="","",VLOOKUP(B91,'سجل حساب الزيادة السنوية'!$B$6:$Q$205,5,0))</f>
        <v/>
      </c>
      <c r="G91" s="32" t="str">
        <f>IF(B91="","",VLOOKUP(B91,'سجل حساب الزيادة السنوية'!$B$6:$Q$205,6,0))</f>
        <v/>
      </c>
      <c r="H91" s="32" t="str">
        <f>IF(B91="","",VLOOKUP(B91,'سجل حساب الزيادة السنوية'!$B$6:$Q$205,7,0))</f>
        <v/>
      </c>
      <c r="I91" s="33" t="str">
        <f>IF(B91="","",VLOOKUP(B91,'سجل حساب الزيادة السنوية'!$B$6:$Q$205,8,0))</f>
        <v/>
      </c>
      <c r="J91" s="61" t="str">
        <f>IF(B91="","",VLOOKUP(B91,'سجل حساب الزيادة السنوية'!$B$6:$Q$205,9,0))</f>
        <v/>
      </c>
      <c r="K91" s="59" t="str">
        <f>IF(B91="","",VLOOKUP(B91,'سجل حساب الزيادة السنوية'!$B$6:$Q$205,10,0))</f>
        <v/>
      </c>
      <c r="L91" s="37" t="str">
        <f>IF(B91="","",VLOOKUP(B91,'سجل حساب الزيادة السنوية'!$B$6:$Q$205,11,0))</f>
        <v/>
      </c>
      <c r="M91" s="37" t="str">
        <f>IF(B91="","",VLOOKUP(B91,'سجل حساب الزيادة السنوية'!$B$6:$Q$205,12,0))</f>
        <v/>
      </c>
      <c r="N91" s="37" t="str">
        <f>IF(B91="","",VLOOKUP(B91,'سجل حساب الزيادة السنوية'!$B$6:$Q$205,13,0))</f>
        <v/>
      </c>
      <c r="O91" s="37" t="str">
        <f>IF(B91="","",VLOOKUP(B91,'سجل حساب الزيادة السنوية'!$B$6:$Q$205,14,0))</f>
        <v/>
      </c>
      <c r="P91" s="37" t="str">
        <f>IF(B91="","",VLOOKUP(B91,'سجل حساب الزيادة السنوية'!$B$6:$Q$205,15,0))</f>
        <v/>
      </c>
      <c r="Q91" s="37" t="str">
        <f>IF(B91="","",VLOOKUP(B91,'سجل حساب الزيادة السنوية'!$B$6:$Q$205,16,0))</f>
        <v/>
      </c>
    </row>
    <row r="92" spans="1:17" ht="22.5" customHeight="1" x14ac:dyDescent="0.25">
      <c r="A92" s="32" t="str">
        <f>IF(B92="","",SUBTOTAL(3,B$7:B92))</f>
        <v/>
      </c>
      <c r="B92" s="32" t="str">
        <f>IF('سجل حساب الزيادة السنوية'!B91="","",'سجل حساب الزيادة السنوية'!B91)</f>
        <v/>
      </c>
      <c r="C92" s="32" t="str">
        <f>IF(B92="","",VLOOKUP(B92,'سجل حساب الزيادة السنوية'!$B$6:$Q$205,2,0))</f>
        <v/>
      </c>
      <c r="D92" s="32" t="str">
        <f>IF(B92="","",VLOOKUP(B92,'سجل حساب الزيادة السنوية'!$B$6:$Q$205,3,0))</f>
        <v/>
      </c>
      <c r="E92" s="32" t="str">
        <f>IF(B92="","",VLOOKUP(B92,'سجل حساب الزيادة السنوية'!$B$6:$Q$205,4,0))</f>
        <v/>
      </c>
      <c r="F92" s="36" t="str">
        <f>IF(B92="","",VLOOKUP(B92,'سجل حساب الزيادة السنوية'!$B$6:$Q$205,5,0))</f>
        <v/>
      </c>
      <c r="G92" s="32" t="str">
        <f>IF(B92="","",VLOOKUP(B92,'سجل حساب الزيادة السنوية'!$B$6:$Q$205,6,0))</f>
        <v/>
      </c>
      <c r="H92" s="32" t="str">
        <f>IF(B92="","",VLOOKUP(B92,'سجل حساب الزيادة السنوية'!$B$6:$Q$205,7,0))</f>
        <v/>
      </c>
      <c r="I92" s="33" t="str">
        <f>IF(B92="","",VLOOKUP(B92,'سجل حساب الزيادة السنوية'!$B$6:$Q$205,8,0))</f>
        <v/>
      </c>
      <c r="J92" s="61" t="str">
        <f>IF(B92="","",VLOOKUP(B92,'سجل حساب الزيادة السنوية'!$B$6:$Q$205,9,0))</f>
        <v/>
      </c>
      <c r="K92" s="59" t="str">
        <f>IF(B92="","",VLOOKUP(B92,'سجل حساب الزيادة السنوية'!$B$6:$Q$205,10,0))</f>
        <v/>
      </c>
      <c r="L92" s="37" t="str">
        <f>IF(B92="","",VLOOKUP(B92,'سجل حساب الزيادة السنوية'!$B$6:$Q$205,11,0))</f>
        <v/>
      </c>
      <c r="M92" s="37" t="str">
        <f>IF(B92="","",VLOOKUP(B92,'سجل حساب الزيادة السنوية'!$B$6:$Q$205,12,0))</f>
        <v/>
      </c>
      <c r="N92" s="37" t="str">
        <f>IF(B92="","",VLOOKUP(B92,'سجل حساب الزيادة السنوية'!$B$6:$Q$205,13,0))</f>
        <v/>
      </c>
      <c r="O92" s="37" t="str">
        <f>IF(B92="","",VLOOKUP(B92,'سجل حساب الزيادة السنوية'!$B$6:$Q$205,14,0))</f>
        <v/>
      </c>
      <c r="P92" s="37" t="str">
        <f>IF(B92="","",VLOOKUP(B92,'سجل حساب الزيادة السنوية'!$B$6:$Q$205,15,0))</f>
        <v/>
      </c>
      <c r="Q92" s="37" t="str">
        <f>IF(B92="","",VLOOKUP(B92,'سجل حساب الزيادة السنوية'!$B$6:$Q$205,16,0))</f>
        <v/>
      </c>
    </row>
    <row r="93" spans="1:17" ht="22.5" customHeight="1" x14ac:dyDescent="0.25">
      <c r="A93" s="32" t="str">
        <f>IF(B93="","",SUBTOTAL(3,B$7:B93))</f>
        <v/>
      </c>
      <c r="B93" s="32" t="str">
        <f>IF('سجل حساب الزيادة السنوية'!B92="","",'سجل حساب الزيادة السنوية'!B92)</f>
        <v/>
      </c>
      <c r="C93" s="32" t="str">
        <f>IF(B93="","",VLOOKUP(B93,'سجل حساب الزيادة السنوية'!$B$6:$Q$205,2,0))</f>
        <v/>
      </c>
      <c r="D93" s="32" t="str">
        <f>IF(B93="","",VLOOKUP(B93,'سجل حساب الزيادة السنوية'!$B$6:$Q$205,3,0))</f>
        <v/>
      </c>
      <c r="E93" s="32" t="str">
        <f>IF(B93="","",VLOOKUP(B93,'سجل حساب الزيادة السنوية'!$B$6:$Q$205,4,0))</f>
        <v/>
      </c>
      <c r="F93" s="36" t="str">
        <f>IF(B93="","",VLOOKUP(B93,'سجل حساب الزيادة السنوية'!$B$6:$Q$205,5,0))</f>
        <v/>
      </c>
      <c r="G93" s="32" t="str">
        <f>IF(B93="","",VLOOKUP(B93,'سجل حساب الزيادة السنوية'!$B$6:$Q$205,6,0))</f>
        <v/>
      </c>
      <c r="H93" s="32" t="str">
        <f>IF(B93="","",VLOOKUP(B93,'سجل حساب الزيادة السنوية'!$B$6:$Q$205,7,0))</f>
        <v/>
      </c>
      <c r="I93" s="33" t="str">
        <f>IF(B93="","",VLOOKUP(B93,'سجل حساب الزيادة السنوية'!$B$6:$Q$205,8,0))</f>
        <v/>
      </c>
      <c r="J93" s="61" t="str">
        <f>IF(B93="","",VLOOKUP(B93,'سجل حساب الزيادة السنوية'!$B$6:$Q$205,9,0))</f>
        <v/>
      </c>
      <c r="K93" s="59" t="str">
        <f>IF(B93="","",VLOOKUP(B93,'سجل حساب الزيادة السنوية'!$B$6:$Q$205,10,0))</f>
        <v/>
      </c>
      <c r="L93" s="37" t="str">
        <f>IF(B93="","",VLOOKUP(B93,'سجل حساب الزيادة السنوية'!$B$6:$Q$205,11,0))</f>
        <v/>
      </c>
      <c r="M93" s="37" t="str">
        <f>IF(B93="","",VLOOKUP(B93,'سجل حساب الزيادة السنوية'!$B$6:$Q$205,12,0))</f>
        <v/>
      </c>
      <c r="N93" s="37" t="str">
        <f>IF(B93="","",VLOOKUP(B93,'سجل حساب الزيادة السنوية'!$B$6:$Q$205,13,0))</f>
        <v/>
      </c>
      <c r="O93" s="37" t="str">
        <f>IF(B93="","",VLOOKUP(B93,'سجل حساب الزيادة السنوية'!$B$6:$Q$205,14,0))</f>
        <v/>
      </c>
      <c r="P93" s="37" t="str">
        <f>IF(B93="","",VLOOKUP(B93,'سجل حساب الزيادة السنوية'!$B$6:$Q$205,15,0))</f>
        <v/>
      </c>
      <c r="Q93" s="37" t="str">
        <f>IF(B93="","",VLOOKUP(B93,'سجل حساب الزيادة السنوية'!$B$6:$Q$205,16,0))</f>
        <v/>
      </c>
    </row>
    <row r="94" spans="1:17" ht="22.5" customHeight="1" x14ac:dyDescent="0.25">
      <c r="A94" s="32" t="str">
        <f>IF(B94="","",SUBTOTAL(3,B$7:B94))</f>
        <v/>
      </c>
      <c r="B94" s="32" t="str">
        <f>IF('سجل حساب الزيادة السنوية'!B93="","",'سجل حساب الزيادة السنوية'!B93)</f>
        <v/>
      </c>
      <c r="C94" s="32" t="str">
        <f>IF(B94="","",VLOOKUP(B94,'سجل حساب الزيادة السنوية'!$B$6:$Q$205,2,0))</f>
        <v/>
      </c>
      <c r="D94" s="32" t="str">
        <f>IF(B94="","",VLOOKUP(B94,'سجل حساب الزيادة السنوية'!$B$6:$Q$205,3,0))</f>
        <v/>
      </c>
      <c r="E94" s="32" t="str">
        <f>IF(B94="","",VLOOKUP(B94,'سجل حساب الزيادة السنوية'!$B$6:$Q$205,4,0))</f>
        <v/>
      </c>
      <c r="F94" s="36" t="str">
        <f>IF(B94="","",VLOOKUP(B94,'سجل حساب الزيادة السنوية'!$B$6:$Q$205,5,0))</f>
        <v/>
      </c>
      <c r="G94" s="32" t="str">
        <f>IF(B94="","",VLOOKUP(B94,'سجل حساب الزيادة السنوية'!$B$6:$Q$205,6,0))</f>
        <v/>
      </c>
      <c r="H94" s="32" t="str">
        <f>IF(B94="","",VLOOKUP(B94,'سجل حساب الزيادة السنوية'!$B$6:$Q$205,7,0))</f>
        <v/>
      </c>
      <c r="I94" s="33" t="str">
        <f>IF(B94="","",VLOOKUP(B94,'سجل حساب الزيادة السنوية'!$B$6:$Q$205,8,0))</f>
        <v/>
      </c>
      <c r="J94" s="61" t="str">
        <f>IF(B94="","",VLOOKUP(B94,'سجل حساب الزيادة السنوية'!$B$6:$Q$205,9,0))</f>
        <v/>
      </c>
      <c r="K94" s="59" t="str">
        <f>IF(B94="","",VLOOKUP(B94,'سجل حساب الزيادة السنوية'!$B$6:$Q$205,10,0))</f>
        <v/>
      </c>
      <c r="L94" s="37" t="str">
        <f>IF(B94="","",VLOOKUP(B94,'سجل حساب الزيادة السنوية'!$B$6:$Q$205,11,0))</f>
        <v/>
      </c>
      <c r="M94" s="37" t="str">
        <f>IF(B94="","",VLOOKUP(B94,'سجل حساب الزيادة السنوية'!$B$6:$Q$205,12,0))</f>
        <v/>
      </c>
      <c r="N94" s="37" t="str">
        <f>IF(B94="","",VLOOKUP(B94,'سجل حساب الزيادة السنوية'!$B$6:$Q$205,13,0))</f>
        <v/>
      </c>
      <c r="O94" s="37" t="str">
        <f>IF(B94="","",VLOOKUP(B94,'سجل حساب الزيادة السنوية'!$B$6:$Q$205,14,0))</f>
        <v/>
      </c>
      <c r="P94" s="37" t="str">
        <f>IF(B94="","",VLOOKUP(B94,'سجل حساب الزيادة السنوية'!$B$6:$Q$205,15,0))</f>
        <v/>
      </c>
      <c r="Q94" s="37" t="str">
        <f>IF(B94="","",VLOOKUP(B94,'سجل حساب الزيادة السنوية'!$B$6:$Q$205,16,0))</f>
        <v/>
      </c>
    </row>
    <row r="95" spans="1:17" ht="22.5" customHeight="1" x14ac:dyDescent="0.25">
      <c r="A95" s="32" t="str">
        <f>IF(B95="","",SUBTOTAL(3,B$7:B95))</f>
        <v/>
      </c>
      <c r="B95" s="32" t="str">
        <f>IF('سجل حساب الزيادة السنوية'!B94="","",'سجل حساب الزيادة السنوية'!B94)</f>
        <v/>
      </c>
      <c r="C95" s="32" t="str">
        <f>IF(B95="","",VLOOKUP(B95,'سجل حساب الزيادة السنوية'!$B$6:$Q$205,2,0))</f>
        <v/>
      </c>
      <c r="D95" s="32" t="str">
        <f>IF(B95="","",VLOOKUP(B95,'سجل حساب الزيادة السنوية'!$B$6:$Q$205,3,0))</f>
        <v/>
      </c>
      <c r="E95" s="32" t="str">
        <f>IF(B95="","",VLOOKUP(B95,'سجل حساب الزيادة السنوية'!$B$6:$Q$205,4,0))</f>
        <v/>
      </c>
      <c r="F95" s="36" t="str">
        <f>IF(B95="","",VLOOKUP(B95,'سجل حساب الزيادة السنوية'!$B$6:$Q$205,5,0))</f>
        <v/>
      </c>
      <c r="G95" s="32" t="str">
        <f>IF(B95="","",VLOOKUP(B95,'سجل حساب الزيادة السنوية'!$B$6:$Q$205,6,0))</f>
        <v/>
      </c>
      <c r="H95" s="32" t="str">
        <f>IF(B95="","",VLOOKUP(B95,'سجل حساب الزيادة السنوية'!$B$6:$Q$205,7,0))</f>
        <v/>
      </c>
      <c r="I95" s="33" t="str">
        <f>IF(B95="","",VLOOKUP(B95,'سجل حساب الزيادة السنوية'!$B$6:$Q$205,8,0))</f>
        <v/>
      </c>
      <c r="J95" s="61" t="str">
        <f>IF(B95="","",VLOOKUP(B95,'سجل حساب الزيادة السنوية'!$B$6:$Q$205,9,0))</f>
        <v/>
      </c>
      <c r="K95" s="59" t="str">
        <f>IF(B95="","",VLOOKUP(B95,'سجل حساب الزيادة السنوية'!$B$6:$Q$205,10,0))</f>
        <v/>
      </c>
      <c r="L95" s="37" t="str">
        <f>IF(B95="","",VLOOKUP(B95,'سجل حساب الزيادة السنوية'!$B$6:$Q$205,11,0))</f>
        <v/>
      </c>
      <c r="M95" s="37" t="str">
        <f>IF(B95="","",VLOOKUP(B95,'سجل حساب الزيادة السنوية'!$B$6:$Q$205,12,0))</f>
        <v/>
      </c>
      <c r="N95" s="37" t="str">
        <f>IF(B95="","",VLOOKUP(B95,'سجل حساب الزيادة السنوية'!$B$6:$Q$205,13,0))</f>
        <v/>
      </c>
      <c r="O95" s="37" t="str">
        <f>IF(B95="","",VLOOKUP(B95,'سجل حساب الزيادة السنوية'!$B$6:$Q$205,14,0))</f>
        <v/>
      </c>
      <c r="P95" s="37" t="str">
        <f>IF(B95="","",VLOOKUP(B95,'سجل حساب الزيادة السنوية'!$B$6:$Q$205,15,0))</f>
        <v/>
      </c>
      <c r="Q95" s="37" t="str">
        <f>IF(B95="","",VLOOKUP(B95,'سجل حساب الزيادة السنوية'!$B$6:$Q$205,16,0))</f>
        <v/>
      </c>
    </row>
    <row r="96" spans="1:17" ht="22.5" customHeight="1" x14ac:dyDescent="0.25">
      <c r="A96" s="32" t="str">
        <f>IF(B96="","",SUBTOTAL(3,B$7:B96))</f>
        <v/>
      </c>
      <c r="B96" s="32" t="str">
        <f>IF('سجل حساب الزيادة السنوية'!B95="","",'سجل حساب الزيادة السنوية'!B95)</f>
        <v/>
      </c>
      <c r="C96" s="32" t="str">
        <f>IF(B96="","",VLOOKUP(B96,'سجل حساب الزيادة السنوية'!$B$6:$Q$205,2,0))</f>
        <v/>
      </c>
      <c r="D96" s="32" t="str">
        <f>IF(B96="","",VLOOKUP(B96,'سجل حساب الزيادة السنوية'!$B$6:$Q$205,3,0))</f>
        <v/>
      </c>
      <c r="E96" s="32" t="str">
        <f>IF(B96="","",VLOOKUP(B96,'سجل حساب الزيادة السنوية'!$B$6:$Q$205,4,0))</f>
        <v/>
      </c>
      <c r="F96" s="36" t="str">
        <f>IF(B96="","",VLOOKUP(B96,'سجل حساب الزيادة السنوية'!$B$6:$Q$205,5,0))</f>
        <v/>
      </c>
      <c r="G96" s="32" t="str">
        <f>IF(B96="","",VLOOKUP(B96,'سجل حساب الزيادة السنوية'!$B$6:$Q$205,6,0))</f>
        <v/>
      </c>
      <c r="H96" s="32" t="str">
        <f>IF(B96="","",VLOOKUP(B96,'سجل حساب الزيادة السنوية'!$B$6:$Q$205,7,0))</f>
        <v/>
      </c>
      <c r="I96" s="33" t="str">
        <f>IF(B96="","",VLOOKUP(B96,'سجل حساب الزيادة السنوية'!$B$6:$Q$205,8,0))</f>
        <v/>
      </c>
      <c r="J96" s="61" t="str">
        <f>IF(B96="","",VLOOKUP(B96,'سجل حساب الزيادة السنوية'!$B$6:$Q$205,9,0))</f>
        <v/>
      </c>
      <c r="K96" s="59" t="str">
        <f>IF(B96="","",VLOOKUP(B96,'سجل حساب الزيادة السنوية'!$B$6:$Q$205,10,0))</f>
        <v/>
      </c>
      <c r="L96" s="37" t="str">
        <f>IF(B96="","",VLOOKUP(B96,'سجل حساب الزيادة السنوية'!$B$6:$Q$205,11,0))</f>
        <v/>
      </c>
      <c r="M96" s="37" t="str">
        <f>IF(B96="","",VLOOKUP(B96,'سجل حساب الزيادة السنوية'!$B$6:$Q$205,12,0))</f>
        <v/>
      </c>
      <c r="N96" s="37" t="str">
        <f>IF(B96="","",VLOOKUP(B96,'سجل حساب الزيادة السنوية'!$B$6:$Q$205,13,0))</f>
        <v/>
      </c>
      <c r="O96" s="37" t="str">
        <f>IF(B96="","",VLOOKUP(B96,'سجل حساب الزيادة السنوية'!$B$6:$Q$205,14,0))</f>
        <v/>
      </c>
      <c r="P96" s="37" t="str">
        <f>IF(B96="","",VLOOKUP(B96,'سجل حساب الزيادة السنوية'!$B$6:$Q$205,15,0))</f>
        <v/>
      </c>
      <c r="Q96" s="37" t="str">
        <f>IF(B96="","",VLOOKUP(B96,'سجل حساب الزيادة السنوية'!$B$6:$Q$205,16,0))</f>
        <v/>
      </c>
    </row>
    <row r="97" spans="1:17" ht="22.5" customHeight="1" x14ac:dyDescent="0.25">
      <c r="A97" s="32" t="str">
        <f>IF(B97="","",SUBTOTAL(3,B$7:B97))</f>
        <v/>
      </c>
      <c r="B97" s="32" t="str">
        <f>IF('سجل حساب الزيادة السنوية'!B96="","",'سجل حساب الزيادة السنوية'!B96)</f>
        <v/>
      </c>
      <c r="C97" s="32" t="str">
        <f>IF(B97="","",VLOOKUP(B97,'سجل حساب الزيادة السنوية'!$B$6:$Q$205,2,0))</f>
        <v/>
      </c>
      <c r="D97" s="32" t="str">
        <f>IF(B97="","",VLOOKUP(B97,'سجل حساب الزيادة السنوية'!$B$6:$Q$205,3,0))</f>
        <v/>
      </c>
      <c r="E97" s="32" t="str">
        <f>IF(B97="","",VLOOKUP(B97,'سجل حساب الزيادة السنوية'!$B$6:$Q$205,4,0))</f>
        <v/>
      </c>
      <c r="F97" s="36" t="str">
        <f>IF(B97="","",VLOOKUP(B97,'سجل حساب الزيادة السنوية'!$B$6:$Q$205,5,0))</f>
        <v/>
      </c>
      <c r="G97" s="32" t="str">
        <f>IF(B97="","",VLOOKUP(B97,'سجل حساب الزيادة السنوية'!$B$6:$Q$205,6,0))</f>
        <v/>
      </c>
      <c r="H97" s="32" t="str">
        <f>IF(B97="","",VLOOKUP(B97,'سجل حساب الزيادة السنوية'!$B$6:$Q$205,7,0))</f>
        <v/>
      </c>
      <c r="I97" s="33" t="str">
        <f>IF(B97="","",VLOOKUP(B97,'سجل حساب الزيادة السنوية'!$B$6:$Q$205,8,0))</f>
        <v/>
      </c>
      <c r="J97" s="61" t="str">
        <f>IF(B97="","",VLOOKUP(B97,'سجل حساب الزيادة السنوية'!$B$6:$Q$205,9,0))</f>
        <v/>
      </c>
      <c r="K97" s="59" t="str">
        <f>IF(B97="","",VLOOKUP(B97,'سجل حساب الزيادة السنوية'!$B$6:$Q$205,10,0))</f>
        <v/>
      </c>
      <c r="L97" s="37" t="str">
        <f>IF(B97="","",VLOOKUP(B97,'سجل حساب الزيادة السنوية'!$B$6:$Q$205,11,0))</f>
        <v/>
      </c>
      <c r="M97" s="37" t="str">
        <f>IF(B97="","",VLOOKUP(B97,'سجل حساب الزيادة السنوية'!$B$6:$Q$205,12,0))</f>
        <v/>
      </c>
      <c r="N97" s="37" t="str">
        <f>IF(B97="","",VLOOKUP(B97,'سجل حساب الزيادة السنوية'!$B$6:$Q$205,13,0))</f>
        <v/>
      </c>
      <c r="O97" s="37" t="str">
        <f>IF(B97="","",VLOOKUP(B97,'سجل حساب الزيادة السنوية'!$B$6:$Q$205,14,0))</f>
        <v/>
      </c>
      <c r="P97" s="37" t="str">
        <f>IF(B97="","",VLOOKUP(B97,'سجل حساب الزيادة السنوية'!$B$6:$Q$205,15,0))</f>
        <v/>
      </c>
      <c r="Q97" s="37" t="str">
        <f>IF(B97="","",VLOOKUP(B97,'سجل حساب الزيادة السنوية'!$B$6:$Q$205,16,0))</f>
        <v/>
      </c>
    </row>
    <row r="98" spans="1:17" ht="22.5" customHeight="1" x14ac:dyDescent="0.25">
      <c r="A98" s="32" t="str">
        <f>IF(B98="","",SUBTOTAL(3,B$7:B98))</f>
        <v/>
      </c>
      <c r="B98" s="32" t="str">
        <f>IF('سجل حساب الزيادة السنوية'!B97="","",'سجل حساب الزيادة السنوية'!B97)</f>
        <v/>
      </c>
      <c r="C98" s="32" t="str">
        <f>IF(B98="","",VLOOKUP(B98,'سجل حساب الزيادة السنوية'!$B$6:$Q$205,2,0))</f>
        <v/>
      </c>
      <c r="D98" s="32" t="str">
        <f>IF(B98="","",VLOOKUP(B98,'سجل حساب الزيادة السنوية'!$B$6:$Q$205,3,0))</f>
        <v/>
      </c>
      <c r="E98" s="32" t="str">
        <f>IF(B98="","",VLOOKUP(B98,'سجل حساب الزيادة السنوية'!$B$6:$Q$205,4,0))</f>
        <v/>
      </c>
      <c r="F98" s="36" t="str">
        <f>IF(B98="","",VLOOKUP(B98,'سجل حساب الزيادة السنوية'!$B$6:$Q$205,5,0))</f>
        <v/>
      </c>
      <c r="G98" s="32" t="str">
        <f>IF(B98="","",VLOOKUP(B98,'سجل حساب الزيادة السنوية'!$B$6:$Q$205,6,0))</f>
        <v/>
      </c>
      <c r="H98" s="32" t="str">
        <f>IF(B98="","",VLOOKUP(B98,'سجل حساب الزيادة السنوية'!$B$6:$Q$205,7,0))</f>
        <v/>
      </c>
      <c r="I98" s="33" t="str">
        <f>IF(B98="","",VLOOKUP(B98,'سجل حساب الزيادة السنوية'!$B$6:$Q$205,8,0))</f>
        <v/>
      </c>
      <c r="J98" s="61" t="str">
        <f>IF(B98="","",VLOOKUP(B98,'سجل حساب الزيادة السنوية'!$B$6:$Q$205,9,0))</f>
        <v/>
      </c>
      <c r="K98" s="59" t="str">
        <f>IF(B98="","",VLOOKUP(B98,'سجل حساب الزيادة السنوية'!$B$6:$Q$205,10,0))</f>
        <v/>
      </c>
      <c r="L98" s="37" t="str">
        <f>IF(B98="","",VLOOKUP(B98,'سجل حساب الزيادة السنوية'!$B$6:$Q$205,11,0))</f>
        <v/>
      </c>
      <c r="M98" s="37" t="str">
        <f>IF(B98="","",VLOOKUP(B98,'سجل حساب الزيادة السنوية'!$B$6:$Q$205,12,0))</f>
        <v/>
      </c>
      <c r="N98" s="37" t="str">
        <f>IF(B98="","",VLOOKUP(B98,'سجل حساب الزيادة السنوية'!$B$6:$Q$205,13,0))</f>
        <v/>
      </c>
      <c r="O98" s="37" t="str">
        <f>IF(B98="","",VLOOKUP(B98,'سجل حساب الزيادة السنوية'!$B$6:$Q$205,14,0))</f>
        <v/>
      </c>
      <c r="P98" s="37" t="str">
        <f>IF(B98="","",VLOOKUP(B98,'سجل حساب الزيادة السنوية'!$B$6:$Q$205,15,0))</f>
        <v/>
      </c>
      <c r="Q98" s="37" t="str">
        <f>IF(B98="","",VLOOKUP(B98,'سجل حساب الزيادة السنوية'!$B$6:$Q$205,16,0))</f>
        <v/>
      </c>
    </row>
    <row r="99" spans="1:17" ht="22.5" customHeight="1" x14ac:dyDescent="0.25">
      <c r="A99" s="32" t="str">
        <f>IF(B99="","",SUBTOTAL(3,B$7:B99))</f>
        <v/>
      </c>
      <c r="B99" s="32" t="str">
        <f>IF('سجل حساب الزيادة السنوية'!B98="","",'سجل حساب الزيادة السنوية'!B98)</f>
        <v/>
      </c>
      <c r="C99" s="32" t="str">
        <f>IF(B99="","",VLOOKUP(B99,'سجل حساب الزيادة السنوية'!$B$6:$Q$205,2,0))</f>
        <v/>
      </c>
      <c r="D99" s="32" t="str">
        <f>IF(B99="","",VLOOKUP(B99,'سجل حساب الزيادة السنوية'!$B$6:$Q$205,3,0))</f>
        <v/>
      </c>
      <c r="E99" s="32" t="str">
        <f>IF(B99="","",VLOOKUP(B99,'سجل حساب الزيادة السنوية'!$B$6:$Q$205,4,0))</f>
        <v/>
      </c>
      <c r="F99" s="36" t="str">
        <f>IF(B99="","",VLOOKUP(B99,'سجل حساب الزيادة السنوية'!$B$6:$Q$205,5,0))</f>
        <v/>
      </c>
      <c r="G99" s="32" t="str">
        <f>IF(B99="","",VLOOKUP(B99,'سجل حساب الزيادة السنوية'!$B$6:$Q$205,6,0))</f>
        <v/>
      </c>
      <c r="H99" s="32" t="str">
        <f>IF(B99="","",VLOOKUP(B99,'سجل حساب الزيادة السنوية'!$B$6:$Q$205,7,0))</f>
        <v/>
      </c>
      <c r="I99" s="33" t="str">
        <f>IF(B99="","",VLOOKUP(B99,'سجل حساب الزيادة السنوية'!$B$6:$Q$205,8,0))</f>
        <v/>
      </c>
      <c r="J99" s="61" t="str">
        <f>IF(B99="","",VLOOKUP(B99,'سجل حساب الزيادة السنوية'!$B$6:$Q$205,9,0))</f>
        <v/>
      </c>
      <c r="K99" s="59" t="str">
        <f>IF(B99="","",VLOOKUP(B99,'سجل حساب الزيادة السنوية'!$B$6:$Q$205,10,0))</f>
        <v/>
      </c>
      <c r="L99" s="37" t="str">
        <f>IF(B99="","",VLOOKUP(B99,'سجل حساب الزيادة السنوية'!$B$6:$Q$205,11,0))</f>
        <v/>
      </c>
      <c r="M99" s="37" t="str">
        <f>IF(B99="","",VLOOKUP(B99,'سجل حساب الزيادة السنوية'!$B$6:$Q$205,12,0))</f>
        <v/>
      </c>
      <c r="N99" s="37" t="str">
        <f>IF(B99="","",VLOOKUP(B99,'سجل حساب الزيادة السنوية'!$B$6:$Q$205,13,0))</f>
        <v/>
      </c>
      <c r="O99" s="37" t="str">
        <f>IF(B99="","",VLOOKUP(B99,'سجل حساب الزيادة السنوية'!$B$6:$Q$205,14,0))</f>
        <v/>
      </c>
      <c r="P99" s="37" t="str">
        <f>IF(B99="","",VLOOKUP(B99,'سجل حساب الزيادة السنوية'!$B$6:$Q$205,15,0))</f>
        <v/>
      </c>
      <c r="Q99" s="37" t="str">
        <f>IF(B99="","",VLOOKUP(B99,'سجل حساب الزيادة السنوية'!$B$6:$Q$205,16,0))</f>
        <v/>
      </c>
    </row>
    <row r="100" spans="1:17" ht="22.5" customHeight="1" x14ac:dyDescent="0.25">
      <c r="A100" s="32" t="str">
        <f>IF(B100="","",SUBTOTAL(3,B$7:B100))</f>
        <v/>
      </c>
      <c r="B100" s="32" t="str">
        <f>IF('سجل حساب الزيادة السنوية'!B99="","",'سجل حساب الزيادة السنوية'!B99)</f>
        <v/>
      </c>
      <c r="C100" s="32" t="str">
        <f>IF(B100="","",VLOOKUP(B100,'سجل حساب الزيادة السنوية'!$B$6:$Q$205,2,0))</f>
        <v/>
      </c>
      <c r="D100" s="32" t="str">
        <f>IF(B100="","",VLOOKUP(B100,'سجل حساب الزيادة السنوية'!$B$6:$Q$205,3,0))</f>
        <v/>
      </c>
      <c r="E100" s="32" t="str">
        <f>IF(B100="","",VLOOKUP(B100,'سجل حساب الزيادة السنوية'!$B$6:$Q$205,4,0))</f>
        <v/>
      </c>
      <c r="F100" s="36" t="str">
        <f>IF(B100="","",VLOOKUP(B100,'سجل حساب الزيادة السنوية'!$B$6:$Q$205,5,0))</f>
        <v/>
      </c>
      <c r="G100" s="32" t="str">
        <f>IF(B100="","",VLOOKUP(B100,'سجل حساب الزيادة السنوية'!$B$6:$Q$205,6,0))</f>
        <v/>
      </c>
      <c r="H100" s="32" t="str">
        <f>IF(B100="","",VLOOKUP(B100,'سجل حساب الزيادة السنوية'!$B$6:$Q$205,7,0))</f>
        <v/>
      </c>
      <c r="I100" s="33" t="str">
        <f>IF(B100="","",VLOOKUP(B100,'سجل حساب الزيادة السنوية'!$B$6:$Q$205,8,0))</f>
        <v/>
      </c>
      <c r="J100" s="61" t="str">
        <f>IF(B100="","",VLOOKUP(B100,'سجل حساب الزيادة السنوية'!$B$6:$Q$205,9,0))</f>
        <v/>
      </c>
      <c r="K100" s="59" t="str">
        <f>IF(B100="","",VLOOKUP(B100,'سجل حساب الزيادة السنوية'!$B$6:$Q$205,10,0))</f>
        <v/>
      </c>
      <c r="L100" s="37" t="str">
        <f>IF(B100="","",VLOOKUP(B100,'سجل حساب الزيادة السنوية'!$B$6:$Q$205,11,0))</f>
        <v/>
      </c>
      <c r="M100" s="37" t="str">
        <f>IF(B100="","",VLOOKUP(B100,'سجل حساب الزيادة السنوية'!$B$6:$Q$205,12,0))</f>
        <v/>
      </c>
      <c r="N100" s="37" t="str">
        <f>IF(B100="","",VLOOKUP(B100,'سجل حساب الزيادة السنوية'!$B$6:$Q$205,13,0))</f>
        <v/>
      </c>
      <c r="O100" s="37" t="str">
        <f>IF(B100="","",VLOOKUP(B100,'سجل حساب الزيادة السنوية'!$B$6:$Q$205,14,0))</f>
        <v/>
      </c>
      <c r="P100" s="37" t="str">
        <f>IF(B100="","",VLOOKUP(B100,'سجل حساب الزيادة السنوية'!$B$6:$Q$205,15,0))</f>
        <v/>
      </c>
      <c r="Q100" s="37" t="str">
        <f>IF(B100="","",VLOOKUP(B100,'سجل حساب الزيادة السنوية'!$B$6:$Q$205,16,0))</f>
        <v/>
      </c>
    </row>
    <row r="101" spans="1:17" ht="22.5" customHeight="1" x14ac:dyDescent="0.25">
      <c r="A101" s="32" t="str">
        <f>IF(B101="","",SUBTOTAL(3,B$7:B101))</f>
        <v/>
      </c>
      <c r="B101" s="32" t="str">
        <f>IF('سجل حساب الزيادة السنوية'!B100="","",'سجل حساب الزيادة السنوية'!B100)</f>
        <v/>
      </c>
      <c r="C101" s="32" t="str">
        <f>IF(B101="","",VLOOKUP(B101,'سجل حساب الزيادة السنوية'!$B$6:$Q$205,2,0))</f>
        <v/>
      </c>
      <c r="D101" s="32" t="str">
        <f>IF(B101="","",VLOOKUP(B101,'سجل حساب الزيادة السنوية'!$B$6:$Q$205,3,0))</f>
        <v/>
      </c>
      <c r="E101" s="32" t="str">
        <f>IF(B101="","",VLOOKUP(B101,'سجل حساب الزيادة السنوية'!$B$6:$Q$205,4,0))</f>
        <v/>
      </c>
      <c r="F101" s="36" t="str">
        <f>IF(B101="","",VLOOKUP(B101,'سجل حساب الزيادة السنوية'!$B$6:$Q$205,5,0))</f>
        <v/>
      </c>
      <c r="G101" s="32" t="str">
        <f>IF(B101="","",VLOOKUP(B101,'سجل حساب الزيادة السنوية'!$B$6:$Q$205,6,0))</f>
        <v/>
      </c>
      <c r="H101" s="32" t="str">
        <f>IF(B101="","",VLOOKUP(B101,'سجل حساب الزيادة السنوية'!$B$6:$Q$205,7,0))</f>
        <v/>
      </c>
      <c r="I101" s="33" t="str">
        <f>IF(B101="","",VLOOKUP(B101,'سجل حساب الزيادة السنوية'!$B$6:$Q$205,8,0))</f>
        <v/>
      </c>
      <c r="J101" s="61" t="str">
        <f>IF(B101="","",VLOOKUP(B101,'سجل حساب الزيادة السنوية'!$B$6:$Q$205,9,0))</f>
        <v/>
      </c>
      <c r="K101" s="59" t="str">
        <f>IF(B101="","",VLOOKUP(B101,'سجل حساب الزيادة السنوية'!$B$6:$Q$205,10,0))</f>
        <v/>
      </c>
      <c r="L101" s="37" t="str">
        <f>IF(B101="","",VLOOKUP(B101,'سجل حساب الزيادة السنوية'!$B$6:$Q$205,11,0))</f>
        <v/>
      </c>
      <c r="M101" s="37" t="str">
        <f>IF(B101="","",VLOOKUP(B101,'سجل حساب الزيادة السنوية'!$B$6:$Q$205,12,0))</f>
        <v/>
      </c>
      <c r="N101" s="37" t="str">
        <f>IF(B101="","",VLOOKUP(B101,'سجل حساب الزيادة السنوية'!$B$6:$Q$205,13,0))</f>
        <v/>
      </c>
      <c r="O101" s="37" t="str">
        <f>IF(B101="","",VLOOKUP(B101,'سجل حساب الزيادة السنوية'!$B$6:$Q$205,14,0))</f>
        <v/>
      </c>
      <c r="P101" s="37" t="str">
        <f>IF(B101="","",VLOOKUP(B101,'سجل حساب الزيادة السنوية'!$B$6:$Q$205,15,0))</f>
        <v/>
      </c>
      <c r="Q101" s="37" t="str">
        <f>IF(B101="","",VLOOKUP(B101,'سجل حساب الزيادة السنوية'!$B$6:$Q$205,16,0))</f>
        <v/>
      </c>
    </row>
    <row r="102" spans="1:17" ht="22.5" customHeight="1" x14ac:dyDescent="0.25">
      <c r="A102" s="32" t="str">
        <f>IF(B102="","",SUBTOTAL(3,B$7:B102))</f>
        <v/>
      </c>
      <c r="B102" s="32" t="str">
        <f>IF('سجل حساب الزيادة السنوية'!B101="","",'سجل حساب الزيادة السنوية'!B101)</f>
        <v/>
      </c>
      <c r="C102" s="32" t="str">
        <f>IF(B102="","",VLOOKUP(B102,'سجل حساب الزيادة السنوية'!$B$6:$Q$205,2,0))</f>
        <v/>
      </c>
      <c r="D102" s="32" t="str">
        <f>IF(B102="","",VLOOKUP(B102,'سجل حساب الزيادة السنوية'!$B$6:$Q$205,3,0))</f>
        <v/>
      </c>
      <c r="E102" s="32" t="str">
        <f>IF(B102="","",VLOOKUP(B102,'سجل حساب الزيادة السنوية'!$B$6:$Q$205,4,0))</f>
        <v/>
      </c>
      <c r="F102" s="36" t="str">
        <f>IF(B102="","",VLOOKUP(B102,'سجل حساب الزيادة السنوية'!$B$6:$Q$205,5,0))</f>
        <v/>
      </c>
      <c r="G102" s="32" t="str">
        <f>IF(B102="","",VLOOKUP(B102,'سجل حساب الزيادة السنوية'!$B$6:$Q$205,6,0))</f>
        <v/>
      </c>
      <c r="H102" s="32" t="str">
        <f>IF(B102="","",VLOOKUP(B102,'سجل حساب الزيادة السنوية'!$B$6:$Q$205,7,0))</f>
        <v/>
      </c>
      <c r="I102" s="33" t="str">
        <f>IF(B102="","",VLOOKUP(B102,'سجل حساب الزيادة السنوية'!$B$6:$Q$205,8,0))</f>
        <v/>
      </c>
      <c r="J102" s="61" t="str">
        <f>IF(B102="","",VLOOKUP(B102,'سجل حساب الزيادة السنوية'!$B$6:$Q$205,9,0))</f>
        <v/>
      </c>
      <c r="K102" s="59" t="str">
        <f>IF(B102="","",VLOOKUP(B102,'سجل حساب الزيادة السنوية'!$B$6:$Q$205,10,0))</f>
        <v/>
      </c>
      <c r="L102" s="37" t="str">
        <f>IF(B102="","",VLOOKUP(B102,'سجل حساب الزيادة السنوية'!$B$6:$Q$205,11,0))</f>
        <v/>
      </c>
      <c r="M102" s="37" t="str">
        <f>IF(B102="","",VLOOKUP(B102,'سجل حساب الزيادة السنوية'!$B$6:$Q$205,12,0))</f>
        <v/>
      </c>
      <c r="N102" s="37" t="str">
        <f>IF(B102="","",VLOOKUP(B102,'سجل حساب الزيادة السنوية'!$B$6:$Q$205,13,0))</f>
        <v/>
      </c>
      <c r="O102" s="37" t="str">
        <f>IF(B102="","",VLOOKUP(B102,'سجل حساب الزيادة السنوية'!$B$6:$Q$205,14,0))</f>
        <v/>
      </c>
      <c r="P102" s="37" t="str">
        <f>IF(B102="","",VLOOKUP(B102,'سجل حساب الزيادة السنوية'!$B$6:$Q$205,15,0))</f>
        <v/>
      </c>
      <c r="Q102" s="37" t="str">
        <f>IF(B102="","",VLOOKUP(B102,'سجل حساب الزيادة السنوية'!$B$6:$Q$205,16,0))</f>
        <v/>
      </c>
    </row>
    <row r="103" spans="1:17" ht="22.5" customHeight="1" x14ac:dyDescent="0.25">
      <c r="A103" s="32" t="str">
        <f>IF(B103="","",SUBTOTAL(3,B$7:B103))</f>
        <v/>
      </c>
      <c r="B103" s="32" t="str">
        <f>IF('سجل حساب الزيادة السنوية'!B102="","",'سجل حساب الزيادة السنوية'!B102)</f>
        <v/>
      </c>
      <c r="C103" s="32" t="str">
        <f>IF(B103="","",VLOOKUP(B103,'سجل حساب الزيادة السنوية'!$B$6:$Q$205,2,0))</f>
        <v/>
      </c>
      <c r="D103" s="32" t="str">
        <f>IF(B103="","",VLOOKUP(B103,'سجل حساب الزيادة السنوية'!$B$6:$Q$205,3,0))</f>
        <v/>
      </c>
      <c r="E103" s="32" t="str">
        <f>IF(B103="","",VLOOKUP(B103,'سجل حساب الزيادة السنوية'!$B$6:$Q$205,4,0))</f>
        <v/>
      </c>
      <c r="F103" s="36" t="str">
        <f>IF(B103="","",VLOOKUP(B103,'سجل حساب الزيادة السنوية'!$B$6:$Q$205,5,0))</f>
        <v/>
      </c>
      <c r="G103" s="32" t="str">
        <f>IF(B103="","",VLOOKUP(B103,'سجل حساب الزيادة السنوية'!$B$6:$Q$205,6,0))</f>
        <v/>
      </c>
      <c r="H103" s="32" t="str">
        <f>IF(B103="","",VLOOKUP(B103,'سجل حساب الزيادة السنوية'!$B$6:$Q$205,7,0))</f>
        <v/>
      </c>
      <c r="I103" s="33" t="str">
        <f>IF(B103="","",VLOOKUP(B103,'سجل حساب الزيادة السنوية'!$B$6:$Q$205,8,0))</f>
        <v/>
      </c>
      <c r="J103" s="61" t="str">
        <f>IF(B103="","",VLOOKUP(B103,'سجل حساب الزيادة السنوية'!$B$6:$Q$205,9,0))</f>
        <v/>
      </c>
      <c r="K103" s="59" t="str">
        <f>IF(B103="","",VLOOKUP(B103,'سجل حساب الزيادة السنوية'!$B$6:$Q$205,10,0))</f>
        <v/>
      </c>
      <c r="L103" s="37" t="str">
        <f>IF(B103="","",VLOOKUP(B103,'سجل حساب الزيادة السنوية'!$B$6:$Q$205,11,0))</f>
        <v/>
      </c>
      <c r="M103" s="37" t="str">
        <f>IF(B103="","",VLOOKUP(B103,'سجل حساب الزيادة السنوية'!$B$6:$Q$205,12,0))</f>
        <v/>
      </c>
      <c r="N103" s="37" t="str">
        <f>IF(B103="","",VLOOKUP(B103,'سجل حساب الزيادة السنوية'!$B$6:$Q$205,13,0))</f>
        <v/>
      </c>
      <c r="O103" s="37" t="str">
        <f>IF(B103="","",VLOOKUP(B103,'سجل حساب الزيادة السنوية'!$B$6:$Q$205,14,0))</f>
        <v/>
      </c>
      <c r="P103" s="37" t="str">
        <f>IF(B103="","",VLOOKUP(B103,'سجل حساب الزيادة السنوية'!$B$6:$Q$205,15,0))</f>
        <v/>
      </c>
      <c r="Q103" s="37" t="str">
        <f>IF(B103="","",VLOOKUP(B103,'سجل حساب الزيادة السنوية'!$B$6:$Q$205,16,0))</f>
        <v/>
      </c>
    </row>
    <row r="104" spans="1:17" ht="22.5" customHeight="1" x14ac:dyDescent="0.25">
      <c r="A104" s="32" t="str">
        <f>IF(B104="","",SUBTOTAL(3,B$7:B104))</f>
        <v/>
      </c>
      <c r="B104" s="32" t="str">
        <f>IF('سجل حساب الزيادة السنوية'!B103="","",'سجل حساب الزيادة السنوية'!B103)</f>
        <v/>
      </c>
      <c r="C104" s="32" t="str">
        <f>IF(B104="","",VLOOKUP(B104,'سجل حساب الزيادة السنوية'!$B$6:$Q$205,2,0))</f>
        <v/>
      </c>
      <c r="D104" s="32" t="str">
        <f>IF(B104="","",VLOOKUP(B104,'سجل حساب الزيادة السنوية'!$B$6:$Q$205,3,0))</f>
        <v/>
      </c>
      <c r="E104" s="32" t="str">
        <f>IF(B104="","",VLOOKUP(B104,'سجل حساب الزيادة السنوية'!$B$6:$Q$205,4,0))</f>
        <v/>
      </c>
      <c r="F104" s="36" t="str">
        <f>IF(B104="","",VLOOKUP(B104,'سجل حساب الزيادة السنوية'!$B$6:$Q$205,5,0))</f>
        <v/>
      </c>
      <c r="G104" s="32" t="str">
        <f>IF(B104="","",VLOOKUP(B104,'سجل حساب الزيادة السنوية'!$B$6:$Q$205,6,0))</f>
        <v/>
      </c>
      <c r="H104" s="32" t="str">
        <f>IF(B104="","",VLOOKUP(B104,'سجل حساب الزيادة السنوية'!$B$6:$Q$205,7,0))</f>
        <v/>
      </c>
      <c r="I104" s="33" t="str">
        <f>IF(B104="","",VLOOKUP(B104,'سجل حساب الزيادة السنوية'!$B$6:$Q$205,8,0))</f>
        <v/>
      </c>
      <c r="J104" s="61" t="str">
        <f>IF(B104="","",VLOOKUP(B104,'سجل حساب الزيادة السنوية'!$B$6:$Q$205,9,0))</f>
        <v/>
      </c>
      <c r="K104" s="59" t="str">
        <f>IF(B104="","",VLOOKUP(B104,'سجل حساب الزيادة السنوية'!$B$6:$Q$205,10,0))</f>
        <v/>
      </c>
      <c r="L104" s="37" t="str">
        <f>IF(B104="","",VLOOKUP(B104,'سجل حساب الزيادة السنوية'!$B$6:$Q$205,11,0))</f>
        <v/>
      </c>
      <c r="M104" s="37" t="str">
        <f>IF(B104="","",VLOOKUP(B104,'سجل حساب الزيادة السنوية'!$B$6:$Q$205,12,0))</f>
        <v/>
      </c>
      <c r="N104" s="37" t="str">
        <f>IF(B104="","",VLOOKUP(B104,'سجل حساب الزيادة السنوية'!$B$6:$Q$205,13,0))</f>
        <v/>
      </c>
      <c r="O104" s="37" t="str">
        <f>IF(B104="","",VLOOKUP(B104,'سجل حساب الزيادة السنوية'!$B$6:$Q$205,14,0))</f>
        <v/>
      </c>
      <c r="P104" s="37" t="str">
        <f>IF(B104="","",VLOOKUP(B104,'سجل حساب الزيادة السنوية'!$B$6:$Q$205,15,0))</f>
        <v/>
      </c>
      <c r="Q104" s="37" t="str">
        <f>IF(B104="","",VLOOKUP(B104,'سجل حساب الزيادة السنوية'!$B$6:$Q$205,16,0))</f>
        <v/>
      </c>
    </row>
    <row r="105" spans="1:17" ht="22.5" customHeight="1" x14ac:dyDescent="0.25">
      <c r="A105" s="32" t="str">
        <f>IF(B105="","",SUBTOTAL(3,B$7:B105))</f>
        <v/>
      </c>
      <c r="B105" s="32" t="str">
        <f>IF('سجل حساب الزيادة السنوية'!B104="","",'سجل حساب الزيادة السنوية'!B104)</f>
        <v/>
      </c>
      <c r="C105" s="32" t="str">
        <f>IF(B105="","",VLOOKUP(B105,'سجل حساب الزيادة السنوية'!$B$6:$Q$205,2,0))</f>
        <v/>
      </c>
      <c r="D105" s="32" t="str">
        <f>IF(B105="","",VLOOKUP(B105,'سجل حساب الزيادة السنوية'!$B$6:$Q$205,3,0))</f>
        <v/>
      </c>
      <c r="E105" s="32" t="str">
        <f>IF(B105="","",VLOOKUP(B105,'سجل حساب الزيادة السنوية'!$B$6:$Q$205,4,0))</f>
        <v/>
      </c>
      <c r="F105" s="36" t="str">
        <f>IF(B105="","",VLOOKUP(B105,'سجل حساب الزيادة السنوية'!$B$6:$Q$205,5,0))</f>
        <v/>
      </c>
      <c r="G105" s="32" t="str">
        <f>IF(B105="","",VLOOKUP(B105,'سجل حساب الزيادة السنوية'!$B$6:$Q$205,6,0))</f>
        <v/>
      </c>
      <c r="H105" s="32" t="str">
        <f>IF(B105="","",VLOOKUP(B105,'سجل حساب الزيادة السنوية'!$B$6:$Q$205,7,0))</f>
        <v/>
      </c>
      <c r="I105" s="33" t="str">
        <f>IF(B105="","",VLOOKUP(B105,'سجل حساب الزيادة السنوية'!$B$6:$Q$205,8,0))</f>
        <v/>
      </c>
      <c r="J105" s="61" t="str">
        <f>IF(B105="","",VLOOKUP(B105,'سجل حساب الزيادة السنوية'!$B$6:$Q$205,9,0))</f>
        <v/>
      </c>
      <c r="K105" s="59" t="str">
        <f>IF(B105="","",VLOOKUP(B105,'سجل حساب الزيادة السنوية'!$B$6:$Q$205,10,0))</f>
        <v/>
      </c>
      <c r="L105" s="37" t="str">
        <f>IF(B105="","",VLOOKUP(B105,'سجل حساب الزيادة السنوية'!$B$6:$Q$205,11,0))</f>
        <v/>
      </c>
      <c r="M105" s="37" t="str">
        <f>IF(B105="","",VLOOKUP(B105,'سجل حساب الزيادة السنوية'!$B$6:$Q$205,12,0))</f>
        <v/>
      </c>
      <c r="N105" s="37" t="str">
        <f>IF(B105="","",VLOOKUP(B105,'سجل حساب الزيادة السنوية'!$B$6:$Q$205,13,0))</f>
        <v/>
      </c>
      <c r="O105" s="37" t="str">
        <f>IF(B105="","",VLOOKUP(B105,'سجل حساب الزيادة السنوية'!$B$6:$Q$205,14,0))</f>
        <v/>
      </c>
      <c r="P105" s="37" t="str">
        <f>IF(B105="","",VLOOKUP(B105,'سجل حساب الزيادة السنوية'!$B$6:$Q$205,15,0))</f>
        <v/>
      </c>
      <c r="Q105" s="37" t="str">
        <f>IF(B105="","",VLOOKUP(B105,'سجل حساب الزيادة السنوية'!$B$6:$Q$205,16,0))</f>
        <v/>
      </c>
    </row>
    <row r="106" spans="1:17" ht="22.5" customHeight="1" x14ac:dyDescent="0.25">
      <c r="A106" s="32" t="str">
        <f>IF(B106="","",SUBTOTAL(3,B$7:B106))</f>
        <v/>
      </c>
      <c r="B106" s="32" t="str">
        <f>IF('سجل حساب الزيادة السنوية'!B105="","",'سجل حساب الزيادة السنوية'!B105)</f>
        <v/>
      </c>
      <c r="C106" s="32" t="str">
        <f>IF(B106="","",VLOOKUP(B106,'سجل حساب الزيادة السنوية'!$B$6:$Q$205,2,0))</f>
        <v/>
      </c>
      <c r="D106" s="32" t="str">
        <f>IF(B106="","",VLOOKUP(B106,'سجل حساب الزيادة السنوية'!$B$6:$Q$205,3,0))</f>
        <v/>
      </c>
      <c r="E106" s="32" t="str">
        <f>IF(B106="","",VLOOKUP(B106,'سجل حساب الزيادة السنوية'!$B$6:$Q$205,4,0))</f>
        <v/>
      </c>
      <c r="F106" s="36" t="str">
        <f>IF(B106="","",VLOOKUP(B106,'سجل حساب الزيادة السنوية'!$B$6:$Q$205,5,0))</f>
        <v/>
      </c>
      <c r="G106" s="32" t="str">
        <f>IF(B106="","",VLOOKUP(B106,'سجل حساب الزيادة السنوية'!$B$6:$Q$205,6,0))</f>
        <v/>
      </c>
      <c r="H106" s="32" t="str">
        <f>IF(B106="","",VLOOKUP(B106,'سجل حساب الزيادة السنوية'!$B$6:$Q$205,7,0))</f>
        <v/>
      </c>
      <c r="I106" s="33" t="str">
        <f>IF(B106="","",VLOOKUP(B106,'سجل حساب الزيادة السنوية'!$B$6:$Q$205,8,0))</f>
        <v/>
      </c>
      <c r="J106" s="61" t="str">
        <f>IF(B106="","",VLOOKUP(B106,'سجل حساب الزيادة السنوية'!$B$6:$Q$205,9,0))</f>
        <v/>
      </c>
      <c r="K106" s="59" t="str">
        <f>IF(B106="","",VLOOKUP(B106,'سجل حساب الزيادة السنوية'!$B$6:$Q$205,10,0))</f>
        <v/>
      </c>
      <c r="L106" s="37" t="str">
        <f>IF(B106="","",VLOOKUP(B106,'سجل حساب الزيادة السنوية'!$B$6:$Q$205,11,0))</f>
        <v/>
      </c>
      <c r="M106" s="37" t="str">
        <f>IF(B106="","",VLOOKUP(B106,'سجل حساب الزيادة السنوية'!$B$6:$Q$205,12,0))</f>
        <v/>
      </c>
      <c r="N106" s="37" t="str">
        <f>IF(B106="","",VLOOKUP(B106,'سجل حساب الزيادة السنوية'!$B$6:$Q$205,13,0))</f>
        <v/>
      </c>
      <c r="O106" s="37" t="str">
        <f>IF(B106="","",VLOOKUP(B106,'سجل حساب الزيادة السنوية'!$B$6:$Q$205,14,0))</f>
        <v/>
      </c>
      <c r="P106" s="37" t="str">
        <f>IF(B106="","",VLOOKUP(B106,'سجل حساب الزيادة السنوية'!$B$6:$Q$205,15,0))</f>
        <v/>
      </c>
      <c r="Q106" s="37" t="str">
        <f>IF(B106="","",VLOOKUP(B106,'سجل حساب الزيادة السنوية'!$B$6:$Q$205,16,0))</f>
        <v/>
      </c>
    </row>
    <row r="107" spans="1:17" ht="22.5" customHeight="1" x14ac:dyDescent="0.25">
      <c r="A107" s="32" t="str">
        <f>IF(B107="","",SUBTOTAL(3,B$7:B107))</f>
        <v/>
      </c>
      <c r="B107" s="32" t="str">
        <f>IF('سجل حساب الزيادة السنوية'!B106="","",'سجل حساب الزيادة السنوية'!B106)</f>
        <v/>
      </c>
      <c r="C107" s="32" t="str">
        <f>IF(B107="","",VLOOKUP(B107,'سجل حساب الزيادة السنوية'!$B$6:$Q$205,2,0))</f>
        <v/>
      </c>
      <c r="D107" s="32" t="str">
        <f>IF(B107="","",VLOOKUP(B107,'سجل حساب الزيادة السنوية'!$B$6:$Q$205,3,0))</f>
        <v/>
      </c>
      <c r="E107" s="32" t="str">
        <f>IF(B107="","",VLOOKUP(B107,'سجل حساب الزيادة السنوية'!$B$6:$Q$205,4,0))</f>
        <v/>
      </c>
      <c r="F107" s="36" t="str">
        <f>IF(B107="","",VLOOKUP(B107,'سجل حساب الزيادة السنوية'!$B$6:$Q$205,5,0))</f>
        <v/>
      </c>
      <c r="G107" s="32" t="str">
        <f>IF(B107="","",VLOOKUP(B107,'سجل حساب الزيادة السنوية'!$B$6:$Q$205,6,0))</f>
        <v/>
      </c>
      <c r="H107" s="32" t="str">
        <f>IF(B107="","",VLOOKUP(B107,'سجل حساب الزيادة السنوية'!$B$6:$Q$205,7,0))</f>
        <v/>
      </c>
      <c r="I107" s="33" t="str">
        <f>IF(B107="","",VLOOKUP(B107,'سجل حساب الزيادة السنوية'!$B$6:$Q$205,8,0))</f>
        <v/>
      </c>
      <c r="J107" s="61" t="str">
        <f>IF(B107="","",VLOOKUP(B107,'سجل حساب الزيادة السنوية'!$B$6:$Q$205,9,0))</f>
        <v/>
      </c>
      <c r="K107" s="59" t="str">
        <f>IF(B107="","",VLOOKUP(B107,'سجل حساب الزيادة السنوية'!$B$6:$Q$205,10,0))</f>
        <v/>
      </c>
      <c r="L107" s="37" t="str">
        <f>IF(B107="","",VLOOKUP(B107,'سجل حساب الزيادة السنوية'!$B$6:$Q$205,11,0))</f>
        <v/>
      </c>
      <c r="M107" s="37" t="str">
        <f>IF(B107="","",VLOOKUP(B107,'سجل حساب الزيادة السنوية'!$B$6:$Q$205,12,0))</f>
        <v/>
      </c>
      <c r="N107" s="37" t="str">
        <f>IF(B107="","",VLOOKUP(B107,'سجل حساب الزيادة السنوية'!$B$6:$Q$205,13,0))</f>
        <v/>
      </c>
      <c r="O107" s="37" t="str">
        <f>IF(B107="","",VLOOKUP(B107,'سجل حساب الزيادة السنوية'!$B$6:$Q$205,14,0))</f>
        <v/>
      </c>
      <c r="P107" s="37" t="str">
        <f>IF(B107="","",VLOOKUP(B107,'سجل حساب الزيادة السنوية'!$B$6:$Q$205,15,0))</f>
        <v/>
      </c>
      <c r="Q107" s="37" t="str">
        <f>IF(B107="","",VLOOKUP(B107,'سجل حساب الزيادة السنوية'!$B$6:$Q$205,16,0))</f>
        <v/>
      </c>
    </row>
    <row r="108" spans="1:17" ht="22.5" customHeight="1" x14ac:dyDescent="0.25">
      <c r="A108" s="32" t="str">
        <f>IF(B108="","",SUBTOTAL(3,B$7:B108))</f>
        <v/>
      </c>
      <c r="B108" s="32" t="str">
        <f>IF('سجل حساب الزيادة السنوية'!B107="","",'سجل حساب الزيادة السنوية'!B107)</f>
        <v/>
      </c>
      <c r="C108" s="32" t="str">
        <f>IF(B108="","",VLOOKUP(B108,'سجل حساب الزيادة السنوية'!$B$6:$Q$205,2,0))</f>
        <v/>
      </c>
      <c r="D108" s="32" t="str">
        <f>IF(B108="","",VLOOKUP(B108,'سجل حساب الزيادة السنوية'!$B$6:$Q$205,3,0))</f>
        <v/>
      </c>
      <c r="E108" s="32" t="str">
        <f>IF(B108="","",VLOOKUP(B108,'سجل حساب الزيادة السنوية'!$B$6:$Q$205,4,0))</f>
        <v/>
      </c>
      <c r="F108" s="36" t="str">
        <f>IF(B108="","",VLOOKUP(B108,'سجل حساب الزيادة السنوية'!$B$6:$Q$205,5,0))</f>
        <v/>
      </c>
      <c r="G108" s="32" t="str">
        <f>IF(B108="","",VLOOKUP(B108,'سجل حساب الزيادة السنوية'!$B$6:$Q$205,6,0))</f>
        <v/>
      </c>
      <c r="H108" s="32" t="str">
        <f>IF(B108="","",VLOOKUP(B108,'سجل حساب الزيادة السنوية'!$B$6:$Q$205,7,0))</f>
        <v/>
      </c>
      <c r="I108" s="33" t="str">
        <f>IF(B108="","",VLOOKUP(B108,'سجل حساب الزيادة السنوية'!$B$6:$Q$205,8,0))</f>
        <v/>
      </c>
      <c r="J108" s="61" t="str">
        <f>IF(B108="","",VLOOKUP(B108,'سجل حساب الزيادة السنوية'!$B$6:$Q$205,9,0))</f>
        <v/>
      </c>
      <c r="K108" s="59" t="str">
        <f>IF(B108="","",VLOOKUP(B108,'سجل حساب الزيادة السنوية'!$B$6:$Q$205,10,0))</f>
        <v/>
      </c>
      <c r="L108" s="37" t="str">
        <f>IF(B108="","",VLOOKUP(B108,'سجل حساب الزيادة السنوية'!$B$6:$Q$205,11,0))</f>
        <v/>
      </c>
      <c r="M108" s="37" t="str">
        <f>IF(B108="","",VLOOKUP(B108,'سجل حساب الزيادة السنوية'!$B$6:$Q$205,12,0))</f>
        <v/>
      </c>
      <c r="N108" s="37" t="str">
        <f>IF(B108="","",VLOOKUP(B108,'سجل حساب الزيادة السنوية'!$B$6:$Q$205,13,0))</f>
        <v/>
      </c>
      <c r="O108" s="37" t="str">
        <f>IF(B108="","",VLOOKUP(B108,'سجل حساب الزيادة السنوية'!$B$6:$Q$205,14,0))</f>
        <v/>
      </c>
      <c r="P108" s="37" t="str">
        <f>IF(B108="","",VLOOKUP(B108,'سجل حساب الزيادة السنوية'!$B$6:$Q$205,15,0))</f>
        <v/>
      </c>
      <c r="Q108" s="37" t="str">
        <f>IF(B108="","",VLOOKUP(B108,'سجل حساب الزيادة السنوية'!$B$6:$Q$205,16,0))</f>
        <v/>
      </c>
    </row>
    <row r="109" spans="1:17" ht="22.5" customHeight="1" x14ac:dyDescent="0.25">
      <c r="A109" s="32" t="str">
        <f>IF(B109="","",SUBTOTAL(3,B$7:B109))</f>
        <v/>
      </c>
      <c r="B109" s="32" t="str">
        <f>IF('سجل حساب الزيادة السنوية'!B108="","",'سجل حساب الزيادة السنوية'!B108)</f>
        <v/>
      </c>
      <c r="C109" s="32" t="str">
        <f>IF(B109="","",VLOOKUP(B109,'سجل حساب الزيادة السنوية'!$B$6:$Q$205,2,0))</f>
        <v/>
      </c>
      <c r="D109" s="32" t="str">
        <f>IF(B109="","",VLOOKUP(B109,'سجل حساب الزيادة السنوية'!$B$6:$Q$205,3,0))</f>
        <v/>
      </c>
      <c r="E109" s="32" t="str">
        <f>IF(B109="","",VLOOKUP(B109,'سجل حساب الزيادة السنوية'!$B$6:$Q$205,4,0))</f>
        <v/>
      </c>
      <c r="F109" s="36" t="str">
        <f>IF(B109="","",VLOOKUP(B109,'سجل حساب الزيادة السنوية'!$B$6:$Q$205,5,0))</f>
        <v/>
      </c>
      <c r="G109" s="32" t="str">
        <f>IF(B109="","",VLOOKUP(B109,'سجل حساب الزيادة السنوية'!$B$6:$Q$205,6,0))</f>
        <v/>
      </c>
      <c r="H109" s="32" t="str">
        <f>IF(B109="","",VLOOKUP(B109,'سجل حساب الزيادة السنوية'!$B$6:$Q$205,7,0))</f>
        <v/>
      </c>
      <c r="I109" s="33" t="str">
        <f>IF(B109="","",VLOOKUP(B109,'سجل حساب الزيادة السنوية'!$B$6:$Q$205,8,0))</f>
        <v/>
      </c>
      <c r="J109" s="61" t="str">
        <f>IF(B109="","",VLOOKUP(B109,'سجل حساب الزيادة السنوية'!$B$6:$Q$205,9,0))</f>
        <v/>
      </c>
      <c r="K109" s="59" t="str">
        <f>IF(B109="","",VLOOKUP(B109,'سجل حساب الزيادة السنوية'!$B$6:$Q$205,10,0))</f>
        <v/>
      </c>
      <c r="L109" s="37" t="str">
        <f>IF(B109="","",VLOOKUP(B109,'سجل حساب الزيادة السنوية'!$B$6:$Q$205,11,0))</f>
        <v/>
      </c>
      <c r="M109" s="37" t="str">
        <f>IF(B109="","",VLOOKUP(B109,'سجل حساب الزيادة السنوية'!$B$6:$Q$205,12,0))</f>
        <v/>
      </c>
      <c r="N109" s="37" t="str">
        <f>IF(B109="","",VLOOKUP(B109,'سجل حساب الزيادة السنوية'!$B$6:$Q$205,13,0))</f>
        <v/>
      </c>
      <c r="O109" s="37" t="str">
        <f>IF(B109="","",VLOOKUP(B109,'سجل حساب الزيادة السنوية'!$B$6:$Q$205,14,0))</f>
        <v/>
      </c>
      <c r="P109" s="37" t="str">
        <f>IF(B109="","",VLOOKUP(B109,'سجل حساب الزيادة السنوية'!$B$6:$Q$205,15,0))</f>
        <v/>
      </c>
      <c r="Q109" s="37" t="str">
        <f>IF(B109="","",VLOOKUP(B109,'سجل حساب الزيادة السنوية'!$B$6:$Q$205,16,0))</f>
        <v/>
      </c>
    </row>
    <row r="110" spans="1:17" ht="22.5" customHeight="1" x14ac:dyDescent="0.25">
      <c r="A110" s="32" t="str">
        <f>IF(B110="","",SUBTOTAL(3,B$7:B110))</f>
        <v/>
      </c>
      <c r="B110" s="32" t="str">
        <f>IF('سجل حساب الزيادة السنوية'!B109="","",'سجل حساب الزيادة السنوية'!B109)</f>
        <v/>
      </c>
      <c r="C110" s="32" t="str">
        <f>IF(B110="","",VLOOKUP(B110,'سجل حساب الزيادة السنوية'!$B$6:$Q$205,2,0))</f>
        <v/>
      </c>
      <c r="D110" s="32" t="str">
        <f>IF(B110="","",VLOOKUP(B110,'سجل حساب الزيادة السنوية'!$B$6:$Q$205,3,0))</f>
        <v/>
      </c>
      <c r="E110" s="32" t="str">
        <f>IF(B110="","",VLOOKUP(B110,'سجل حساب الزيادة السنوية'!$B$6:$Q$205,4,0))</f>
        <v/>
      </c>
      <c r="F110" s="36" t="str">
        <f>IF(B110="","",VLOOKUP(B110,'سجل حساب الزيادة السنوية'!$B$6:$Q$205,5,0))</f>
        <v/>
      </c>
      <c r="G110" s="32" t="str">
        <f>IF(B110="","",VLOOKUP(B110,'سجل حساب الزيادة السنوية'!$B$6:$Q$205,6,0))</f>
        <v/>
      </c>
      <c r="H110" s="32" t="str">
        <f>IF(B110="","",VLOOKUP(B110,'سجل حساب الزيادة السنوية'!$B$6:$Q$205,7,0))</f>
        <v/>
      </c>
      <c r="I110" s="33" t="str">
        <f>IF(B110="","",VLOOKUP(B110,'سجل حساب الزيادة السنوية'!$B$6:$Q$205,8,0))</f>
        <v/>
      </c>
      <c r="J110" s="61" t="str">
        <f>IF(B110="","",VLOOKUP(B110,'سجل حساب الزيادة السنوية'!$B$6:$Q$205,9,0))</f>
        <v/>
      </c>
      <c r="K110" s="59" t="str">
        <f>IF(B110="","",VLOOKUP(B110,'سجل حساب الزيادة السنوية'!$B$6:$Q$205,10,0))</f>
        <v/>
      </c>
      <c r="L110" s="37" t="str">
        <f>IF(B110="","",VLOOKUP(B110,'سجل حساب الزيادة السنوية'!$B$6:$Q$205,11,0))</f>
        <v/>
      </c>
      <c r="M110" s="37" t="str">
        <f>IF(B110="","",VLOOKUP(B110,'سجل حساب الزيادة السنوية'!$B$6:$Q$205,12,0))</f>
        <v/>
      </c>
      <c r="N110" s="37" t="str">
        <f>IF(B110="","",VLOOKUP(B110,'سجل حساب الزيادة السنوية'!$B$6:$Q$205,13,0))</f>
        <v/>
      </c>
      <c r="O110" s="37" t="str">
        <f>IF(B110="","",VLOOKUP(B110,'سجل حساب الزيادة السنوية'!$B$6:$Q$205,14,0))</f>
        <v/>
      </c>
      <c r="P110" s="37" t="str">
        <f>IF(B110="","",VLOOKUP(B110,'سجل حساب الزيادة السنوية'!$B$6:$Q$205,15,0))</f>
        <v/>
      </c>
      <c r="Q110" s="37" t="str">
        <f>IF(B110="","",VLOOKUP(B110,'سجل حساب الزيادة السنوية'!$B$6:$Q$205,16,0))</f>
        <v/>
      </c>
    </row>
    <row r="111" spans="1:17" ht="22.5" customHeight="1" x14ac:dyDescent="0.25">
      <c r="A111" s="32" t="str">
        <f>IF(B111="","",SUBTOTAL(3,B$7:B111))</f>
        <v/>
      </c>
      <c r="B111" s="32" t="str">
        <f>IF('سجل حساب الزيادة السنوية'!B110="","",'سجل حساب الزيادة السنوية'!B110)</f>
        <v/>
      </c>
      <c r="C111" s="32" t="str">
        <f>IF(B111="","",VLOOKUP(B111,'سجل حساب الزيادة السنوية'!$B$6:$Q$205,2,0))</f>
        <v/>
      </c>
      <c r="D111" s="32" t="str">
        <f>IF(B111="","",VLOOKUP(B111,'سجل حساب الزيادة السنوية'!$B$6:$Q$205,3,0))</f>
        <v/>
      </c>
      <c r="E111" s="32" t="str">
        <f>IF(B111="","",VLOOKUP(B111,'سجل حساب الزيادة السنوية'!$B$6:$Q$205,4,0))</f>
        <v/>
      </c>
      <c r="F111" s="36" t="str">
        <f>IF(B111="","",VLOOKUP(B111,'سجل حساب الزيادة السنوية'!$B$6:$Q$205,5,0))</f>
        <v/>
      </c>
      <c r="G111" s="32" t="str">
        <f>IF(B111="","",VLOOKUP(B111,'سجل حساب الزيادة السنوية'!$B$6:$Q$205,6,0))</f>
        <v/>
      </c>
      <c r="H111" s="32" t="str">
        <f>IF(B111="","",VLOOKUP(B111,'سجل حساب الزيادة السنوية'!$B$6:$Q$205,7,0))</f>
        <v/>
      </c>
      <c r="I111" s="33" t="str">
        <f>IF(B111="","",VLOOKUP(B111,'سجل حساب الزيادة السنوية'!$B$6:$Q$205,8,0))</f>
        <v/>
      </c>
      <c r="J111" s="61" t="str">
        <f>IF(B111="","",VLOOKUP(B111,'سجل حساب الزيادة السنوية'!$B$6:$Q$205,9,0))</f>
        <v/>
      </c>
      <c r="K111" s="59" t="str">
        <f>IF(B111="","",VLOOKUP(B111,'سجل حساب الزيادة السنوية'!$B$6:$Q$205,10,0))</f>
        <v/>
      </c>
      <c r="L111" s="37" t="str">
        <f>IF(B111="","",VLOOKUP(B111,'سجل حساب الزيادة السنوية'!$B$6:$Q$205,11,0))</f>
        <v/>
      </c>
      <c r="M111" s="37" t="str">
        <f>IF(B111="","",VLOOKUP(B111,'سجل حساب الزيادة السنوية'!$B$6:$Q$205,12,0))</f>
        <v/>
      </c>
      <c r="N111" s="37" t="str">
        <f>IF(B111="","",VLOOKUP(B111,'سجل حساب الزيادة السنوية'!$B$6:$Q$205,13,0))</f>
        <v/>
      </c>
      <c r="O111" s="37" t="str">
        <f>IF(B111="","",VLOOKUP(B111,'سجل حساب الزيادة السنوية'!$B$6:$Q$205,14,0))</f>
        <v/>
      </c>
      <c r="P111" s="37" t="str">
        <f>IF(B111="","",VLOOKUP(B111,'سجل حساب الزيادة السنوية'!$B$6:$Q$205,15,0))</f>
        <v/>
      </c>
      <c r="Q111" s="37" t="str">
        <f>IF(B111="","",VLOOKUP(B111,'سجل حساب الزيادة السنوية'!$B$6:$Q$205,16,0))</f>
        <v/>
      </c>
    </row>
    <row r="112" spans="1:17" ht="22.5" customHeight="1" x14ac:dyDescent="0.25">
      <c r="A112" s="32" t="str">
        <f>IF(B112="","",SUBTOTAL(3,B$7:B112))</f>
        <v/>
      </c>
      <c r="B112" s="32" t="str">
        <f>IF('سجل حساب الزيادة السنوية'!B111="","",'سجل حساب الزيادة السنوية'!B111)</f>
        <v/>
      </c>
      <c r="C112" s="32" t="str">
        <f>IF(B112="","",VLOOKUP(B112,'سجل حساب الزيادة السنوية'!$B$6:$Q$205,2,0))</f>
        <v/>
      </c>
      <c r="D112" s="32" t="str">
        <f>IF(B112="","",VLOOKUP(B112,'سجل حساب الزيادة السنوية'!$B$6:$Q$205,3,0))</f>
        <v/>
      </c>
      <c r="E112" s="32" t="str">
        <f>IF(B112="","",VLOOKUP(B112,'سجل حساب الزيادة السنوية'!$B$6:$Q$205,4,0))</f>
        <v/>
      </c>
      <c r="F112" s="36" t="str">
        <f>IF(B112="","",VLOOKUP(B112,'سجل حساب الزيادة السنوية'!$B$6:$Q$205,5,0))</f>
        <v/>
      </c>
      <c r="G112" s="32" t="str">
        <f>IF(B112="","",VLOOKUP(B112,'سجل حساب الزيادة السنوية'!$B$6:$Q$205,6,0))</f>
        <v/>
      </c>
      <c r="H112" s="32" t="str">
        <f>IF(B112="","",VLOOKUP(B112,'سجل حساب الزيادة السنوية'!$B$6:$Q$205,7,0))</f>
        <v/>
      </c>
      <c r="I112" s="33" t="str">
        <f>IF(B112="","",VLOOKUP(B112,'سجل حساب الزيادة السنوية'!$B$6:$Q$205,8,0))</f>
        <v/>
      </c>
      <c r="J112" s="61" t="str">
        <f>IF(B112="","",VLOOKUP(B112,'سجل حساب الزيادة السنوية'!$B$6:$Q$205,9,0))</f>
        <v/>
      </c>
      <c r="K112" s="59" t="str">
        <f>IF(B112="","",VLOOKUP(B112,'سجل حساب الزيادة السنوية'!$B$6:$Q$205,10,0))</f>
        <v/>
      </c>
      <c r="L112" s="37" t="str">
        <f>IF(B112="","",VLOOKUP(B112,'سجل حساب الزيادة السنوية'!$B$6:$Q$205,11,0))</f>
        <v/>
      </c>
      <c r="M112" s="37" t="str">
        <f>IF(B112="","",VLOOKUP(B112,'سجل حساب الزيادة السنوية'!$B$6:$Q$205,12,0))</f>
        <v/>
      </c>
      <c r="N112" s="37" t="str">
        <f>IF(B112="","",VLOOKUP(B112,'سجل حساب الزيادة السنوية'!$B$6:$Q$205,13,0))</f>
        <v/>
      </c>
      <c r="O112" s="37" t="str">
        <f>IF(B112="","",VLOOKUP(B112,'سجل حساب الزيادة السنوية'!$B$6:$Q$205,14,0))</f>
        <v/>
      </c>
      <c r="P112" s="37" t="str">
        <f>IF(B112="","",VLOOKUP(B112,'سجل حساب الزيادة السنوية'!$B$6:$Q$205,15,0))</f>
        <v/>
      </c>
      <c r="Q112" s="37" t="str">
        <f>IF(B112="","",VLOOKUP(B112,'سجل حساب الزيادة السنوية'!$B$6:$Q$205,16,0))</f>
        <v/>
      </c>
    </row>
    <row r="113" spans="1:17" ht="22.5" customHeight="1" x14ac:dyDescent="0.25">
      <c r="A113" s="32" t="str">
        <f>IF(B113="","",SUBTOTAL(3,B$7:B113))</f>
        <v/>
      </c>
      <c r="B113" s="32" t="str">
        <f>IF('سجل حساب الزيادة السنوية'!B112="","",'سجل حساب الزيادة السنوية'!B112)</f>
        <v/>
      </c>
      <c r="C113" s="32" t="str">
        <f>IF(B113="","",VLOOKUP(B113,'سجل حساب الزيادة السنوية'!$B$6:$Q$205,2,0))</f>
        <v/>
      </c>
      <c r="D113" s="32" t="str">
        <f>IF(B113="","",VLOOKUP(B113,'سجل حساب الزيادة السنوية'!$B$6:$Q$205,3,0))</f>
        <v/>
      </c>
      <c r="E113" s="32" t="str">
        <f>IF(B113="","",VLOOKUP(B113,'سجل حساب الزيادة السنوية'!$B$6:$Q$205,4,0))</f>
        <v/>
      </c>
      <c r="F113" s="36" t="str">
        <f>IF(B113="","",VLOOKUP(B113,'سجل حساب الزيادة السنوية'!$B$6:$Q$205,5,0))</f>
        <v/>
      </c>
      <c r="G113" s="32" t="str">
        <f>IF(B113="","",VLOOKUP(B113,'سجل حساب الزيادة السنوية'!$B$6:$Q$205,6,0))</f>
        <v/>
      </c>
      <c r="H113" s="32" t="str">
        <f>IF(B113="","",VLOOKUP(B113,'سجل حساب الزيادة السنوية'!$B$6:$Q$205,7,0))</f>
        <v/>
      </c>
      <c r="I113" s="33" t="str">
        <f>IF(B113="","",VLOOKUP(B113,'سجل حساب الزيادة السنوية'!$B$6:$Q$205,8,0))</f>
        <v/>
      </c>
      <c r="J113" s="61" t="str">
        <f>IF(B113="","",VLOOKUP(B113,'سجل حساب الزيادة السنوية'!$B$6:$Q$205,9,0))</f>
        <v/>
      </c>
      <c r="K113" s="59" t="str">
        <f>IF(B113="","",VLOOKUP(B113,'سجل حساب الزيادة السنوية'!$B$6:$Q$205,10,0))</f>
        <v/>
      </c>
      <c r="L113" s="37" t="str">
        <f>IF(B113="","",VLOOKUP(B113,'سجل حساب الزيادة السنوية'!$B$6:$Q$205,11,0))</f>
        <v/>
      </c>
      <c r="M113" s="37" t="str">
        <f>IF(B113="","",VLOOKUP(B113,'سجل حساب الزيادة السنوية'!$B$6:$Q$205,12,0))</f>
        <v/>
      </c>
      <c r="N113" s="37" t="str">
        <f>IF(B113="","",VLOOKUP(B113,'سجل حساب الزيادة السنوية'!$B$6:$Q$205,13,0))</f>
        <v/>
      </c>
      <c r="O113" s="37" t="str">
        <f>IF(B113="","",VLOOKUP(B113,'سجل حساب الزيادة السنوية'!$B$6:$Q$205,14,0))</f>
        <v/>
      </c>
      <c r="P113" s="37" t="str">
        <f>IF(B113="","",VLOOKUP(B113,'سجل حساب الزيادة السنوية'!$B$6:$Q$205,15,0))</f>
        <v/>
      </c>
      <c r="Q113" s="37" t="str">
        <f>IF(B113="","",VLOOKUP(B113,'سجل حساب الزيادة السنوية'!$B$6:$Q$205,16,0))</f>
        <v/>
      </c>
    </row>
    <row r="114" spans="1:17" ht="22.5" customHeight="1" x14ac:dyDescent="0.25">
      <c r="A114" s="32" t="str">
        <f>IF(B114="","",SUBTOTAL(3,B$7:B114))</f>
        <v/>
      </c>
      <c r="B114" s="32" t="str">
        <f>IF('سجل حساب الزيادة السنوية'!B113="","",'سجل حساب الزيادة السنوية'!B113)</f>
        <v/>
      </c>
      <c r="C114" s="32" t="str">
        <f>IF(B114="","",VLOOKUP(B114,'سجل حساب الزيادة السنوية'!$B$6:$Q$205,2,0))</f>
        <v/>
      </c>
      <c r="D114" s="32" t="str">
        <f>IF(B114="","",VLOOKUP(B114,'سجل حساب الزيادة السنوية'!$B$6:$Q$205,3,0))</f>
        <v/>
      </c>
      <c r="E114" s="32" t="str">
        <f>IF(B114="","",VLOOKUP(B114,'سجل حساب الزيادة السنوية'!$B$6:$Q$205,4,0))</f>
        <v/>
      </c>
      <c r="F114" s="36" t="str">
        <f>IF(B114="","",VLOOKUP(B114,'سجل حساب الزيادة السنوية'!$B$6:$Q$205,5,0))</f>
        <v/>
      </c>
      <c r="G114" s="32" t="str">
        <f>IF(B114="","",VLOOKUP(B114,'سجل حساب الزيادة السنوية'!$B$6:$Q$205,6,0))</f>
        <v/>
      </c>
      <c r="H114" s="32" t="str">
        <f>IF(B114="","",VLOOKUP(B114,'سجل حساب الزيادة السنوية'!$B$6:$Q$205,7,0))</f>
        <v/>
      </c>
      <c r="I114" s="33" t="str">
        <f>IF(B114="","",VLOOKUP(B114,'سجل حساب الزيادة السنوية'!$B$6:$Q$205,8,0))</f>
        <v/>
      </c>
      <c r="J114" s="61" t="str">
        <f>IF(B114="","",VLOOKUP(B114,'سجل حساب الزيادة السنوية'!$B$6:$Q$205,9,0))</f>
        <v/>
      </c>
      <c r="K114" s="59" t="str">
        <f>IF(B114="","",VLOOKUP(B114,'سجل حساب الزيادة السنوية'!$B$6:$Q$205,10,0))</f>
        <v/>
      </c>
      <c r="L114" s="37" t="str">
        <f>IF(B114="","",VLOOKUP(B114,'سجل حساب الزيادة السنوية'!$B$6:$Q$205,11,0))</f>
        <v/>
      </c>
      <c r="M114" s="37" t="str">
        <f>IF(B114="","",VLOOKUP(B114,'سجل حساب الزيادة السنوية'!$B$6:$Q$205,12,0))</f>
        <v/>
      </c>
      <c r="N114" s="37" t="str">
        <f>IF(B114="","",VLOOKUP(B114,'سجل حساب الزيادة السنوية'!$B$6:$Q$205,13,0))</f>
        <v/>
      </c>
      <c r="O114" s="37" t="str">
        <f>IF(B114="","",VLOOKUP(B114,'سجل حساب الزيادة السنوية'!$B$6:$Q$205,14,0))</f>
        <v/>
      </c>
      <c r="P114" s="37" t="str">
        <f>IF(B114="","",VLOOKUP(B114,'سجل حساب الزيادة السنوية'!$B$6:$Q$205,15,0))</f>
        <v/>
      </c>
      <c r="Q114" s="37" t="str">
        <f>IF(B114="","",VLOOKUP(B114,'سجل حساب الزيادة السنوية'!$B$6:$Q$205,16,0))</f>
        <v/>
      </c>
    </row>
    <row r="115" spans="1:17" ht="22.5" customHeight="1" x14ac:dyDescent="0.25">
      <c r="A115" s="32" t="str">
        <f>IF(B115="","",SUBTOTAL(3,B$7:B115))</f>
        <v/>
      </c>
      <c r="B115" s="32" t="str">
        <f>IF('سجل حساب الزيادة السنوية'!B114="","",'سجل حساب الزيادة السنوية'!B114)</f>
        <v/>
      </c>
      <c r="C115" s="32" t="str">
        <f>IF(B115="","",VLOOKUP(B115,'سجل حساب الزيادة السنوية'!$B$6:$Q$205,2,0))</f>
        <v/>
      </c>
      <c r="D115" s="32" t="str">
        <f>IF(B115="","",VLOOKUP(B115,'سجل حساب الزيادة السنوية'!$B$6:$Q$205,3,0))</f>
        <v/>
      </c>
      <c r="E115" s="32" t="str">
        <f>IF(B115="","",VLOOKUP(B115,'سجل حساب الزيادة السنوية'!$B$6:$Q$205,4,0))</f>
        <v/>
      </c>
      <c r="F115" s="36" t="str">
        <f>IF(B115="","",VLOOKUP(B115,'سجل حساب الزيادة السنوية'!$B$6:$Q$205,5,0))</f>
        <v/>
      </c>
      <c r="G115" s="32" t="str">
        <f>IF(B115="","",VLOOKUP(B115,'سجل حساب الزيادة السنوية'!$B$6:$Q$205,6,0))</f>
        <v/>
      </c>
      <c r="H115" s="32" t="str">
        <f>IF(B115="","",VLOOKUP(B115,'سجل حساب الزيادة السنوية'!$B$6:$Q$205,7,0))</f>
        <v/>
      </c>
      <c r="I115" s="33" t="str">
        <f>IF(B115="","",VLOOKUP(B115,'سجل حساب الزيادة السنوية'!$B$6:$Q$205,8,0))</f>
        <v/>
      </c>
      <c r="J115" s="61" t="str">
        <f>IF(B115="","",VLOOKUP(B115,'سجل حساب الزيادة السنوية'!$B$6:$Q$205,9,0))</f>
        <v/>
      </c>
      <c r="K115" s="59" t="str">
        <f>IF(B115="","",VLOOKUP(B115,'سجل حساب الزيادة السنوية'!$B$6:$Q$205,10,0))</f>
        <v/>
      </c>
      <c r="L115" s="37" t="str">
        <f>IF(B115="","",VLOOKUP(B115,'سجل حساب الزيادة السنوية'!$B$6:$Q$205,11,0))</f>
        <v/>
      </c>
      <c r="M115" s="37" t="str">
        <f>IF(B115="","",VLOOKUP(B115,'سجل حساب الزيادة السنوية'!$B$6:$Q$205,12,0))</f>
        <v/>
      </c>
      <c r="N115" s="37" t="str">
        <f>IF(B115="","",VLOOKUP(B115,'سجل حساب الزيادة السنوية'!$B$6:$Q$205,13,0))</f>
        <v/>
      </c>
      <c r="O115" s="37" t="str">
        <f>IF(B115="","",VLOOKUP(B115,'سجل حساب الزيادة السنوية'!$B$6:$Q$205,14,0))</f>
        <v/>
      </c>
      <c r="P115" s="37" t="str">
        <f>IF(B115="","",VLOOKUP(B115,'سجل حساب الزيادة السنوية'!$B$6:$Q$205,15,0))</f>
        <v/>
      </c>
      <c r="Q115" s="37" t="str">
        <f>IF(B115="","",VLOOKUP(B115,'سجل حساب الزيادة السنوية'!$B$6:$Q$205,16,0))</f>
        <v/>
      </c>
    </row>
    <row r="116" spans="1:17" ht="22.5" customHeight="1" x14ac:dyDescent="0.25">
      <c r="A116" s="32" t="str">
        <f>IF(B116="","",SUBTOTAL(3,B$7:B116))</f>
        <v/>
      </c>
      <c r="B116" s="32" t="str">
        <f>IF('سجل حساب الزيادة السنوية'!B115="","",'سجل حساب الزيادة السنوية'!B115)</f>
        <v/>
      </c>
      <c r="C116" s="32" t="str">
        <f>IF(B116="","",VLOOKUP(B116,'سجل حساب الزيادة السنوية'!$B$6:$Q$205,2,0))</f>
        <v/>
      </c>
      <c r="D116" s="32" t="str">
        <f>IF(B116="","",VLOOKUP(B116,'سجل حساب الزيادة السنوية'!$B$6:$Q$205,3,0))</f>
        <v/>
      </c>
      <c r="E116" s="32" t="str">
        <f>IF(B116="","",VLOOKUP(B116,'سجل حساب الزيادة السنوية'!$B$6:$Q$205,4,0))</f>
        <v/>
      </c>
      <c r="F116" s="36" t="str">
        <f>IF(B116="","",VLOOKUP(B116,'سجل حساب الزيادة السنوية'!$B$6:$Q$205,5,0))</f>
        <v/>
      </c>
      <c r="G116" s="32" t="str">
        <f>IF(B116="","",VLOOKUP(B116,'سجل حساب الزيادة السنوية'!$B$6:$Q$205,6,0))</f>
        <v/>
      </c>
      <c r="H116" s="32" t="str">
        <f>IF(B116="","",VLOOKUP(B116,'سجل حساب الزيادة السنوية'!$B$6:$Q$205,7,0))</f>
        <v/>
      </c>
      <c r="I116" s="33" t="str">
        <f>IF(B116="","",VLOOKUP(B116,'سجل حساب الزيادة السنوية'!$B$6:$Q$205,8,0))</f>
        <v/>
      </c>
      <c r="J116" s="61" t="str">
        <f>IF(B116="","",VLOOKUP(B116,'سجل حساب الزيادة السنوية'!$B$6:$Q$205,9,0))</f>
        <v/>
      </c>
      <c r="K116" s="59" t="str">
        <f>IF(B116="","",VLOOKUP(B116,'سجل حساب الزيادة السنوية'!$B$6:$Q$205,10,0))</f>
        <v/>
      </c>
      <c r="L116" s="37" t="str">
        <f>IF(B116="","",VLOOKUP(B116,'سجل حساب الزيادة السنوية'!$B$6:$Q$205,11,0))</f>
        <v/>
      </c>
      <c r="M116" s="37" t="str">
        <f>IF(B116="","",VLOOKUP(B116,'سجل حساب الزيادة السنوية'!$B$6:$Q$205,12,0))</f>
        <v/>
      </c>
      <c r="N116" s="37" t="str">
        <f>IF(B116="","",VLOOKUP(B116,'سجل حساب الزيادة السنوية'!$B$6:$Q$205,13,0))</f>
        <v/>
      </c>
      <c r="O116" s="37" t="str">
        <f>IF(B116="","",VLOOKUP(B116,'سجل حساب الزيادة السنوية'!$B$6:$Q$205,14,0))</f>
        <v/>
      </c>
      <c r="P116" s="37" t="str">
        <f>IF(B116="","",VLOOKUP(B116,'سجل حساب الزيادة السنوية'!$B$6:$Q$205,15,0))</f>
        <v/>
      </c>
      <c r="Q116" s="37" t="str">
        <f>IF(B116="","",VLOOKUP(B116,'سجل حساب الزيادة السنوية'!$B$6:$Q$205,16,0))</f>
        <v/>
      </c>
    </row>
    <row r="117" spans="1:17" ht="22.5" customHeight="1" x14ac:dyDescent="0.25">
      <c r="A117" s="32" t="str">
        <f>IF(B117="","",SUBTOTAL(3,B$7:B117))</f>
        <v/>
      </c>
      <c r="B117" s="32" t="str">
        <f>IF('سجل حساب الزيادة السنوية'!B116="","",'سجل حساب الزيادة السنوية'!B116)</f>
        <v/>
      </c>
      <c r="C117" s="32" t="str">
        <f>IF(B117="","",VLOOKUP(B117,'سجل حساب الزيادة السنوية'!$B$6:$Q$205,2,0))</f>
        <v/>
      </c>
      <c r="D117" s="32" t="str">
        <f>IF(B117="","",VLOOKUP(B117,'سجل حساب الزيادة السنوية'!$B$6:$Q$205,3,0))</f>
        <v/>
      </c>
      <c r="E117" s="32" t="str">
        <f>IF(B117="","",VLOOKUP(B117,'سجل حساب الزيادة السنوية'!$B$6:$Q$205,4,0))</f>
        <v/>
      </c>
      <c r="F117" s="36" t="str">
        <f>IF(B117="","",VLOOKUP(B117,'سجل حساب الزيادة السنوية'!$B$6:$Q$205,5,0))</f>
        <v/>
      </c>
      <c r="G117" s="32" t="str">
        <f>IF(B117="","",VLOOKUP(B117,'سجل حساب الزيادة السنوية'!$B$6:$Q$205,6,0))</f>
        <v/>
      </c>
      <c r="H117" s="32" t="str">
        <f>IF(B117="","",VLOOKUP(B117,'سجل حساب الزيادة السنوية'!$B$6:$Q$205,7,0))</f>
        <v/>
      </c>
      <c r="I117" s="33" t="str">
        <f>IF(B117="","",VLOOKUP(B117,'سجل حساب الزيادة السنوية'!$B$6:$Q$205,8,0))</f>
        <v/>
      </c>
      <c r="J117" s="61" t="str">
        <f>IF(B117="","",VLOOKUP(B117,'سجل حساب الزيادة السنوية'!$B$6:$Q$205,9,0))</f>
        <v/>
      </c>
      <c r="K117" s="59" t="str">
        <f>IF(B117="","",VLOOKUP(B117,'سجل حساب الزيادة السنوية'!$B$6:$Q$205,10,0))</f>
        <v/>
      </c>
      <c r="L117" s="37" t="str">
        <f>IF(B117="","",VLOOKUP(B117,'سجل حساب الزيادة السنوية'!$B$6:$Q$205,11,0))</f>
        <v/>
      </c>
      <c r="M117" s="37" t="str">
        <f>IF(B117="","",VLOOKUP(B117,'سجل حساب الزيادة السنوية'!$B$6:$Q$205,12,0))</f>
        <v/>
      </c>
      <c r="N117" s="37" t="str">
        <f>IF(B117="","",VLOOKUP(B117,'سجل حساب الزيادة السنوية'!$B$6:$Q$205,13,0))</f>
        <v/>
      </c>
      <c r="O117" s="37" t="str">
        <f>IF(B117="","",VLOOKUP(B117,'سجل حساب الزيادة السنوية'!$B$6:$Q$205,14,0))</f>
        <v/>
      </c>
      <c r="P117" s="37" t="str">
        <f>IF(B117="","",VLOOKUP(B117,'سجل حساب الزيادة السنوية'!$B$6:$Q$205,15,0))</f>
        <v/>
      </c>
      <c r="Q117" s="37" t="str">
        <f>IF(B117="","",VLOOKUP(B117,'سجل حساب الزيادة السنوية'!$B$6:$Q$205,16,0))</f>
        <v/>
      </c>
    </row>
    <row r="118" spans="1:17" ht="22.5" customHeight="1" x14ac:dyDescent="0.25">
      <c r="A118" s="32" t="str">
        <f>IF(B118="","",SUBTOTAL(3,B$7:B118))</f>
        <v/>
      </c>
      <c r="B118" s="32" t="str">
        <f>IF('سجل حساب الزيادة السنوية'!B117="","",'سجل حساب الزيادة السنوية'!B117)</f>
        <v/>
      </c>
      <c r="C118" s="32" t="str">
        <f>IF(B118="","",VLOOKUP(B118,'سجل حساب الزيادة السنوية'!$B$6:$Q$205,2,0))</f>
        <v/>
      </c>
      <c r="D118" s="32" t="str">
        <f>IF(B118="","",VLOOKUP(B118,'سجل حساب الزيادة السنوية'!$B$6:$Q$205,3,0))</f>
        <v/>
      </c>
      <c r="E118" s="32" t="str">
        <f>IF(B118="","",VLOOKUP(B118,'سجل حساب الزيادة السنوية'!$B$6:$Q$205,4,0))</f>
        <v/>
      </c>
      <c r="F118" s="36" t="str">
        <f>IF(B118="","",VLOOKUP(B118,'سجل حساب الزيادة السنوية'!$B$6:$Q$205,5,0))</f>
        <v/>
      </c>
      <c r="G118" s="32" t="str">
        <f>IF(B118="","",VLOOKUP(B118,'سجل حساب الزيادة السنوية'!$B$6:$Q$205,6,0))</f>
        <v/>
      </c>
      <c r="H118" s="32" t="str">
        <f>IF(B118="","",VLOOKUP(B118,'سجل حساب الزيادة السنوية'!$B$6:$Q$205,7,0))</f>
        <v/>
      </c>
      <c r="I118" s="33" t="str">
        <f>IF(B118="","",VLOOKUP(B118,'سجل حساب الزيادة السنوية'!$B$6:$Q$205,8,0))</f>
        <v/>
      </c>
      <c r="J118" s="61" t="str">
        <f>IF(B118="","",VLOOKUP(B118,'سجل حساب الزيادة السنوية'!$B$6:$Q$205,9,0))</f>
        <v/>
      </c>
      <c r="K118" s="59" t="str">
        <f>IF(B118="","",VLOOKUP(B118,'سجل حساب الزيادة السنوية'!$B$6:$Q$205,10,0))</f>
        <v/>
      </c>
      <c r="L118" s="37" t="str">
        <f>IF(B118="","",VLOOKUP(B118,'سجل حساب الزيادة السنوية'!$B$6:$Q$205,11,0))</f>
        <v/>
      </c>
      <c r="M118" s="37" t="str">
        <f>IF(B118="","",VLOOKUP(B118,'سجل حساب الزيادة السنوية'!$B$6:$Q$205,12,0))</f>
        <v/>
      </c>
      <c r="N118" s="37" t="str">
        <f>IF(B118="","",VLOOKUP(B118,'سجل حساب الزيادة السنوية'!$B$6:$Q$205,13,0))</f>
        <v/>
      </c>
      <c r="O118" s="37" t="str">
        <f>IF(B118="","",VLOOKUP(B118,'سجل حساب الزيادة السنوية'!$B$6:$Q$205,14,0))</f>
        <v/>
      </c>
      <c r="P118" s="37" t="str">
        <f>IF(B118="","",VLOOKUP(B118,'سجل حساب الزيادة السنوية'!$B$6:$Q$205,15,0))</f>
        <v/>
      </c>
      <c r="Q118" s="37" t="str">
        <f>IF(B118="","",VLOOKUP(B118,'سجل حساب الزيادة السنوية'!$B$6:$Q$205,16,0))</f>
        <v/>
      </c>
    </row>
    <row r="119" spans="1:17" ht="22.5" customHeight="1" x14ac:dyDescent="0.25">
      <c r="A119" s="32" t="str">
        <f>IF(B119="","",SUBTOTAL(3,B$7:B119))</f>
        <v/>
      </c>
      <c r="B119" s="32" t="str">
        <f>IF('سجل حساب الزيادة السنوية'!B118="","",'سجل حساب الزيادة السنوية'!B118)</f>
        <v/>
      </c>
      <c r="C119" s="32" t="str">
        <f>IF(B119="","",VLOOKUP(B119,'سجل حساب الزيادة السنوية'!$B$6:$Q$205,2,0))</f>
        <v/>
      </c>
      <c r="D119" s="32" t="str">
        <f>IF(B119="","",VLOOKUP(B119,'سجل حساب الزيادة السنوية'!$B$6:$Q$205,3,0))</f>
        <v/>
      </c>
      <c r="E119" s="32" t="str">
        <f>IF(B119="","",VLOOKUP(B119,'سجل حساب الزيادة السنوية'!$B$6:$Q$205,4,0))</f>
        <v/>
      </c>
      <c r="F119" s="36" t="str">
        <f>IF(B119="","",VLOOKUP(B119,'سجل حساب الزيادة السنوية'!$B$6:$Q$205,5,0))</f>
        <v/>
      </c>
      <c r="G119" s="32" t="str">
        <f>IF(B119="","",VLOOKUP(B119,'سجل حساب الزيادة السنوية'!$B$6:$Q$205,6,0))</f>
        <v/>
      </c>
      <c r="H119" s="32" t="str">
        <f>IF(B119="","",VLOOKUP(B119,'سجل حساب الزيادة السنوية'!$B$6:$Q$205,7,0))</f>
        <v/>
      </c>
      <c r="I119" s="33" t="str">
        <f>IF(B119="","",VLOOKUP(B119,'سجل حساب الزيادة السنوية'!$B$6:$Q$205,8,0))</f>
        <v/>
      </c>
      <c r="J119" s="61" t="str">
        <f>IF(B119="","",VLOOKUP(B119,'سجل حساب الزيادة السنوية'!$B$6:$Q$205,9,0))</f>
        <v/>
      </c>
      <c r="K119" s="59" t="str">
        <f>IF(B119="","",VLOOKUP(B119,'سجل حساب الزيادة السنوية'!$B$6:$Q$205,10,0))</f>
        <v/>
      </c>
      <c r="L119" s="37" t="str">
        <f>IF(B119="","",VLOOKUP(B119,'سجل حساب الزيادة السنوية'!$B$6:$Q$205,11,0))</f>
        <v/>
      </c>
      <c r="M119" s="37" t="str">
        <f>IF(B119="","",VLOOKUP(B119,'سجل حساب الزيادة السنوية'!$B$6:$Q$205,12,0))</f>
        <v/>
      </c>
      <c r="N119" s="37" t="str">
        <f>IF(B119="","",VLOOKUP(B119,'سجل حساب الزيادة السنوية'!$B$6:$Q$205,13,0))</f>
        <v/>
      </c>
      <c r="O119" s="37" t="str">
        <f>IF(B119="","",VLOOKUP(B119,'سجل حساب الزيادة السنوية'!$B$6:$Q$205,14,0))</f>
        <v/>
      </c>
      <c r="P119" s="37" t="str">
        <f>IF(B119="","",VLOOKUP(B119,'سجل حساب الزيادة السنوية'!$B$6:$Q$205,15,0))</f>
        <v/>
      </c>
      <c r="Q119" s="37" t="str">
        <f>IF(B119="","",VLOOKUP(B119,'سجل حساب الزيادة السنوية'!$B$6:$Q$205,16,0))</f>
        <v/>
      </c>
    </row>
    <row r="120" spans="1:17" ht="22.5" customHeight="1" x14ac:dyDescent="0.25">
      <c r="A120" s="32" t="str">
        <f>IF(B120="","",SUBTOTAL(3,B$7:B120))</f>
        <v/>
      </c>
      <c r="B120" s="32" t="str">
        <f>IF('سجل حساب الزيادة السنوية'!B119="","",'سجل حساب الزيادة السنوية'!B119)</f>
        <v/>
      </c>
      <c r="C120" s="32" t="str">
        <f>IF(B120="","",VLOOKUP(B120,'سجل حساب الزيادة السنوية'!$B$6:$Q$205,2,0))</f>
        <v/>
      </c>
      <c r="D120" s="32" t="str">
        <f>IF(B120="","",VLOOKUP(B120,'سجل حساب الزيادة السنوية'!$B$6:$Q$205,3,0))</f>
        <v/>
      </c>
      <c r="E120" s="32" t="str">
        <f>IF(B120="","",VLOOKUP(B120,'سجل حساب الزيادة السنوية'!$B$6:$Q$205,4,0))</f>
        <v/>
      </c>
      <c r="F120" s="36" t="str">
        <f>IF(B120="","",VLOOKUP(B120,'سجل حساب الزيادة السنوية'!$B$6:$Q$205,5,0))</f>
        <v/>
      </c>
      <c r="G120" s="32" t="str">
        <f>IF(B120="","",VLOOKUP(B120,'سجل حساب الزيادة السنوية'!$B$6:$Q$205,6,0))</f>
        <v/>
      </c>
      <c r="H120" s="32" t="str">
        <f>IF(B120="","",VLOOKUP(B120,'سجل حساب الزيادة السنوية'!$B$6:$Q$205,7,0))</f>
        <v/>
      </c>
      <c r="I120" s="33" t="str">
        <f>IF(B120="","",VLOOKUP(B120,'سجل حساب الزيادة السنوية'!$B$6:$Q$205,8,0))</f>
        <v/>
      </c>
      <c r="J120" s="61" t="str">
        <f>IF(B120="","",VLOOKUP(B120,'سجل حساب الزيادة السنوية'!$B$6:$Q$205,9,0))</f>
        <v/>
      </c>
      <c r="K120" s="59" t="str">
        <f>IF(B120="","",VLOOKUP(B120,'سجل حساب الزيادة السنوية'!$B$6:$Q$205,10,0))</f>
        <v/>
      </c>
      <c r="L120" s="37" t="str">
        <f>IF(B120="","",VLOOKUP(B120,'سجل حساب الزيادة السنوية'!$B$6:$Q$205,11,0))</f>
        <v/>
      </c>
      <c r="M120" s="37" t="str">
        <f>IF(B120="","",VLOOKUP(B120,'سجل حساب الزيادة السنوية'!$B$6:$Q$205,12,0))</f>
        <v/>
      </c>
      <c r="N120" s="37" t="str">
        <f>IF(B120="","",VLOOKUP(B120,'سجل حساب الزيادة السنوية'!$B$6:$Q$205,13,0))</f>
        <v/>
      </c>
      <c r="O120" s="37" t="str">
        <f>IF(B120="","",VLOOKUP(B120,'سجل حساب الزيادة السنوية'!$B$6:$Q$205,14,0))</f>
        <v/>
      </c>
      <c r="P120" s="37" t="str">
        <f>IF(B120="","",VLOOKUP(B120,'سجل حساب الزيادة السنوية'!$B$6:$Q$205,15,0))</f>
        <v/>
      </c>
      <c r="Q120" s="37" t="str">
        <f>IF(B120="","",VLOOKUP(B120,'سجل حساب الزيادة السنوية'!$B$6:$Q$205,16,0))</f>
        <v/>
      </c>
    </row>
    <row r="121" spans="1:17" ht="22.5" customHeight="1" x14ac:dyDescent="0.25">
      <c r="A121" s="32" t="str">
        <f>IF(B121="","",SUBTOTAL(3,B$7:B121))</f>
        <v/>
      </c>
      <c r="B121" s="32" t="str">
        <f>IF('سجل حساب الزيادة السنوية'!B120="","",'سجل حساب الزيادة السنوية'!B120)</f>
        <v/>
      </c>
      <c r="C121" s="32" t="str">
        <f>IF(B121="","",VLOOKUP(B121,'سجل حساب الزيادة السنوية'!$B$6:$Q$205,2,0))</f>
        <v/>
      </c>
      <c r="D121" s="32" t="str">
        <f>IF(B121="","",VLOOKUP(B121,'سجل حساب الزيادة السنوية'!$B$6:$Q$205,3,0))</f>
        <v/>
      </c>
      <c r="E121" s="32" t="str">
        <f>IF(B121="","",VLOOKUP(B121,'سجل حساب الزيادة السنوية'!$B$6:$Q$205,4,0))</f>
        <v/>
      </c>
      <c r="F121" s="36" t="str">
        <f>IF(B121="","",VLOOKUP(B121,'سجل حساب الزيادة السنوية'!$B$6:$Q$205,5,0))</f>
        <v/>
      </c>
      <c r="G121" s="32" t="str">
        <f>IF(B121="","",VLOOKUP(B121,'سجل حساب الزيادة السنوية'!$B$6:$Q$205,6,0))</f>
        <v/>
      </c>
      <c r="H121" s="32" t="str">
        <f>IF(B121="","",VLOOKUP(B121,'سجل حساب الزيادة السنوية'!$B$6:$Q$205,7,0))</f>
        <v/>
      </c>
      <c r="I121" s="33" t="str">
        <f>IF(B121="","",VLOOKUP(B121,'سجل حساب الزيادة السنوية'!$B$6:$Q$205,8,0))</f>
        <v/>
      </c>
      <c r="J121" s="61" t="str">
        <f>IF(B121="","",VLOOKUP(B121,'سجل حساب الزيادة السنوية'!$B$6:$Q$205,9,0))</f>
        <v/>
      </c>
      <c r="K121" s="59" t="str">
        <f>IF(B121="","",VLOOKUP(B121,'سجل حساب الزيادة السنوية'!$B$6:$Q$205,10,0))</f>
        <v/>
      </c>
      <c r="L121" s="37" t="str">
        <f>IF(B121="","",VLOOKUP(B121,'سجل حساب الزيادة السنوية'!$B$6:$Q$205,11,0))</f>
        <v/>
      </c>
      <c r="M121" s="37" t="str">
        <f>IF(B121="","",VLOOKUP(B121,'سجل حساب الزيادة السنوية'!$B$6:$Q$205,12,0))</f>
        <v/>
      </c>
      <c r="N121" s="37" t="str">
        <f>IF(B121="","",VLOOKUP(B121,'سجل حساب الزيادة السنوية'!$B$6:$Q$205,13,0))</f>
        <v/>
      </c>
      <c r="O121" s="37" t="str">
        <f>IF(B121="","",VLOOKUP(B121,'سجل حساب الزيادة السنوية'!$B$6:$Q$205,14,0))</f>
        <v/>
      </c>
      <c r="P121" s="37" t="str">
        <f>IF(B121="","",VLOOKUP(B121,'سجل حساب الزيادة السنوية'!$B$6:$Q$205,15,0))</f>
        <v/>
      </c>
      <c r="Q121" s="37" t="str">
        <f>IF(B121="","",VLOOKUP(B121,'سجل حساب الزيادة السنوية'!$B$6:$Q$205,16,0))</f>
        <v/>
      </c>
    </row>
    <row r="122" spans="1:17" ht="22.5" customHeight="1" x14ac:dyDescent="0.25">
      <c r="A122" s="32" t="str">
        <f>IF(B122="","",SUBTOTAL(3,B$7:B122))</f>
        <v/>
      </c>
      <c r="B122" s="32" t="str">
        <f>IF('سجل حساب الزيادة السنوية'!B121="","",'سجل حساب الزيادة السنوية'!B121)</f>
        <v/>
      </c>
      <c r="C122" s="32" t="str">
        <f>IF(B122="","",VLOOKUP(B122,'سجل حساب الزيادة السنوية'!$B$6:$Q$205,2,0))</f>
        <v/>
      </c>
      <c r="D122" s="32" t="str">
        <f>IF(B122="","",VLOOKUP(B122,'سجل حساب الزيادة السنوية'!$B$6:$Q$205,3,0))</f>
        <v/>
      </c>
      <c r="E122" s="32" t="str">
        <f>IF(B122="","",VLOOKUP(B122,'سجل حساب الزيادة السنوية'!$B$6:$Q$205,4,0))</f>
        <v/>
      </c>
      <c r="F122" s="36" t="str">
        <f>IF(B122="","",VLOOKUP(B122,'سجل حساب الزيادة السنوية'!$B$6:$Q$205,5,0))</f>
        <v/>
      </c>
      <c r="G122" s="32" t="str">
        <f>IF(B122="","",VLOOKUP(B122,'سجل حساب الزيادة السنوية'!$B$6:$Q$205,6,0))</f>
        <v/>
      </c>
      <c r="H122" s="32" t="str">
        <f>IF(B122="","",VLOOKUP(B122,'سجل حساب الزيادة السنوية'!$B$6:$Q$205,7,0))</f>
        <v/>
      </c>
      <c r="I122" s="33" t="str">
        <f>IF(B122="","",VLOOKUP(B122,'سجل حساب الزيادة السنوية'!$B$6:$Q$205,8,0))</f>
        <v/>
      </c>
      <c r="J122" s="61" t="str">
        <f>IF(B122="","",VLOOKUP(B122,'سجل حساب الزيادة السنوية'!$B$6:$Q$205,9,0))</f>
        <v/>
      </c>
      <c r="K122" s="59" t="str">
        <f>IF(B122="","",VLOOKUP(B122,'سجل حساب الزيادة السنوية'!$B$6:$Q$205,10,0))</f>
        <v/>
      </c>
      <c r="L122" s="37" t="str">
        <f>IF(B122="","",VLOOKUP(B122,'سجل حساب الزيادة السنوية'!$B$6:$Q$205,11,0))</f>
        <v/>
      </c>
      <c r="M122" s="37" t="str">
        <f>IF(B122="","",VLOOKUP(B122,'سجل حساب الزيادة السنوية'!$B$6:$Q$205,12,0))</f>
        <v/>
      </c>
      <c r="N122" s="37" t="str">
        <f>IF(B122="","",VLOOKUP(B122,'سجل حساب الزيادة السنوية'!$B$6:$Q$205,13,0))</f>
        <v/>
      </c>
      <c r="O122" s="37" t="str">
        <f>IF(B122="","",VLOOKUP(B122,'سجل حساب الزيادة السنوية'!$B$6:$Q$205,14,0))</f>
        <v/>
      </c>
      <c r="P122" s="37" t="str">
        <f>IF(B122="","",VLOOKUP(B122,'سجل حساب الزيادة السنوية'!$B$6:$Q$205,15,0))</f>
        <v/>
      </c>
      <c r="Q122" s="37" t="str">
        <f>IF(B122="","",VLOOKUP(B122,'سجل حساب الزيادة السنوية'!$B$6:$Q$205,16,0))</f>
        <v/>
      </c>
    </row>
    <row r="123" spans="1:17" ht="22.5" customHeight="1" x14ac:dyDescent="0.25">
      <c r="A123" s="32" t="str">
        <f>IF(B123="","",SUBTOTAL(3,B$7:B123))</f>
        <v/>
      </c>
      <c r="B123" s="32" t="str">
        <f>IF('سجل حساب الزيادة السنوية'!B122="","",'سجل حساب الزيادة السنوية'!B122)</f>
        <v/>
      </c>
      <c r="C123" s="32" t="str">
        <f>IF(B123="","",VLOOKUP(B123,'سجل حساب الزيادة السنوية'!$B$6:$Q$205,2,0))</f>
        <v/>
      </c>
      <c r="D123" s="32" t="str">
        <f>IF(B123="","",VLOOKUP(B123,'سجل حساب الزيادة السنوية'!$B$6:$Q$205,3,0))</f>
        <v/>
      </c>
      <c r="E123" s="32" t="str">
        <f>IF(B123="","",VLOOKUP(B123,'سجل حساب الزيادة السنوية'!$B$6:$Q$205,4,0))</f>
        <v/>
      </c>
      <c r="F123" s="36" t="str">
        <f>IF(B123="","",VLOOKUP(B123,'سجل حساب الزيادة السنوية'!$B$6:$Q$205,5,0))</f>
        <v/>
      </c>
      <c r="G123" s="32" t="str">
        <f>IF(B123="","",VLOOKUP(B123,'سجل حساب الزيادة السنوية'!$B$6:$Q$205,6,0))</f>
        <v/>
      </c>
      <c r="H123" s="32" t="str">
        <f>IF(B123="","",VLOOKUP(B123,'سجل حساب الزيادة السنوية'!$B$6:$Q$205,7,0))</f>
        <v/>
      </c>
      <c r="I123" s="33" t="str">
        <f>IF(B123="","",VLOOKUP(B123,'سجل حساب الزيادة السنوية'!$B$6:$Q$205,8,0))</f>
        <v/>
      </c>
      <c r="J123" s="61" t="str">
        <f>IF(B123="","",VLOOKUP(B123,'سجل حساب الزيادة السنوية'!$B$6:$Q$205,9,0))</f>
        <v/>
      </c>
      <c r="K123" s="59" t="str">
        <f>IF(B123="","",VLOOKUP(B123,'سجل حساب الزيادة السنوية'!$B$6:$Q$205,10,0))</f>
        <v/>
      </c>
      <c r="L123" s="37" t="str">
        <f>IF(B123="","",VLOOKUP(B123,'سجل حساب الزيادة السنوية'!$B$6:$Q$205,11,0))</f>
        <v/>
      </c>
      <c r="M123" s="37" t="str">
        <f>IF(B123="","",VLOOKUP(B123,'سجل حساب الزيادة السنوية'!$B$6:$Q$205,12,0))</f>
        <v/>
      </c>
      <c r="N123" s="37" t="str">
        <f>IF(B123="","",VLOOKUP(B123,'سجل حساب الزيادة السنوية'!$B$6:$Q$205,13,0))</f>
        <v/>
      </c>
      <c r="O123" s="37" t="str">
        <f>IF(B123="","",VLOOKUP(B123,'سجل حساب الزيادة السنوية'!$B$6:$Q$205,14,0))</f>
        <v/>
      </c>
      <c r="P123" s="37" t="str">
        <f>IF(B123="","",VLOOKUP(B123,'سجل حساب الزيادة السنوية'!$B$6:$Q$205,15,0))</f>
        <v/>
      </c>
      <c r="Q123" s="37" t="str">
        <f>IF(B123="","",VLOOKUP(B123,'سجل حساب الزيادة السنوية'!$B$6:$Q$205,16,0))</f>
        <v/>
      </c>
    </row>
    <row r="124" spans="1:17" ht="22.5" customHeight="1" x14ac:dyDescent="0.25">
      <c r="A124" s="32" t="str">
        <f>IF(B124="","",SUBTOTAL(3,B$7:B124))</f>
        <v/>
      </c>
      <c r="B124" s="32" t="str">
        <f>IF('سجل حساب الزيادة السنوية'!B123="","",'سجل حساب الزيادة السنوية'!B123)</f>
        <v/>
      </c>
      <c r="C124" s="32" t="str">
        <f>IF(B124="","",VLOOKUP(B124,'سجل حساب الزيادة السنوية'!$B$6:$Q$205,2,0))</f>
        <v/>
      </c>
      <c r="D124" s="32" t="str">
        <f>IF(B124="","",VLOOKUP(B124,'سجل حساب الزيادة السنوية'!$B$6:$Q$205,3,0))</f>
        <v/>
      </c>
      <c r="E124" s="32" t="str">
        <f>IF(B124="","",VLOOKUP(B124,'سجل حساب الزيادة السنوية'!$B$6:$Q$205,4,0))</f>
        <v/>
      </c>
      <c r="F124" s="36" t="str">
        <f>IF(B124="","",VLOOKUP(B124,'سجل حساب الزيادة السنوية'!$B$6:$Q$205,5,0))</f>
        <v/>
      </c>
      <c r="G124" s="32" t="str">
        <f>IF(B124="","",VLOOKUP(B124,'سجل حساب الزيادة السنوية'!$B$6:$Q$205,6,0))</f>
        <v/>
      </c>
      <c r="H124" s="32" t="str">
        <f>IF(B124="","",VLOOKUP(B124,'سجل حساب الزيادة السنوية'!$B$6:$Q$205,7,0))</f>
        <v/>
      </c>
      <c r="I124" s="33" t="str">
        <f>IF(B124="","",VLOOKUP(B124,'سجل حساب الزيادة السنوية'!$B$6:$Q$205,8,0))</f>
        <v/>
      </c>
      <c r="J124" s="61" t="str">
        <f>IF(B124="","",VLOOKUP(B124,'سجل حساب الزيادة السنوية'!$B$6:$Q$205,9,0))</f>
        <v/>
      </c>
      <c r="K124" s="59" t="str">
        <f>IF(B124="","",VLOOKUP(B124,'سجل حساب الزيادة السنوية'!$B$6:$Q$205,10,0))</f>
        <v/>
      </c>
      <c r="L124" s="37" t="str">
        <f>IF(B124="","",VLOOKUP(B124,'سجل حساب الزيادة السنوية'!$B$6:$Q$205,11,0))</f>
        <v/>
      </c>
      <c r="M124" s="37" t="str">
        <f>IF(B124="","",VLOOKUP(B124,'سجل حساب الزيادة السنوية'!$B$6:$Q$205,12,0))</f>
        <v/>
      </c>
      <c r="N124" s="37" t="str">
        <f>IF(B124="","",VLOOKUP(B124,'سجل حساب الزيادة السنوية'!$B$6:$Q$205,13,0))</f>
        <v/>
      </c>
      <c r="O124" s="37" t="str">
        <f>IF(B124="","",VLOOKUP(B124,'سجل حساب الزيادة السنوية'!$B$6:$Q$205,14,0))</f>
        <v/>
      </c>
      <c r="P124" s="37" t="str">
        <f>IF(B124="","",VLOOKUP(B124,'سجل حساب الزيادة السنوية'!$B$6:$Q$205,15,0))</f>
        <v/>
      </c>
      <c r="Q124" s="37" t="str">
        <f>IF(B124="","",VLOOKUP(B124,'سجل حساب الزيادة السنوية'!$B$6:$Q$205,16,0))</f>
        <v/>
      </c>
    </row>
    <row r="125" spans="1:17" ht="22.5" customHeight="1" x14ac:dyDescent="0.25">
      <c r="A125" s="32" t="str">
        <f>IF(B125="","",SUBTOTAL(3,B$7:B125))</f>
        <v/>
      </c>
      <c r="B125" s="32" t="str">
        <f>IF('سجل حساب الزيادة السنوية'!B124="","",'سجل حساب الزيادة السنوية'!B124)</f>
        <v/>
      </c>
      <c r="C125" s="32" t="str">
        <f>IF(B125="","",VLOOKUP(B125,'سجل حساب الزيادة السنوية'!$B$6:$Q$205,2,0))</f>
        <v/>
      </c>
      <c r="D125" s="32" t="str">
        <f>IF(B125="","",VLOOKUP(B125,'سجل حساب الزيادة السنوية'!$B$6:$Q$205,3,0))</f>
        <v/>
      </c>
      <c r="E125" s="32" t="str">
        <f>IF(B125="","",VLOOKUP(B125,'سجل حساب الزيادة السنوية'!$B$6:$Q$205,4,0))</f>
        <v/>
      </c>
      <c r="F125" s="36" t="str">
        <f>IF(B125="","",VLOOKUP(B125,'سجل حساب الزيادة السنوية'!$B$6:$Q$205,5,0))</f>
        <v/>
      </c>
      <c r="G125" s="32" t="str">
        <f>IF(B125="","",VLOOKUP(B125,'سجل حساب الزيادة السنوية'!$B$6:$Q$205,6,0))</f>
        <v/>
      </c>
      <c r="H125" s="32" t="str">
        <f>IF(B125="","",VLOOKUP(B125,'سجل حساب الزيادة السنوية'!$B$6:$Q$205,7,0))</f>
        <v/>
      </c>
      <c r="I125" s="33" t="str">
        <f>IF(B125="","",VLOOKUP(B125,'سجل حساب الزيادة السنوية'!$B$6:$Q$205,8,0))</f>
        <v/>
      </c>
      <c r="J125" s="61" t="str">
        <f>IF(B125="","",VLOOKUP(B125,'سجل حساب الزيادة السنوية'!$B$6:$Q$205,9,0))</f>
        <v/>
      </c>
      <c r="K125" s="59" t="str">
        <f>IF(B125="","",VLOOKUP(B125,'سجل حساب الزيادة السنوية'!$B$6:$Q$205,10,0))</f>
        <v/>
      </c>
      <c r="L125" s="37" t="str">
        <f>IF(B125="","",VLOOKUP(B125,'سجل حساب الزيادة السنوية'!$B$6:$Q$205,11,0))</f>
        <v/>
      </c>
      <c r="M125" s="37" t="str">
        <f>IF(B125="","",VLOOKUP(B125,'سجل حساب الزيادة السنوية'!$B$6:$Q$205,12,0))</f>
        <v/>
      </c>
      <c r="N125" s="37" t="str">
        <f>IF(B125="","",VLOOKUP(B125,'سجل حساب الزيادة السنوية'!$B$6:$Q$205,13,0))</f>
        <v/>
      </c>
      <c r="O125" s="37" t="str">
        <f>IF(B125="","",VLOOKUP(B125,'سجل حساب الزيادة السنوية'!$B$6:$Q$205,14,0))</f>
        <v/>
      </c>
      <c r="P125" s="37" t="str">
        <f>IF(B125="","",VLOOKUP(B125,'سجل حساب الزيادة السنوية'!$B$6:$Q$205,15,0))</f>
        <v/>
      </c>
      <c r="Q125" s="37" t="str">
        <f>IF(B125="","",VLOOKUP(B125,'سجل حساب الزيادة السنوية'!$B$6:$Q$205,16,0))</f>
        <v/>
      </c>
    </row>
    <row r="126" spans="1:17" ht="22.5" customHeight="1" x14ac:dyDescent="0.25">
      <c r="A126" s="32" t="str">
        <f>IF(B126="","",SUBTOTAL(3,B$7:B126))</f>
        <v/>
      </c>
      <c r="B126" s="32" t="str">
        <f>IF('سجل حساب الزيادة السنوية'!B125="","",'سجل حساب الزيادة السنوية'!B125)</f>
        <v/>
      </c>
      <c r="C126" s="32" t="str">
        <f>IF(B126="","",VLOOKUP(B126,'سجل حساب الزيادة السنوية'!$B$6:$Q$205,2,0))</f>
        <v/>
      </c>
      <c r="D126" s="32" t="str">
        <f>IF(B126="","",VLOOKUP(B126,'سجل حساب الزيادة السنوية'!$B$6:$Q$205,3,0))</f>
        <v/>
      </c>
      <c r="E126" s="32" t="str">
        <f>IF(B126="","",VLOOKUP(B126,'سجل حساب الزيادة السنوية'!$B$6:$Q$205,4,0))</f>
        <v/>
      </c>
      <c r="F126" s="36" t="str">
        <f>IF(B126="","",VLOOKUP(B126,'سجل حساب الزيادة السنوية'!$B$6:$Q$205,5,0))</f>
        <v/>
      </c>
      <c r="G126" s="32" t="str">
        <f>IF(B126="","",VLOOKUP(B126,'سجل حساب الزيادة السنوية'!$B$6:$Q$205,6,0))</f>
        <v/>
      </c>
      <c r="H126" s="32" t="str">
        <f>IF(B126="","",VLOOKUP(B126,'سجل حساب الزيادة السنوية'!$B$6:$Q$205,7,0))</f>
        <v/>
      </c>
      <c r="I126" s="33" t="str">
        <f>IF(B126="","",VLOOKUP(B126,'سجل حساب الزيادة السنوية'!$B$6:$Q$205,8,0))</f>
        <v/>
      </c>
      <c r="J126" s="61" t="str">
        <f>IF(B126="","",VLOOKUP(B126,'سجل حساب الزيادة السنوية'!$B$6:$Q$205,9,0))</f>
        <v/>
      </c>
      <c r="K126" s="59" t="str">
        <f>IF(B126="","",VLOOKUP(B126,'سجل حساب الزيادة السنوية'!$B$6:$Q$205,10,0))</f>
        <v/>
      </c>
      <c r="L126" s="37" t="str">
        <f>IF(B126="","",VLOOKUP(B126,'سجل حساب الزيادة السنوية'!$B$6:$Q$205,11,0))</f>
        <v/>
      </c>
      <c r="M126" s="37" t="str">
        <f>IF(B126="","",VLOOKUP(B126,'سجل حساب الزيادة السنوية'!$B$6:$Q$205,12,0))</f>
        <v/>
      </c>
      <c r="N126" s="37" t="str">
        <f>IF(B126="","",VLOOKUP(B126,'سجل حساب الزيادة السنوية'!$B$6:$Q$205,13,0))</f>
        <v/>
      </c>
      <c r="O126" s="37" t="str">
        <f>IF(B126="","",VLOOKUP(B126,'سجل حساب الزيادة السنوية'!$B$6:$Q$205,14,0))</f>
        <v/>
      </c>
      <c r="P126" s="37" t="str">
        <f>IF(B126="","",VLOOKUP(B126,'سجل حساب الزيادة السنوية'!$B$6:$Q$205,15,0))</f>
        <v/>
      </c>
      <c r="Q126" s="37" t="str">
        <f>IF(B126="","",VLOOKUP(B126,'سجل حساب الزيادة السنوية'!$B$6:$Q$205,16,0))</f>
        <v/>
      </c>
    </row>
    <row r="127" spans="1:17" ht="22.5" customHeight="1" x14ac:dyDescent="0.25">
      <c r="A127" s="32" t="str">
        <f>IF(B127="","",SUBTOTAL(3,B$7:B127))</f>
        <v/>
      </c>
      <c r="B127" s="32" t="str">
        <f>IF('سجل حساب الزيادة السنوية'!B126="","",'سجل حساب الزيادة السنوية'!B126)</f>
        <v/>
      </c>
      <c r="C127" s="32" t="str">
        <f>IF(B127="","",VLOOKUP(B127,'سجل حساب الزيادة السنوية'!$B$6:$Q$205,2,0))</f>
        <v/>
      </c>
      <c r="D127" s="32" t="str">
        <f>IF(B127="","",VLOOKUP(B127,'سجل حساب الزيادة السنوية'!$B$6:$Q$205,3,0))</f>
        <v/>
      </c>
      <c r="E127" s="32" t="str">
        <f>IF(B127="","",VLOOKUP(B127,'سجل حساب الزيادة السنوية'!$B$6:$Q$205,4,0))</f>
        <v/>
      </c>
      <c r="F127" s="36" t="str">
        <f>IF(B127="","",VLOOKUP(B127,'سجل حساب الزيادة السنوية'!$B$6:$Q$205,5,0))</f>
        <v/>
      </c>
      <c r="G127" s="32" t="str">
        <f>IF(B127="","",VLOOKUP(B127,'سجل حساب الزيادة السنوية'!$B$6:$Q$205,6,0))</f>
        <v/>
      </c>
      <c r="H127" s="32" t="str">
        <f>IF(B127="","",VLOOKUP(B127,'سجل حساب الزيادة السنوية'!$B$6:$Q$205,7,0))</f>
        <v/>
      </c>
      <c r="I127" s="33" t="str">
        <f>IF(B127="","",VLOOKUP(B127,'سجل حساب الزيادة السنوية'!$B$6:$Q$205,8,0))</f>
        <v/>
      </c>
      <c r="J127" s="61" t="str">
        <f>IF(B127="","",VLOOKUP(B127,'سجل حساب الزيادة السنوية'!$B$6:$Q$205,9,0))</f>
        <v/>
      </c>
      <c r="K127" s="59" t="str">
        <f>IF(B127="","",VLOOKUP(B127,'سجل حساب الزيادة السنوية'!$B$6:$Q$205,10,0))</f>
        <v/>
      </c>
      <c r="L127" s="37" t="str">
        <f>IF(B127="","",VLOOKUP(B127,'سجل حساب الزيادة السنوية'!$B$6:$Q$205,11,0))</f>
        <v/>
      </c>
      <c r="M127" s="37" t="str">
        <f>IF(B127="","",VLOOKUP(B127,'سجل حساب الزيادة السنوية'!$B$6:$Q$205,12,0))</f>
        <v/>
      </c>
      <c r="N127" s="37" t="str">
        <f>IF(B127="","",VLOOKUP(B127,'سجل حساب الزيادة السنوية'!$B$6:$Q$205,13,0))</f>
        <v/>
      </c>
      <c r="O127" s="37" t="str">
        <f>IF(B127="","",VLOOKUP(B127,'سجل حساب الزيادة السنوية'!$B$6:$Q$205,14,0))</f>
        <v/>
      </c>
      <c r="P127" s="37" t="str">
        <f>IF(B127="","",VLOOKUP(B127,'سجل حساب الزيادة السنوية'!$B$6:$Q$205,15,0))</f>
        <v/>
      </c>
      <c r="Q127" s="37" t="str">
        <f>IF(B127="","",VLOOKUP(B127,'سجل حساب الزيادة السنوية'!$B$6:$Q$205,16,0))</f>
        <v/>
      </c>
    </row>
    <row r="128" spans="1:17" ht="22.5" customHeight="1" x14ac:dyDescent="0.25">
      <c r="A128" s="32" t="str">
        <f>IF(B128="","",SUBTOTAL(3,B$7:B128))</f>
        <v/>
      </c>
      <c r="B128" s="32" t="str">
        <f>IF('سجل حساب الزيادة السنوية'!B127="","",'سجل حساب الزيادة السنوية'!B127)</f>
        <v/>
      </c>
      <c r="C128" s="32" t="str">
        <f>IF(B128="","",VLOOKUP(B128,'سجل حساب الزيادة السنوية'!$B$6:$Q$205,2,0))</f>
        <v/>
      </c>
      <c r="D128" s="32" t="str">
        <f>IF(B128="","",VLOOKUP(B128,'سجل حساب الزيادة السنوية'!$B$6:$Q$205,3,0))</f>
        <v/>
      </c>
      <c r="E128" s="32" t="str">
        <f>IF(B128="","",VLOOKUP(B128,'سجل حساب الزيادة السنوية'!$B$6:$Q$205,4,0))</f>
        <v/>
      </c>
      <c r="F128" s="36" t="str">
        <f>IF(B128="","",VLOOKUP(B128,'سجل حساب الزيادة السنوية'!$B$6:$Q$205,5,0))</f>
        <v/>
      </c>
      <c r="G128" s="32" t="str">
        <f>IF(B128="","",VLOOKUP(B128,'سجل حساب الزيادة السنوية'!$B$6:$Q$205,6,0))</f>
        <v/>
      </c>
      <c r="H128" s="32" t="str">
        <f>IF(B128="","",VLOOKUP(B128,'سجل حساب الزيادة السنوية'!$B$6:$Q$205,7,0))</f>
        <v/>
      </c>
      <c r="I128" s="33" t="str">
        <f>IF(B128="","",VLOOKUP(B128,'سجل حساب الزيادة السنوية'!$B$6:$Q$205,8,0))</f>
        <v/>
      </c>
      <c r="J128" s="61" t="str">
        <f>IF(B128="","",VLOOKUP(B128,'سجل حساب الزيادة السنوية'!$B$6:$Q$205,9,0))</f>
        <v/>
      </c>
      <c r="K128" s="59" t="str">
        <f>IF(B128="","",VLOOKUP(B128,'سجل حساب الزيادة السنوية'!$B$6:$Q$205,10,0))</f>
        <v/>
      </c>
      <c r="L128" s="37" t="str">
        <f>IF(B128="","",VLOOKUP(B128,'سجل حساب الزيادة السنوية'!$B$6:$Q$205,11,0))</f>
        <v/>
      </c>
      <c r="M128" s="37" t="str">
        <f>IF(B128="","",VLOOKUP(B128,'سجل حساب الزيادة السنوية'!$B$6:$Q$205,12,0))</f>
        <v/>
      </c>
      <c r="N128" s="37" t="str">
        <f>IF(B128="","",VLOOKUP(B128,'سجل حساب الزيادة السنوية'!$B$6:$Q$205,13,0))</f>
        <v/>
      </c>
      <c r="O128" s="37" t="str">
        <f>IF(B128="","",VLOOKUP(B128,'سجل حساب الزيادة السنوية'!$B$6:$Q$205,14,0))</f>
        <v/>
      </c>
      <c r="P128" s="37" t="str">
        <f>IF(B128="","",VLOOKUP(B128,'سجل حساب الزيادة السنوية'!$B$6:$Q$205,15,0))</f>
        <v/>
      </c>
      <c r="Q128" s="37" t="str">
        <f>IF(B128="","",VLOOKUP(B128,'سجل حساب الزيادة السنوية'!$B$6:$Q$205,16,0))</f>
        <v/>
      </c>
    </row>
    <row r="129" spans="1:17" ht="22.5" customHeight="1" x14ac:dyDescent="0.25">
      <c r="A129" s="32" t="str">
        <f>IF(B129="","",SUBTOTAL(3,B$7:B129))</f>
        <v/>
      </c>
      <c r="B129" s="32" t="str">
        <f>IF('سجل حساب الزيادة السنوية'!B128="","",'سجل حساب الزيادة السنوية'!B128)</f>
        <v/>
      </c>
      <c r="C129" s="32" t="str">
        <f>IF(B129="","",VLOOKUP(B129,'سجل حساب الزيادة السنوية'!$B$6:$Q$205,2,0))</f>
        <v/>
      </c>
      <c r="D129" s="32" t="str">
        <f>IF(B129="","",VLOOKUP(B129,'سجل حساب الزيادة السنوية'!$B$6:$Q$205,3,0))</f>
        <v/>
      </c>
      <c r="E129" s="32" t="str">
        <f>IF(B129="","",VLOOKUP(B129,'سجل حساب الزيادة السنوية'!$B$6:$Q$205,4,0))</f>
        <v/>
      </c>
      <c r="F129" s="36" t="str">
        <f>IF(B129="","",VLOOKUP(B129,'سجل حساب الزيادة السنوية'!$B$6:$Q$205,5,0))</f>
        <v/>
      </c>
      <c r="G129" s="32" t="str">
        <f>IF(B129="","",VLOOKUP(B129,'سجل حساب الزيادة السنوية'!$B$6:$Q$205,6,0))</f>
        <v/>
      </c>
      <c r="H129" s="32" t="str">
        <f>IF(B129="","",VLOOKUP(B129,'سجل حساب الزيادة السنوية'!$B$6:$Q$205,7,0))</f>
        <v/>
      </c>
      <c r="I129" s="33" t="str">
        <f>IF(B129="","",VLOOKUP(B129,'سجل حساب الزيادة السنوية'!$B$6:$Q$205,8,0))</f>
        <v/>
      </c>
      <c r="J129" s="61" t="str">
        <f>IF(B129="","",VLOOKUP(B129,'سجل حساب الزيادة السنوية'!$B$6:$Q$205,9,0))</f>
        <v/>
      </c>
      <c r="K129" s="59" t="str">
        <f>IF(B129="","",VLOOKUP(B129,'سجل حساب الزيادة السنوية'!$B$6:$Q$205,10,0))</f>
        <v/>
      </c>
      <c r="L129" s="37" t="str">
        <f>IF(B129="","",VLOOKUP(B129,'سجل حساب الزيادة السنوية'!$B$6:$Q$205,11,0))</f>
        <v/>
      </c>
      <c r="M129" s="37" t="str">
        <f>IF(B129="","",VLOOKUP(B129,'سجل حساب الزيادة السنوية'!$B$6:$Q$205,12,0))</f>
        <v/>
      </c>
      <c r="N129" s="37" t="str">
        <f>IF(B129="","",VLOOKUP(B129,'سجل حساب الزيادة السنوية'!$B$6:$Q$205,13,0))</f>
        <v/>
      </c>
      <c r="O129" s="37" t="str">
        <f>IF(B129="","",VLOOKUP(B129,'سجل حساب الزيادة السنوية'!$B$6:$Q$205,14,0))</f>
        <v/>
      </c>
      <c r="P129" s="37" t="str">
        <f>IF(B129="","",VLOOKUP(B129,'سجل حساب الزيادة السنوية'!$B$6:$Q$205,15,0))</f>
        <v/>
      </c>
      <c r="Q129" s="37" t="str">
        <f>IF(B129="","",VLOOKUP(B129,'سجل حساب الزيادة السنوية'!$B$6:$Q$205,16,0))</f>
        <v/>
      </c>
    </row>
    <row r="130" spans="1:17" ht="22.5" customHeight="1" x14ac:dyDescent="0.25">
      <c r="A130" s="32" t="str">
        <f>IF(B130="","",SUBTOTAL(3,B$7:B130))</f>
        <v/>
      </c>
      <c r="B130" s="32" t="str">
        <f>IF('سجل حساب الزيادة السنوية'!B129="","",'سجل حساب الزيادة السنوية'!B129)</f>
        <v/>
      </c>
      <c r="C130" s="32" t="str">
        <f>IF(B130="","",VLOOKUP(B130,'سجل حساب الزيادة السنوية'!$B$6:$Q$205,2,0))</f>
        <v/>
      </c>
      <c r="D130" s="32" t="str">
        <f>IF(B130="","",VLOOKUP(B130,'سجل حساب الزيادة السنوية'!$B$6:$Q$205,3,0))</f>
        <v/>
      </c>
      <c r="E130" s="32" t="str">
        <f>IF(B130="","",VLOOKUP(B130,'سجل حساب الزيادة السنوية'!$B$6:$Q$205,4,0))</f>
        <v/>
      </c>
      <c r="F130" s="36" t="str">
        <f>IF(B130="","",VLOOKUP(B130,'سجل حساب الزيادة السنوية'!$B$6:$Q$205,5,0))</f>
        <v/>
      </c>
      <c r="G130" s="32" t="str">
        <f>IF(B130="","",VLOOKUP(B130,'سجل حساب الزيادة السنوية'!$B$6:$Q$205,6,0))</f>
        <v/>
      </c>
      <c r="H130" s="32" t="str">
        <f>IF(B130="","",VLOOKUP(B130,'سجل حساب الزيادة السنوية'!$B$6:$Q$205,7,0))</f>
        <v/>
      </c>
      <c r="I130" s="33" t="str">
        <f>IF(B130="","",VLOOKUP(B130,'سجل حساب الزيادة السنوية'!$B$6:$Q$205,8,0))</f>
        <v/>
      </c>
      <c r="J130" s="61" t="str">
        <f>IF(B130="","",VLOOKUP(B130,'سجل حساب الزيادة السنوية'!$B$6:$Q$205,9,0))</f>
        <v/>
      </c>
      <c r="K130" s="59" t="str">
        <f>IF(B130="","",VLOOKUP(B130,'سجل حساب الزيادة السنوية'!$B$6:$Q$205,10,0))</f>
        <v/>
      </c>
      <c r="L130" s="37" t="str">
        <f>IF(B130="","",VLOOKUP(B130,'سجل حساب الزيادة السنوية'!$B$6:$Q$205,11,0))</f>
        <v/>
      </c>
      <c r="M130" s="37" t="str">
        <f>IF(B130="","",VLOOKUP(B130,'سجل حساب الزيادة السنوية'!$B$6:$Q$205,12,0))</f>
        <v/>
      </c>
      <c r="N130" s="37" t="str">
        <f>IF(B130="","",VLOOKUP(B130,'سجل حساب الزيادة السنوية'!$B$6:$Q$205,13,0))</f>
        <v/>
      </c>
      <c r="O130" s="37" t="str">
        <f>IF(B130="","",VLOOKUP(B130,'سجل حساب الزيادة السنوية'!$B$6:$Q$205,14,0))</f>
        <v/>
      </c>
      <c r="P130" s="37" t="str">
        <f>IF(B130="","",VLOOKUP(B130,'سجل حساب الزيادة السنوية'!$B$6:$Q$205,15,0))</f>
        <v/>
      </c>
      <c r="Q130" s="37" t="str">
        <f>IF(B130="","",VLOOKUP(B130,'سجل حساب الزيادة السنوية'!$B$6:$Q$205,16,0))</f>
        <v/>
      </c>
    </row>
    <row r="131" spans="1:17" ht="22.5" customHeight="1" x14ac:dyDescent="0.25">
      <c r="A131" s="32" t="str">
        <f>IF(B131="","",SUBTOTAL(3,B$7:B131))</f>
        <v/>
      </c>
      <c r="B131" s="32" t="str">
        <f>IF('سجل حساب الزيادة السنوية'!B130="","",'سجل حساب الزيادة السنوية'!B130)</f>
        <v/>
      </c>
      <c r="C131" s="32" t="str">
        <f>IF(B131="","",VLOOKUP(B131,'سجل حساب الزيادة السنوية'!$B$6:$Q$205,2,0))</f>
        <v/>
      </c>
      <c r="D131" s="32" t="str">
        <f>IF(B131="","",VLOOKUP(B131,'سجل حساب الزيادة السنوية'!$B$6:$Q$205,3,0))</f>
        <v/>
      </c>
      <c r="E131" s="32" t="str">
        <f>IF(B131="","",VLOOKUP(B131,'سجل حساب الزيادة السنوية'!$B$6:$Q$205,4,0))</f>
        <v/>
      </c>
      <c r="F131" s="36" t="str">
        <f>IF(B131="","",VLOOKUP(B131,'سجل حساب الزيادة السنوية'!$B$6:$Q$205,5,0))</f>
        <v/>
      </c>
      <c r="G131" s="32" t="str">
        <f>IF(B131="","",VLOOKUP(B131,'سجل حساب الزيادة السنوية'!$B$6:$Q$205,6,0))</f>
        <v/>
      </c>
      <c r="H131" s="32" t="str">
        <f>IF(B131="","",VLOOKUP(B131,'سجل حساب الزيادة السنوية'!$B$6:$Q$205,7,0))</f>
        <v/>
      </c>
      <c r="I131" s="33" t="str">
        <f>IF(B131="","",VLOOKUP(B131,'سجل حساب الزيادة السنوية'!$B$6:$Q$205,8,0))</f>
        <v/>
      </c>
      <c r="J131" s="61" t="str">
        <f>IF(B131="","",VLOOKUP(B131,'سجل حساب الزيادة السنوية'!$B$6:$Q$205,9,0))</f>
        <v/>
      </c>
      <c r="K131" s="59" t="str">
        <f>IF(B131="","",VLOOKUP(B131,'سجل حساب الزيادة السنوية'!$B$6:$Q$205,10,0))</f>
        <v/>
      </c>
      <c r="L131" s="37" t="str">
        <f>IF(B131="","",VLOOKUP(B131,'سجل حساب الزيادة السنوية'!$B$6:$Q$205,11,0))</f>
        <v/>
      </c>
      <c r="M131" s="37" t="str">
        <f>IF(B131="","",VLOOKUP(B131,'سجل حساب الزيادة السنوية'!$B$6:$Q$205,12,0))</f>
        <v/>
      </c>
      <c r="N131" s="37" t="str">
        <f>IF(B131="","",VLOOKUP(B131,'سجل حساب الزيادة السنوية'!$B$6:$Q$205,13,0))</f>
        <v/>
      </c>
      <c r="O131" s="37" t="str">
        <f>IF(B131="","",VLOOKUP(B131,'سجل حساب الزيادة السنوية'!$B$6:$Q$205,14,0))</f>
        <v/>
      </c>
      <c r="P131" s="37" t="str">
        <f>IF(B131="","",VLOOKUP(B131,'سجل حساب الزيادة السنوية'!$B$6:$Q$205,15,0))</f>
        <v/>
      </c>
      <c r="Q131" s="37" t="str">
        <f>IF(B131="","",VLOOKUP(B131,'سجل حساب الزيادة السنوية'!$B$6:$Q$205,16,0))</f>
        <v/>
      </c>
    </row>
    <row r="132" spans="1:17" ht="22.5" customHeight="1" x14ac:dyDescent="0.25">
      <c r="A132" s="32" t="str">
        <f>IF(B132="","",SUBTOTAL(3,B$7:B132))</f>
        <v/>
      </c>
      <c r="B132" s="32" t="str">
        <f>IF('سجل حساب الزيادة السنوية'!B131="","",'سجل حساب الزيادة السنوية'!B131)</f>
        <v/>
      </c>
      <c r="C132" s="32" t="str">
        <f>IF(B132="","",VLOOKUP(B132,'سجل حساب الزيادة السنوية'!$B$6:$Q$205,2,0))</f>
        <v/>
      </c>
      <c r="D132" s="32" t="str">
        <f>IF(B132="","",VLOOKUP(B132,'سجل حساب الزيادة السنوية'!$B$6:$Q$205,3,0))</f>
        <v/>
      </c>
      <c r="E132" s="32" t="str">
        <f>IF(B132="","",VLOOKUP(B132,'سجل حساب الزيادة السنوية'!$B$6:$Q$205,4,0))</f>
        <v/>
      </c>
      <c r="F132" s="36" t="str">
        <f>IF(B132="","",VLOOKUP(B132,'سجل حساب الزيادة السنوية'!$B$6:$Q$205,5,0))</f>
        <v/>
      </c>
      <c r="G132" s="32" t="str">
        <f>IF(B132="","",VLOOKUP(B132,'سجل حساب الزيادة السنوية'!$B$6:$Q$205,6,0))</f>
        <v/>
      </c>
      <c r="H132" s="32" t="str">
        <f>IF(B132="","",VLOOKUP(B132,'سجل حساب الزيادة السنوية'!$B$6:$Q$205,7,0))</f>
        <v/>
      </c>
      <c r="I132" s="33" t="str">
        <f>IF(B132="","",VLOOKUP(B132,'سجل حساب الزيادة السنوية'!$B$6:$Q$205,8,0))</f>
        <v/>
      </c>
      <c r="J132" s="61" t="str">
        <f>IF(B132="","",VLOOKUP(B132,'سجل حساب الزيادة السنوية'!$B$6:$Q$205,9,0))</f>
        <v/>
      </c>
      <c r="K132" s="59" t="str">
        <f>IF(B132="","",VLOOKUP(B132,'سجل حساب الزيادة السنوية'!$B$6:$Q$205,10,0))</f>
        <v/>
      </c>
      <c r="L132" s="37" t="str">
        <f>IF(B132="","",VLOOKUP(B132,'سجل حساب الزيادة السنوية'!$B$6:$Q$205,11,0))</f>
        <v/>
      </c>
      <c r="M132" s="37" t="str">
        <f>IF(B132="","",VLOOKUP(B132,'سجل حساب الزيادة السنوية'!$B$6:$Q$205,12,0))</f>
        <v/>
      </c>
      <c r="N132" s="37" t="str">
        <f>IF(B132="","",VLOOKUP(B132,'سجل حساب الزيادة السنوية'!$B$6:$Q$205,13,0))</f>
        <v/>
      </c>
      <c r="O132" s="37" t="str">
        <f>IF(B132="","",VLOOKUP(B132,'سجل حساب الزيادة السنوية'!$B$6:$Q$205,14,0))</f>
        <v/>
      </c>
      <c r="P132" s="37" t="str">
        <f>IF(B132="","",VLOOKUP(B132,'سجل حساب الزيادة السنوية'!$B$6:$Q$205,15,0))</f>
        <v/>
      </c>
      <c r="Q132" s="37" t="str">
        <f>IF(B132="","",VLOOKUP(B132,'سجل حساب الزيادة السنوية'!$B$6:$Q$205,16,0))</f>
        <v/>
      </c>
    </row>
    <row r="133" spans="1:17" ht="22.5" customHeight="1" x14ac:dyDescent="0.25">
      <c r="A133" s="32" t="str">
        <f>IF(B133="","",SUBTOTAL(3,B$7:B133))</f>
        <v/>
      </c>
      <c r="B133" s="32" t="str">
        <f>IF('سجل حساب الزيادة السنوية'!B132="","",'سجل حساب الزيادة السنوية'!B132)</f>
        <v/>
      </c>
      <c r="C133" s="32" t="str">
        <f>IF(B133="","",VLOOKUP(B133,'سجل حساب الزيادة السنوية'!$B$6:$Q$205,2,0))</f>
        <v/>
      </c>
      <c r="D133" s="32" t="str">
        <f>IF(B133="","",VLOOKUP(B133,'سجل حساب الزيادة السنوية'!$B$6:$Q$205,3,0))</f>
        <v/>
      </c>
      <c r="E133" s="32" t="str">
        <f>IF(B133="","",VLOOKUP(B133,'سجل حساب الزيادة السنوية'!$B$6:$Q$205,4,0))</f>
        <v/>
      </c>
      <c r="F133" s="36" t="str">
        <f>IF(B133="","",VLOOKUP(B133,'سجل حساب الزيادة السنوية'!$B$6:$Q$205,5,0))</f>
        <v/>
      </c>
      <c r="G133" s="32" t="str">
        <f>IF(B133="","",VLOOKUP(B133,'سجل حساب الزيادة السنوية'!$B$6:$Q$205,6,0))</f>
        <v/>
      </c>
      <c r="H133" s="32" t="str">
        <f>IF(B133="","",VLOOKUP(B133,'سجل حساب الزيادة السنوية'!$B$6:$Q$205,7,0))</f>
        <v/>
      </c>
      <c r="I133" s="33" t="str">
        <f>IF(B133="","",VLOOKUP(B133,'سجل حساب الزيادة السنوية'!$B$6:$Q$205,8,0))</f>
        <v/>
      </c>
      <c r="J133" s="61" t="str">
        <f>IF(B133="","",VLOOKUP(B133,'سجل حساب الزيادة السنوية'!$B$6:$Q$205,9,0))</f>
        <v/>
      </c>
      <c r="K133" s="59" t="str">
        <f>IF(B133="","",VLOOKUP(B133,'سجل حساب الزيادة السنوية'!$B$6:$Q$205,10,0))</f>
        <v/>
      </c>
      <c r="L133" s="37" t="str">
        <f>IF(B133="","",VLOOKUP(B133,'سجل حساب الزيادة السنوية'!$B$6:$Q$205,11,0))</f>
        <v/>
      </c>
      <c r="M133" s="37" t="str">
        <f>IF(B133="","",VLOOKUP(B133,'سجل حساب الزيادة السنوية'!$B$6:$Q$205,12,0))</f>
        <v/>
      </c>
      <c r="N133" s="37" t="str">
        <f>IF(B133="","",VLOOKUP(B133,'سجل حساب الزيادة السنوية'!$B$6:$Q$205,13,0))</f>
        <v/>
      </c>
      <c r="O133" s="37" t="str">
        <f>IF(B133="","",VLOOKUP(B133,'سجل حساب الزيادة السنوية'!$B$6:$Q$205,14,0))</f>
        <v/>
      </c>
      <c r="P133" s="37" t="str">
        <f>IF(B133="","",VLOOKUP(B133,'سجل حساب الزيادة السنوية'!$B$6:$Q$205,15,0))</f>
        <v/>
      </c>
      <c r="Q133" s="37" t="str">
        <f>IF(B133="","",VLOOKUP(B133,'سجل حساب الزيادة السنوية'!$B$6:$Q$205,16,0))</f>
        <v/>
      </c>
    </row>
    <row r="134" spans="1:17" ht="22.5" customHeight="1" x14ac:dyDescent="0.25">
      <c r="A134" s="32" t="str">
        <f>IF(B134="","",SUBTOTAL(3,B$7:B134))</f>
        <v/>
      </c>
      <c r="B134" s="32" t="str">
        <f>IF('سجل حساب الزيادة السنوية'!B133="","",'سجل حساب الزيادة السنوية'!B133)</f>
        <v/>
      </c>
      <c r="C134" s="32" t="str">
        <f>IF(B134="","",VLOOKUP(B134,'سجل حساب الزيادة السنوية'!$B$6:$Q$205,2,0))</f>
        <v/>
      </c>
      <c r="D134" s="32" t="str">
        <f>IF(B134="","",VLOOKUP(B134,'سجل حساب الزيادة السنوية'!$B$6:$Q$205,3,0))</f>
        <v/>
      </c>
      <c r="E134" s="32" t="str">
        <f>IF(B134="","",VLOOKUP(B134,'سجل حساب الزيادة السنوية'!$B$6:$Q$205,4,0))</f>
        <v/>
      </c>
      <c r="F134" s="36" t="str">
        <f>IF(B134="","",VLOOKUP(B134,'سجل حساب الزيادة السنوية'!$B$6:$Q$205,5,0))</f>
        <v/>
      </c>
      <c r="G134" s="32" t="str">
        <f>IF(B134="","",VLOOKUP(B134,'سجل حساب الزيادة السنوية'!$B$6:$Q$205,6,0))</f>
        <v/>
      </c>
      <c r="H134" s="32" t="str">
        <f>IF(B134="","",VLOOKUP(B134,'سجل حساب الزيادة السنوية'!$B$6:$Q$205,7,0))</f>
        <v/>
      </c>
      <c r="I134" s="33" t="str">
        <f>IF(B134="","",VLOOKUP(B134,'سجل حساب الزيادة السنوية'!$B$6:$Q$205,8,0))</f>
        <v/>
      </c>
      <c r="J134" s="61" t="str">
        <f>IF(B134="","",VLOOKUP(B134,'سجل حساب الزيادة السنوية'!$B$6:$Q$205,9,0))</f>
        <v/>
      </c>
      <c r="K134" s="59" t="str">
        <f>IF(B134="","",VLOOKUP(B134,'سجل حساب الزيادة السنوية'!$B$6:$Q$205,10,0))</f>
        <v/>
      </c>
      <c r="L134" s="37" t="str">
        <f>IF(B134="","",VLOOKUP(B134,'سجل حساب الزيادة السنوية'!$B$6:$Q$205,11,0))</f>
        <v/>
      </c>
      <c r="M134" s="37" t="str">
        <f>IF(B134="","",VLOOKUP(B134,'سجل حساب الزيادة السنوية'!$B$6:$Q$205,12,0))</f>
        <v/>
      </c>
      <c r="N134" s="37" t="str">
        <f>IF(B134="","",VLOOKUP(B134,'سجل حساب الزيادة السنوية'!$B$6:$Q$205,13,0))</f>
        <v/>
      </c>
      <c r="O134" s="37" t="str">
        <f>IF(B134="","",VLOOKUP(B134,'سجل حساب الزيادة السنوية'!$B$6:$Q$205,14,0))</f>
        <v/>
      </c>
      <c r="P134" s="37" t="str">
        <f>IF(B134="","",VLOOKUP(B134,'سجل حساب الزيادة السنوية'!$B$6:$Q$205,15,0))</f>
        <v/>
      </c>
      <c r="Q134" s="37" t="str">
        <f>IF(B134="","",VLOOKUP(B134,'سجل حساب الزيادة السنوية'!$B$6:$Q$205,16,0))</f>
        <v/>
      </c>
    </row>
    <row r="135" spans="1:17" ht="22.5" customHeight="1" x14ac:dyDescent="0.25">
      <c r="A135" s="32" t="str">
        <f>IF(B135="","",SUBTOTAL(3,B$7:B135))</f>
        <v/>
      </c>
      <c r="B135" s="32" t="str">
        <f>IF('سجل حساب الزيادة السنوية'!B134="","",'سجل حساب الزيادة السنوية'!B134)</f>
        <v/>
      </c>
      <c r="C135" s="32" t="str">
        <f>IF(B135="","",VLOOKUP(B135,'سجل حساب الزيادة السنوية'!$B$6:$Q$205,2,0))</f>
        <v/>
      </c>
      <c r="D135" s="32" t="str">
        <f>IF(B135="","",VLOOKUP(B135,'سجل حساب الزيادة السنوية'!$B$6:$Q$205,3,0))</f>
        <v/>
      </c>
      <c r="E135" s="32" t="str">
        <f>IF(B135="","",VLOOKUP(B135,'سجل حساب الزيادة السنوية'!$B$6:$Q$205,4,0))</f>
        <v/>
      </c>
      <c r="F135" s="36" t="str">
        <f>IF(B135="","",VLOOKUP(B135,'سجل حساب الزيادة السنوية'!$B$6:$Q$205,5,0))</f>
        <v/>
      </c>
      <c r="G135" s="32" t="str">
        <f>IF(B135="","",VLOOKUP(B135,'سجل حساب الزيادة السنوية'!$B$6:$Q$205,6,0))</f>
        <v/>
      </c>
      <c r="H135" s="32" t="str">
        <f>IF(B135="","",VLOOKUP(B135,'سجل حساب الزيادة السنوية'!$B$6:$Q$205,7,0))</f>
        <v/>
      </c>
      <c r="I135" s="33" t="str">
        <f>IF(B135="","",VLOOKUP(B135,'سجل حساب الزيادة السنوية'!$B$6:$Q$205,8,0))</f>
        <v/>
      </c>
      <c r="J135" s="61" t="str">
        <f>IF(B135="","",VLOOKUP(B135,'سجل حساب الزيادة السنوية'!$B$6:$Q$205,9,0))</f>
        <v/>
      </c>
      <c r="K135" s="59" t="str">
        <f>IF(B135="","",VLOOKUP(B135,'سجل حساب الزيادة السنوية'!$B$6:$Q$205,10,0))</f>
        <v/>
      </c>
      <c r="L135" s="37" t="str">
        <f>IF(B135="","",VLOOKUP(B135,'سجل حساب الزيادة السنوية'!$B$6:$Q$205,11,0))</f>
        <v/>
      </c>
      <c r="M135" s="37" t="str">
        <f>IF(B135="","",VLOOKUP(B135,'سجل حساب الزيادة السنوية'!$B$6:$Q$205,12,0))</f>
        <v/>
      </c>
      <c r="N135" s="37" t="str">
        <f>IF(B135="","",VLOOKUP(B135,'سجل حساب الزيادة السنوية'!$B$6:$Q$205,13,0))</f>
        <v/>
      </c>
      <c r="O135" s="37" t="str">
        <f>IF(B135="","",VLOOKUP(B135,'سجل حساب الزيادة السنوية'!$B$6:$Q$205,14,0))</f>
        <v/>
      </c>
      <c r="P135" s="37" t="str">
        <f>IF(B135="","",VLOOKUP(B135,'سجل حساب الزيادة السنوية'!$B$6:$Q$205,15,0))</f>
        <v/>
      </c>
      <c r="Q135" s="37" t="str">
        <f>IF(B135="","",VLOOKUP(B135,'سجل حساب الزيادة السنوية'!$B$6:$Q$205,16,0))</f>
        <v/>
      </c>
    </row>
    <row r="136" spans="1:17" ht="22.5" customHeight="1" x14ac:dyDescent="0.25">
      <c r="A136" s="32" t="str">
        <f>IF(B136="","",SUBTOTAL(3,B$7:B136))</f>
        <v/>
      </c>
      <c r="B136" s="32" t="str">
        <f>IF('سجل حساب الزيادة السنوية'!B135="","",'سجل حساب الزيادة السنوية'!B135)</f>
        <v/>
      </c>
      <c r="C136" s="32" t="str">
        <f>IF(B136="","",VLOOKUP(B136,'سجل حساب الزيادة السنوية'!$B$6:$Q$205,2,0))</f>
        <v/>
      </c>
      <c r="D136" s="32" t="str">
        <f>IF(B136="","",VLOOKUP(B136,'سجل حساب الزيادة السنوية'!$B$6:$Q$205,3,0))</f>
        <v/>
      </c>
      <c r="E136" s="32" t="str">
        <f>IF(B136="","",VLOOKUP(B136,'سجل حساب الزيادة السنوية'!$B$6:$Q$205,4,0))</f>
        <v/>
      </c>
      <c r="F136" s="36" t="str">
        <f>IF(B136="","",VLOOKUP(B136,'سجل حساب الزيادة السنوية'!$B$6:$Q$205,5,0))</f>
        <v/>
      </c>
      <c r="G136" s="32" t="str">
        <f>IF(B136="","",VLOOKUP(B136,'سجل حساب الزيادة السنوية'!$B$6:$Q$205,6,0))</f>
        <v/>
      </c>
      <c r="H136" s="32" t="str">
        <f>IF(B136="","",VLOOKUP(B136,'سجل حساب الزيادة السنوية'!$B$6:$Q$205,7,0))</f>
        <v/>
      </c>
      <c r="I136" s="33" t="str">
        <f>IF(B136="","",VLOOKUP(B136,'سجل حساب الزيادة السنوية'!$B$6:$Q$205,8,0))</f>
        <v/>
      </c>
      <c r="J136" s="61" t="str">
        <f>IF(B136="","",VLOOKUP(B136,'سجل حساب الزيادة السنوية'!$B$6:$Q$205,9,0))</f>
        <v/>
      </c>
      <c r="K136" s="59" t="str">
        <f>IF(B136="","",VLOOKUP(B136,'سجل حساب الزيادة السنوية'!$B$6:$Q$205,10,0))</f>
        <v/>
      </c>
      <c r="L136" s="37" t="str">
        <f>IF(B136="","",VLOOKUP(B136,'سجل حساب الزيادة السنوية'!$B$6:$Q$205,11,0))</f>
        <v/>
      </c>
      <c r="M136" s="37" t="str">
        <f>IF(B136="","",VLOOKUP(B136,'سجل حساب الزيادة السنوية'!$B$6:$Q$205,12,0))</f>
        <v/>
      </c>
      <c r="N136" s="37" t="str">
        <f>IF(B136="","",VLOOKUP(B136,'سجل حساب الزيادة السنوية'!$B$6:$Q$205,13,0))</f>
        <v/>
      </c>
      <c r="O136" s="37" t="str">
        <f>IF(B136="","",VLOOKUP(B136,'سجل حساب الزيادة السنوية'!$B$6:$Q$205,14,0))</f>
        <v/>
      </c>
      <c r="P136" s="37" t="str">
        <f>IF(B136="","",VLOOKUP(B136,'سجل حساب الزيادة السنوية'!$B$6:$Q$205,15,0))</f>
        <v/>
      </c>
      <c r="Q136" s="37" t="str">
        <f>IF(B136="","",VLOOKUP(B136,'سجل حساب الزيادة السنوية'!$B$6:$Q$205,16,0))</f>
        <v/>
      </c>
    </row>
    <row r="137" spans="1:17" ht="22.5" customHeight="1" x14ac:dyDescent="0.25">
      <c r="A137" s="32" t="str">
        <f>IF(B137="","",SUBTOTAL(3,B$7:B137))</f>
        <v/>
      </c>
      <c r="B137" s="32" t="str">
        <f>IF('سجل حساب الزيادة السنوية'!B136="","",'سجل حساب الزيادة السنوية'!B136)</f>
        <v/>
      </c>
      <c r="C137" s="32" t="str">
        <f>IF(B137="","",VLOOKUP(B137,'سجل حساب الزيادة السنوية'!$B$6:$Q$205,2,0))</f>
        <v/>
      </c>
      <c r="D137" s="32" t="str">
        <f>IF(B137="","",VLOOKUP(B137,'سجل حساب الزيادة السنوية'!$B$6:$Q$205,3,0))</f>
        <v/>
      </c>
      <c r="E137" s="32" t="str">
        <f>IF(B137="","",VLOOKUP(B137,'سجل حساب الزيادة السنوية'!$B$6:$Q$205,4,0))</f>
        <v/>
      </c>
      <c r="F137" s="36" t="str">
        <f>IF(B137="","",VLOOKUP(B137,'سجل حساب الزيادة السنوية'!$B$6:$Q$205,5,0))</f>
        <v/>
      </c>
      <c r="G137" s="32" t="str">
        <f>IF(B137="","",VLOOKUP(B137,'سجل حساب الزيادة السنوية'!$B$6:$Q$205,6,0))</f>
        <v/>
      </c>
      <c r="H137" s="32" t="str">
        <f>IF(B137="","",VLOOKUP(B137,'سجل حساب الزيادة السنوية'!$B$6:$Q$205,7,0))</f>
        <v/>
      </c>
      <c r="I137" s="33" t="str">
        <f>IF(B137="","",VLOOKUP(B137,'سجل حساب الزيادة السنوية'!$B$6:$Q$205,8,0))</f>
        <v/>
      </c>
      <c r="J137" s="61" t="str">
        <f>IF(B137="","",VLOOKUP(B137,'سجل حساب الزيادة السنوية'!$B$6:$Q$205,9,0))</f>
        <v/>
      </c>
      <c r="K137" s="59" t="str">
        <f>IF(B137="","",VLOOKUP(B137,'سجل حساب الزيادة السنوية'!$B$6:$Q$205,10,0))</f>
        <v/>
      </c>
      <c r="L137" s="37" t="str">
        <f>IF(B137="","",VLOOKUP(B137,'سجل حساب الزيادة السنوية'!$B$6:$Q$205,11,0))</f>
        <v/>
      </c>
      <c r="M137" s="37" t="str">
        <f>IF(B137="","",VLOOKUP(B137,'سجل حساب الزيادة السنوية'!$B$6:$Q$205,12,0))</f>
        <v/>
      </c>
      <c r="N137" s="37" t="str">
        <f>IF(B137="","",VLOOKUP(B137,'سجل حساب الزيادة السنوية'!$B$6:$Q$205,13,0))</f>
        <v/>
      </c>
      <c r="O137" s="37" t="str">
        <f>IF(B137="","",VLOOKUP(B137,'سجل حساب الزيادة السنوية'!$B$6:$Q$205,14,0))</f>
        <v/>
      </c>
      <c r="P137" s="37" t="str">
        <f>IF(B137="","",VLOOKUP(B137,'سجل حساب الزيادة السنوية'!$B$6:$Q$205,15,0))</f>
        <v/>
      </c>
      <c r="Q137" s="37" t="str">
        <f>IF(B137="","",VLOOKUP(B137,'سجل حساب الزيادة السنوية'!$B$6:$Q$205,16,0))</f>
        <v/>
      </c>
    </row>
    <row r="138" spans="1:17" ht="22.5" customHeight="1" x14ac:dyDescent="0.25">
      <c r="A138" s="32" t="str">
        <f>IF(B138="","",SUBTOTAL(3,B$7:B138))</f>
        <v/>
      </c>
      <c r="B138" s="32" t="str">
        <f>IF('سجل حساب الزيادة السنوية'!B137="","",'سجل حساب الزيادة السنوية'!B137)</f>
        <v/>
      </c>
      <c r="C138" s="32" t="str">
        <f>IF(B138="","",VLOOKUP(B138,'سجل حساب الزيادة السنوية'!$B$6:$Q$205,2,0))</f>
        <v/>
      </c>
      <c r="D138" s="32" t="str">
        <f>IF(B138="","",VLOOKUP(B138,'سجل حساب الزيادة السنوية'!$B$6:$Q$205,3,0))</f>
        <v/>
      </c>
      <c r="E138" s="32" t="str">
        <f>IF(B138="","",VLOOKUP(B138,'سجل حساب الزيادة السنوية'!$B$6:$Q$205,4,0))</f>
        <v/>
      </c>
      <c r="F138" s="36" t="str">
        <f>IF(B138="","",VLOOKUP(B138,'سجل حساب الزيادة السنوية'!$B$6:$Q$205,5,0))</f>
        <v/>
      </c>
      <c r="G138" s="32" t="str">
        <f>IF(B138="","",VLOOKUP(B138,'سجل حساب الزيادة السنوية'!$B$6:$Q$205,6,0))</f>
        <v/>
      </c>
      <c r="H138" s="32" t="str">
        <f>IF(B138="","",VLOOKUP(B138,'سجل حساب الزيادة السنوية'!$B$6:$Q$205,7,0))</f>
        <v/>
      </c>
      <c r="I138" s="33" t="str">
        <f>IF(B138="","",VLOOKUP(B138,'سجل حساب الزيادة السنوية'!$B$6:$Q$205,8,0))</f>
        <v/>
      </c>
      <c r="J138" s="61" t="str">
        <f>IF(B138="","",VLOOKUP(B138,'سجل حساب الزيادة السنوية'!$B$6:$Q$205,9,0))</f>
        <v/>
      </c>
      <c r="K138" s="59" t="str">
        <f>IF(B138="","",VLOOKUP(B138,'سجل حساب الزيادة السنوية'!$B$6:$Q$205,10,0))</f>
        <v/>
      </c>
      <c r="L138" s="37" t="str">
        <f>IF(B138="","",VLOOKUP(B138,'سجل حساب الزيادة السنوية'!$B$6:$Q$205,11,0))</f>
        <v/>
      </c>
      <c r="M138" s="37" t="str">
        <f>IF(B138="","",VLOOKUP(B138,'سجل حساب الزيادة السنوية'!$B$6:$Q$205,12,0))</f>
        <v/>
      </c>
      <c r="N138" s="37" t="str">
        <f>IF(B138="","",VLOOKUP(B138,'سجل حساب الزيادة السنوية'!$B$6:$Q$205,13,0))</f>
        <v/>
      </c>
      <c r="O138" s="37" t="str">
        <f>IF(B138="","",VLOOKUP(B138,'سجل حساب الزيادة السنوية'!$B$6:$Q$205,14,0))</f>
        <v/>
      </c>
      <c r="P138" s="37" t="str">
        <f>IF(B138="","",VLOOKUP(B138,'سجل حساب الزيادة السنوية'!$B$6:$Q$205,15,0))</f>
        <v/>
      </c>
      <c r="Q138" s="37" t="str">
        <f>IF(B138="","",VLOOKUP(B138,'سجل حساب الزيادة السنوية'!$B$6:$Q$205,16,0))</f>
        <v/>
      </c>
    </row>
    <row r="139" spans="1:17" ht="22.5" customHeight="1" x14ac:dyDescent="0.25">
      <c r="A139" s="32" t="str">
        <f>IF(B139="","",SUBTOTAL(3,B$7:B139))</f>
        <v/>
      </c>
      <c r="B139" s="32" t="str">
        <f>IF('سجل حساب الزيادة السنوية'!B138="","",'سجل حساب الزيادة السنوية'!B138)</f>
        <v/>
      </c>
      <c r="C139" s="32" t="str">
        <f>IF(B139="","",VLOOKUP(B139,'سجل حساب الزيادة السنوية'!$B$6:$Q$205,2,0))</f>
        <v/>
      </c>
      <c r="D139" s="32" t="str">
        <f>IF(B139="","",VLOOKUP(B139,'سجل حساب الزيادة السنوية'!$B$6:$Q$205,3,0))</f>
        <v/>
      </c>
      <c r="E139" s="32" t="str">
        <f>IF(B139="","",VLOOKUP(B139,'سجل حساب الزيادة السنوية'!$B$6:$Q$205,4,0))</f>
        <v/>
      </c>
      <c r="F139" s="36" t="str">
        <f>IF(B139="","",VLOOKUP(B139,'سجل حساب الزيادة السنوية'!$B$6:$Q$205,5,0))</f>
        <v/>
      </c>
      <c r="G139" s="32" t="str">
        <f>IF(B139="","",VLOOKUP(B139,'سجل حساب الزيادة السنوية'!$B$6:$Q$205,6,0))</f>
        <v/>
      </c>
      <c r="H139" s="32" t="str">
        <f>IF(B139="","",VLOOKUP(B139,'سجل حساب الزيادة السنوية'!$B$6:$Q$205,7,0))</f>
        <v/>
      </c>
      <c r="I139" s="33" t="str">
        <f>IF(B139="","",VLOOKUP(B139,'سجل حساب الزيادة السنوية'!$B$6:$Q$205,8,0))</f>
        <v/>
      </c>
      <c r="J139" s="61" t="str">
        <f>IF(B139="","",VLOOKUP(B139,'سجل حساب الزيادة السنوية'!$B$6:$Q$205,9,0))</f>
        <v/>
      </c>
      <c r="K139" s="59" t="str">
        <f>IF(B139="","",VLOOKUP(B139,'سجل حساب الزيادة السنوية'!$B$6:$Q$205,10,0))</f>
        <v/>
      </c>
      <c r="L139" s="37" t="str">
        <f>IF(B139="","",VLOOKUP(B139,'سجل حساب الزيادة السنوية'!$B$6:$Q$205,11,0))</f>
        <v/>
      </c>
      <c r="M139" s="37" t="str">
        <f>IF(B139="","",VLOOKUP(B139,'سجل حساب الزيادة السنوية'!$B$6:$Q$205,12,0))</f>
        <v/>
      </c>
      <c r="N139" s="37" t="str">
        <f>IF(B139="","",VLOOKUP(B139,'سجل حساب الزيادة السنوية'!$B$6:$Q$205,13,0))</f>
        <v/>
      </c>
      <c r="O139" s="37" t="str">
        <f>IF(B139="","",VLOOKUP(B139,'سجل حساب الزيادة السنوية'!$B$6:$Q$205,14,0))</f>
        <v/>
      </c>
      <c r="P139" s="37" t="str">
        <f>IF(B139="","",VLOOKUP(B139,'سجل حساب الزيادة السنوية'!$B$6:$Q$205,15,0))</f>
        <v/>
      </c>
      <c r="Q139" s="37" t="str">
        <f>IF(B139="","",VLOOKUP(B139,'سجل حساب الزيادة السنوية'!$B$6:$Q$205,16,0))</f>
        <v/>
      </c>
    </row>
    <row r="140" spans="1:17" ht="22.5" customHeight="1" x14ac:dyDescent="0.25">
      <c r="A140" s="32" t="str">
        <f>IF(B140="","",SUBTOTAL(3,B$7:B140))</f>
        <v/>
      </c>
      <c r="B140" s="32" t="str">
        <f>IF('سجل حساب الزيادة السنوية'!B139="","",'سجل حساب الزيادة السنوية'!B139)</f>
        <v/>
      </c>
      <c r="C140" s="32" t="str">
        <f>IF(B140="","",VLOOKUP(B140,'سجل حساب الزيادة السنوية'!$B$6:$Q$205,2,0))</f>
        <v/>
      </c>
      <c r="D140" s="32" t="str">
        <f>IF(B140="","",VLOOKUP(B140,'سجل حساب الزيادة السنوية'!$B$6:$Q$205,3,0))</f>
        <v/>
      </c>
      <c r="E140" s="32" t="str">
        <f>IF(B140="","",VLOOKUP(B140,'سجل حساب الزيادة السنوية'!$B$6:$Q$205,4,0))</f>
        <v/>
      </c>
      <c r="F140" s="36" t="str">
        <f>IF(B140="","",VLOOKUP(B140,'سجل حساب الزيادة السنوية'!$B$6:$Q$205,5,0))</f>
        <v/>
      </c>
      <c r="G140" s="32" t="str">
        <f>IF(B140="","",VLOOKUP(B140,'سجل حساب الزيادة السنوية'!$B$6:$Q$205,6,0))</f>
        <v/>
      </c>
      <c r="H140" s="32" t="str">
        <f>IF(B140="","",VLOOKUP(B140,'سجل حساب الزيادة السنوية'!$B$6:$Q$205,7,0))</f>
        <v/>
      </c>
      <c r="I140" s="33" t="str">
        <f>IF(B140="","",VLOOKUP(B140,'سجل حساب الزيادة السنوية'!$B$6:$Q$205,8,0))</f>
        <v/>
      </c>
      <c r="J140" s="61" t="str">
        <f>IF(B140="","",VLOOKUP(B140,'سجل حساب الزيادة السنوية'!$B$6:$Q$205,9,0))</f>
        <v/>
      </c>
      <c r="K140" s="59" t="str">
        <f>IF(B140="","",VLOOKUP(B140,'سجل حساب الزيادة السنوية'!$B$6:$Q$205,10,0))</f>
        <v/>
      </c>
      <c r="L140" s="37" t="str">
        <f>IF(B140="","",VLOOKUP(B140,'سجل حساب الزيادة السنوية'!$B$6:$Q$205,11,0))</f>
        <v/>
      </c>
      <c r="M140" s="37" t="str">
        <f>IF(B140="","",VLOOKUP(B140,'سجل حساب الزيادة السنوية'!$B$6:$Q$205,12,0))</f>
        <v/>
      </c>
      <c r="N140" s="37" t="str">
        <f>IF(B140="","",VLOOKUP(B140,'سجل حساب الزيادة السنوية'!$B$6:$Q$205,13,0))</f>
        <v/>
      </c>
      <c r="O140" s="37" t="str">
        <f>IF(B140="","",VLOOKUP(B140,'سجل حساب الزيادة السنوية'!$B$6:$Q$205,14,0))</f>
        <v/>
      </c>
      <c r="P140" s="37" t="str">
        <f>IF(B140="","",VLOOKUP(B140,'سجل حساب الزيادة السنوية'!$B$6:$Q$205,15,0))</f>
        <v/>
      </c>
      <c r="Q140" s="37" t="str">
        <f>IF(B140="","",VLOOKUP(B140,'سجل حساب الزيادة السنوية'!$B$6:$Q$205,16,0))</f>
        <v/>
      </c>
    </row>
    <row r="141" spans="1:17" ht="22.5" customHeight="1" x14ac:dyDescent="0.25">
      <c r="A141" s="32" t="str">
        <f>IF(B141="","",SUBTOTAL(3,B$7:B141))</f>
        <v/>
      </c>
      <c r="B141" s="32" t="str">
        <f>IF('سجل حساب الزيادة السنوية'!B140="","",'سجل حساب الزيادة السنوية'!B140)</f>
        <v/>
      </c>
      <c r="C141" s="32" t="str">
        <f>IF(B141="","",VLOOKUP(B141,'سجل حساب الزيادة السنوية'!$B$6:$Q$205,2,0))</f>
        <v/>
      </c>
      <c r="D141" s="32" t="str">
        <f>IF(B141="","",VLOOKUP(B141,'سجل حساب الزيادة السنوية'!$B$6:$Q$205,3,0))</f>
        <v/>
      </c>
      <c r="E141" s="32" t="str">
        <f>IF(B141="","",VLOOKUP(B141,'سجل حساب الزيادة السنوية'!$B$6:$Q$205,4,0))</f>
        <v/>
      </c>
      <c r="F141" s="36" t="str">
        <f>IF(B141="","",VLOOKUP(B141,'سجل حساب الزيادة السنوية'!$B$6:$Q$205,5,0))</f>
        <v/>
      </c>
      <c r="G141" s="32" t="str">
        <f>IF(B141="","",VLOOKUP(B141,'سجل حساب الزيادة السنوية'!$B$6:$Q$205,6,0))</f>
        <v/>
      </c>
      <c r="H141" s="32" t="str">
        <f>IF(B141="","",VLOOKUP(B141,'سجل حساب الزيادة السنوية'!$B$6:$Q$205,7,0))</f>
        <v/>
      </c>
      <c r="I141" s="33" t="str">
        <f>IF(B141="","",VLOOKUP(B141,'سجل حساب الزيادة السنوية'!$B$6:$Q$205,8,0))</f>
        <v/>
      </c>
      <c r="J141" s="61" t="str">
        <f>IF(B141="","",VLOOKUP(B141,'سجل حساب الزيادة السنوية'!$B$6:$Q$205,9,0))</f>
        <v/>
      </c>
      <c r="K141" s="59" t="str">
        <f>IF(B141="","",VLOOKUP(B141,'سجل حساب الزيادة السنوية'!$B$6:$Q$205,10,0))</f>
        <v/>
      </c>
      <c r="L141" s="37" t="str">
        <f>IF(B141="","",VLOOKUP(B141,'سجل حساب الزيادة السنوية'!$B$6:$Q$205,11,0))</f>
        <v/>
      </c>
      <c r="M141" s="37" t="str">
        <f>IF(B141="","",VLOOKUP(B141,'سجل حساب الزيادة السنوية'!$B$6:$Q$205,12,0))</f>
        <v/>
      </c>
      <c r="N141" s="37" t="str">
        <f>IF(B141="","",VLOOKUP(B141,'سجل حساب الزيادة السنوية'!$B$6:$Q$205,13,0))</f>
        <v/>
      </c>
      <c r="O141" s="37" t="str">
        <f>IF(B141="","",VLOOKUP(B141,'سجل حساب الزيادة السنوية'!$B$6:$Q$205,14,0))</f>
        <v/>
      </c>
      <c r="P141" s="37" t="str">
        <f>IF(B141="","",VLOOKUP(B141,'سجل حساب الزيادة السنوية'!$B$6:$Q$205,15,0))</f>
        <v/>
      </c>
      <c r="Q141" s="37" t="str">
        <f>IF(B141="","",VLOOKUP(B141,'سجل حساب الزيادة السنوية'!$B$6:$Q$205,16,0))</f>
        <v/>
      </c>
    </row>
    <row r="142" spans="1:17" ht="22.5" customHeight="1" x14ac:dyDescent="0.25">
      <c r="A142" s="32" t="str">
        <f>IF(B142="","",SUBTOTAL(3,B$7:B142))</f>
        <v/>
      </c>
      <c r="B142" s="32" t="str">
        <f>IF('سجل حساب الزيادة السنوية'!B141="","",'سجل حساب الزيادة السنوية'!B141)</f>
        <v/>
      </c>
      <c r="C142" s="32" t="str">
        <f>IF(B142="","",VLOOKUP(B142,'سجل حساب الزيادة السنوية'!$B$6:$Q$205,2,0))</f>
        <v/>
      </c>
      <c r="D142" s="32" t="str">
        <f>IF(B142="","",VLOOKUP(B142,'سجل حساب الزيادة السنوية'!$B$6:$Q$205,3,0))</f>
        <v/>
      </c>
      <c r="E142" s="32" t="str">
        <f>IF(B142="","",VLOOKUP(B142,'سجل حساب الزيادة السنوية'!$B$6:$Q$205,4,0))</f>
        <v/>
      </c>
      <c r="F142" s="36" t="str">
        <f>IF(B142="","",VLOOKUP(B142,'سجل حساب الزيادة السنوية'!$B$6:$Q$205,5,0))</f>
        <v/>
      </c>
      <c r="G142" s="32" t="str">
        <f>IF(B142="","",VLOOKUP(B142,'سجل حساب الزيادة السنوية'!$B$6:$Q$205,6,0))</f>
        <v/>
      </c>
      <c r="H142" s="32" t="str">
        <f>IF(B142="","",VLOOKUP(B142,'سجل حساب الزيادة السنوية'!$B$6:$Q$205,7,0))</f>
        <v/>
      </c>
      <c r="I142" s="33" t="str">
        <f>IF(B142="","",VLOOKUP(B142,'سجل حساب الزيادة السنوية'!$B$6:$Q$205,8,0))</f>
        <v/>
      </c>
      <c r="J142" s="61" t="str">
        <f>IF(B142="","",VLOOKUP(B142,'سجل حساب الزيادة السنوية'!$B$6:$Q$205,9,0))</f>
        <v/>
      </c>
      <c r="K142" s="59" t="str">
        <f>IF(B142="","",VLOOKUP(B142,'سجل حساب الزيادة السنوية'!$B$6:$Q$205,10,0))</f>
        <v/>
      </c>
      <c r="L142" s="37" t="str">
        <f>IF(B142="","",VLOOKUP(B142,'سجل حساب الزيادة السنوية'!$B$6:$Q$205,11,0))</f>
        <v/>
      </c>
      <c r="M142" s="37" t="str">
        <f>IF(B142="","",VLOOKUP(B142,'سجل حساب الزيادة السنوية'!$B$6:$Q$205,12,0))</f>
        <v/>
      </c>
      <c r="N142" s="37" t="str">
        <f>IF(B142="","",VLOOKUP(B142,'سجل حساب الزيادة السنوية'!$B$6:$Q$205,13,0))</f>
        <v/>
      </c>
      <c r="O142" s="37" t="str">
        <f>IF(B142="","",VLOOKUP(B142,'سجل حساب الزيادة السنوية'!$B$6:$Q$205,14,0))</f>
        <v/>
      </c>
      <c r="P142" s="37" t="str">
        <f>IF(B142="","",VLOOKUP(B142,'سجل حساب الزيادة السنوية'!$B$6:$Q$205,15,0))</f>
        <v/>
      </c>
      <c r="Q142" s="37" t="str">
        <f>IF(B142="","",VLOOKUP(B142,'سجل حساب الزيادة السنوية'!$B$6:$Q$205,16,0))</f>
        <v/>
      </c>
    </row>
    <row r="143" spans="1:17" ht="22.5" customHeight="1" x14ac:dyDescent="0.25">
      <c r="A143" s="32" t="str">
        <f>IF(B143="","",SUBTOTAL(3,B$7:B143))</f>
        <v/>
      </c>
      <c r="B143" s="32" t="str">
        <f>IF('سجل حساب الزيادة السنوية'!B142="","",'سجل حساب الزيادة السنوية'!B142)</f>
        <v/>
      </c>
      <c r="C143" s="32" t="str">
        <f>IF(B143="","",VLOOKUP(B143,'سجل حساب الزيادة السنوية'!$B$6:$Q$205,2,0))</f>
        <v/>
      </c>
      <c r="D143" s="32" t="str">
        <f>IF(B143="","",VLOOKUP(B143,'سجل حساب الزيادة السنوية'!$B$6:$Q$205,3,0))</f>
        <v/>
      </c>
      <c r="E143" s="32" t="str">
        <f>IF(B143="","",VLOOKUP(B143,'سجل حساب الزيادة السنوية'!$B$6:$Q$205,4,0))</f>
        <v/>
      </c>
      <c r="F143" s="36" t="str">
        <f>IF(B143="","",VLOOKUP(B143,'سجل حساب الزيادة السنوية'!$B$6:$Q$205,5,0))</f>
        <v/>
      </c>
      <c r="G143" s="32" t="str">
        <f>IF(B143="","",VLOOKUP(B143,'سجل حساب الزيادة السنوية'!$B$6:$Q$205,6,0))</f>
        <v/>
      </c>
      <c r="H143" s="32" t="str">
        <f>IF(B143="","",VLOOKUP(B143,'سجل حساب الزيادة السنوية'!$B$6:$Q$205,7,0))</f>
        <v/>
      </c>
      <c r="I143" s="33" t="str">
        <f>IF(B143="","",VLOOKUP(B143,'سجل حساب الزيادة السنوية'!$B$6:$Q$205,8,0))</f>
        <v/>
      </c>
      <c r="J143" s="61" t="str">
        <f>IF(B143="","",VLOOKUP(B143,'سجل حساب الزيادة السنوية'!$B$6:$Q$205,9,0))</f>
        <v/>
      </c>
      <c r="K143" s="59" t="str">
        <f>IF(B143="","",VLOOKUP(B143,'سجل حساب الزيادة السنوية'!$B$6:$Q$205,10,0))</f>
        <v/>
      </c>
      <c r="L143" s="37" t="str">
        <f>IF(B143="","",VLOOKUP(B143,'سجل حساب الزيادة السنوية'!$B$6:$Q$205,11,0))</f>
        <v/>
      </c>
      <c r="M143" s="37" t="str">
        <f>IF(B143="","",VLOOKUP(B143,'سجل حساب الزيادة السنوية'!$B$6:$Q$205,12,0))</f>
        <v/>
      </c>
      <c r="N143" s="37" t="str">
        <f>IF(B143="","",VLOOKUP(B143,'سجل حساب الزيادة السنوية'!$B$6:$Q$205,13,0))</f>
        <v/>
      </c>
      <c r="O143" s="37" t="str">
        <f>IF(B143="","",VLOOKUP(B143,'سجل حساب الزيادة السنوية'!$B$6:$Q$205,14,0))</f>
        <v/>
      </c>
      <c r="P143" s="37" t="str">
        <f>IF(B143="","",VLOOKUP(B143,'سجل حساب الزيادة السنوية'!$B$6:$Q$205,15,0))</f>
        <v/>
      </c>
      <c r="Q143" s="37" t="str">
        <f>IF(B143="","",VLOOKUP(B143,'سجل حساب الزيادة السنوية'!$B$6:$Q$205,16,0))</f>
        <v/>
      </c>
    </row>
    <row r="144" spans="1:17" ht="22.5" customHeight="1" x14ac:dyDescent="0.25">
      <c r="A144" s="32" t="str">
        <f>IF(B144="","",SUBTOTAL(3,B$7:B144))</f>
        <v/>
      </c>
      <c r="B144" s="32" t="str">
        <f>IF('سجل حساب الزيادة السنوية'!B143="","",'سجل حساب الزيادة السنوية'!B143)</f>
        <v/>
      </c>
      <c r="C144" s="32" t="str">
        <f>IF(B144="","",VLOOKUP(B144,'سجل حساب الزيادة السنوية'!$B$6:$Q$205,2,0))</f>
        <v/>
      </c>
      <c r="D144" s="32" t="str">
        <f>IF(B144="","",VLOOKUP(B144,'سجل حساب الزيادة السنوية'!$B$6:$Q$205,3,0))</f>
        <v/>
      </c>
      <c r="E144" s="32" t="str">
        <f>IF(B144="","",VLOOKUP(B144,'سجل حساب الزيادة السنوية'!$B$6:$Q$205,4,0))</f>
        <v/>
      </c>
      <c r="F144" s="36" t="str">
        <f>IF(B144="","",VLOOKUP(B144,'سجل حساب الزيادة السنوية'!$B$6:$Q$205,5,0))</f>
        <v/>
      </c>
      <c r="G144" s="32" t="str">
        <f>IF(B144="","",VLOOKUP(B144,'سجل حساب الزيادة السنوية'!$B$6:$Q$205,6,0))</f>
        <v/>
      </c>
      <c r="H144" s="32" t="str">
        <f>IF(B144="","",VLOOKUP(B144,'سجل حساب الزيادة السنوية'!$B$6:$Q$205,7,0))</f>
        <v/>
      </c>
      <c r="I144" s="33" t="str">
        <f>IF(B144="","",VLOOKUP(B144,'سجل حساب الزيادة السنوية'!$B$6:$Q$205,8,0))</f>
        <v/>
      </c>
      <c r="J144" s="61" t="str">
        <f>IF(B144="","",VLOOKUP(B144,'سجل حساب الزيادة السنوية'!$B$6:$Q$205,9,0))</f>
        <v/>
      </c>
      <c r="K144" s="59" t="str">
        <f>IF(B144="","",VLOOKUP(B144,'سجل حساب الزيادة السنوية'!$B$6:$Q$205,10,0))</f>
        <v/>
      </c>
      <c r="L144" s="37" t="str">
        <f>IF(B144="","",VLOOKUP(B144,'سجل حساب الزيادة السنوية'!$B$6:$Q$205,11,0))</f>
        <v/>
      </c>
      <c r="M144" s="37" t="str">
        <f>IF(B144="","",VLOOKUP(B144,'سجل حساب الزيادة السنوية'!$B$6:$Q$205,12,0))</f>
        <v/>
      </c>
      <c r="N144" s="37" t="str">
        <f>IF(B144="","",VLOOKUP(B144,'سجل حساب الزيادة السنوية'!$B$6:$Q$205,13,0))</f>
        <v/>
      </c>
      <c r="O144" s="37" t="str">
        <f>IF(B144="","",VLOOKUP(B144,'سجل حساب الزيادة السنوية'!$B$6:$Q$205,14,0))</f>
        <v/>
      </c>
      <c r="P144" s="37" t="str">
        <f>IF(B144="","",VLOOKUP(B144,'سجل حساب الزيادة السنوية'!$B$6:$Q$205,15,0))</f>
        <v/>
      </c>
      <c r="Q144" s="37" t="str">
        <f>IF(B144="","",VLOOKUP(B144,'سجل حساب الزيادة السنوية'!$B$6:$Q$205,16,0))</f>
        <v/>
      </c>
    </row>
    <row r="145" spans="1:17" ht="22.5" customHeight="1" x14ac:dyDescent="0.25">
      <c r="A145" s="32" t="str">
        <f>IF(B145="","",SUBTOTAL(3,B$7:B145))</f>
        <v/>
      </c>
      <c r="B145" s="32" t="str">
        <f>IF('سجل حساب الزيادة السنوية'!B144="","",'سجل حساب الزيادة السنوية'!B144)</f>
        <v/>
      </c>
      <c r="C145" s="32" t="str">
        <f>IF(B145="","",VLOOKUP(B145,'سجل حساب الزيادة السنوية'!$B$6:$Q$205,2,0))</f>
        <v/>
      </c>
      <c r="D145" s="32" t="str">
        <f>IF(B145="","",VLOOKUP(B145,'سجل حساب الزيادة السنوية'!$B$6:$Q$205,3,0))</f>
        <v/>
      </c>
      <c r="E145" s="32" t="str">
        <f>IF(B145="","",VLOOKUP(B145,'سجل حساب الزيادة السنوية'!$B$6:$Q$205,4,0))</f>
        <v/>
      </c>
      <c r="F145" s="36" t="str">
        <f>IF(B145="","",VLOOKUP(B145,'سجل حساب الزيادة السنوية'!$B$6:$Q$205,5,0))</f>
        <v/>
      </c>
      <c r="G145" s="32" t="str">
        <f>IF(B145="","",VLOOKUP(B145,'سجل حساب الزيادة السنوية'!$B$6:$Q$205,6,0))</f>
        <v/>
      </c>
      <c r="H145" s="32" t="str">
        <f>IF(B145="","",VLOOKUP(B145,'سجل حساب الزيادة السنوية'!$B$6:$Q$205,7,0))</f>
        <v/>
      </c>
      <c r="I145" s="33" t="str">
        <f>IF(B145="","",VLOOKUP(B145,'سجل حساب الزيادة السنوية'!$B$6:$Q$205,8,0))</f>
        <v/>
      </c>
      <c r="J145" s="61" t="str">
        <f>IF(B145="","",VLOOKUP(B145,'سجل حساب الزيادة السنوية'!$B$6:$Q$205,9,0))</f>
        <v/>
      </c>
      <c r="K145" s="59" t="str">
        <f>IF(B145="","",VLOOKUP(B145,'سجل حساب الزيادة السنوية'!$B$6:$Q$205,10,0))</f>
        <v/>
      </c>
      <c r="L145" s="37" t="str">
        <f>IF(B145="","",VLOOKUP(B145,'سجل حساب الزيادة السنوية'!$B$6:$Q$205,11,0))</f>
        <v/>
      </c>
      <c r="M145" s="37" t="str">
        <f>IF(B145="","",VLOOKUP(B145,'سجل حساب الزيادة السنوية'!$B$6:$Q$205,12,0))</f>
        <v/>
      </c>
      <c r="N145" s="37" t="str">
        <f>IF(B145="","",VLOOKUP(B145,'سجل حساب الزيادة السنوية'!$B$6:$Q$205,13,0))</f>
        <v/>
      </c>
      <c r="O145" s="37" t="str">
        <f>IF(B145="","",VLOOKUP(B145,'سجل حساب الزيادة السنوية'!$B$6:$Q$205,14,0))</f>
        <v/>
      </c>
      <c r="P145" s="37" t="str">
        <f>IF(B145="","",VLOOKUP(B145,'سجل حساب الزيادة السنوية'!$B$6:$Q$205,15,0))</f>
        <v/>
      </c>
      <c r="Q145" s="37" t="str">
        <f>IF(B145="","",VLOOKUP(B145,'سجل حساب الزيادة السنوية'!$B$6:$Q$205,16,0))</f>
        <v/>
      </c>
    </row>
    <row r="146" spans="1:17" ht="22.5" customHeight="1" x14ac:dyDescent="0.25">
      <c r="A146" s="32" t="str">
        <f>IF(B146="","",SUBTOTAL(3,B$7:B146))</f>
        <v/>
      </c>
      <c r="B146" s="32" t="str">
        <f>IF('سجل حساب الزيادة السنوية'!B145="","",'سجل حساب الزيادة السنوية'!B145)</f>
        <v/>
      </c>
      <c r="C146" s="32" t="str">
        <f>IF(B146="","",VLOOKUP(B146,'سجل حساب الزيادة السنوية'!$B$6:$Q$205,2,0))</f>
        <v/>
      </c>
      <c r="D146" s="32" t="str">
        <f>IF(B146="","",VLOOKUP(B146,'سجل حساب الزيادة السنوية'!$B$6:$Q$205,3,0))</f>
        <v/>
      </c>
      <c r="E146" s="32" t="str">
        <f>IF(B146="","",VLOOKUP(B146,'سجل حساب الزيادة السنوية'!$B$6:$Q$205,4,0))</f>
        <v/>
      </c>
      <c r="F146" s="36" t="str">
        <f>IF(B146="","",VLOOKUP(B146,'سجل حساب الزيادة السنوية'!$B$6:$Q$205,5,0))</f>
        <v/>
      </c>
      <c r="G146" s="32" t="str">
        <f>IF(B146="","",VLOOKUP(B146,'سجل حساب الزيادة السنوية'!$B$6:$Q$205,6,0))</f>
        <v/>
      </c>
      <c r="H146" s="32" t="str">
        <f>IF(B146="","",VLOOKUP(B146,'سجل حساب الزيادة السنوية'!$B$6:$Q$205,7,0))</f>
        <v/>
      </c>
      <c r="I146" s="33" t="str">
        <f>IF(B146="","",VLOOKUP(B146,'سجل حساب الزيادة السنوية'!$B$6:$Q$205,8,0))</f>
        <v/>
      </c>
      <c r="J146" s="61" t="str">
        <f>IF(B146="","",VLOOKUP(B146,'سجل حساب الزيادة السنوية'!$B$6:$Q$205,9,0))</f>
        <v/>
      </c>
      <c r="K146" s="59" t="str">
        <f>IF(B146="","",VLOOKUP(B146,'سجل حساب الزيادة السنوية'!$B$6:$Q$205,10,0))</f>
        <v/>
      </c>
      <c r="L146" s="37" t="str">
        <f>IF(B146="","",VLOOKUP(B146,'سجل حساب الزيادة السنوية'!$B$6:$Q$205,11,0))</f>
        <v/>
      </c>
      <c r="M146" s="37" t="str">
        <f>IF(B146="","",VLOOKUP(B146,'سجل حساب الزيادة السنوية'!$B$6:$Q$205,12,0))</f>
        <v/>
      </c>
      <c r="N146" s="37" t="str">
        <f>IF(B146="","",VLOOKUP(B146,'سجل حساب الزيادة السنوية'!$B$6:$Q$205,13,0))</f>
        <v/>
      </c>
      <c r="O146" s="37" t="str">
        <f>IF(B146="","",VLOOKUP(B146,'سجل حساب الزيادة السنوية'!$B$6:$Q$205,14,0))</f>
        <v/>
      </c>
      <c r="P146" s="37" t="str">
        <f>IF(B146="","",VLOOKUP(B146,'سجل حساب الزيادة السنوية'!$B$6:$Q$205,15,0))</f>
        <v/>
      </c>
      <c r="Q146" s="37" t="str">
        <f>IF(B146="","",VLOOKUP(B146,'سجل حساب الزيادة السنوية'!$B$6:$Q$205,16,0))</f>
        <v/>
      </c>
    </row>
    <row r="147" spans="1:17" ht="22.5" customHeight="1" x14ac:dyDescent="0.25">
      <c r="A147" s="32" t="str">
        <f>IF(B147="","",SUBTOTAL(3,B$7:B147))</f>
        <v/>
      </c>
      <c r="B147" s="32" t="str">
        <f>IF('سجل حساب الزيادة السنوية'!B146="","",'سجل حساب الزيادة السنوية'!B146)</f>
        <v/>
      </c>
      <c r="C147" s="32" t="str">
        <f>IF(B147="","",VLOOKUP(B147,'سجل حساب الزيادة السنوية'!$B$6:$Q$205,2,0))</f>
        <v/>
      </c>
      <c r="D147" s="32" t="str">
        <f>IF(B147="","",VLOOKUP(B147,'سجل حساب الزيادة السنوية'!$B$6:$Q$205,3,0))</f>
        <v/>
      </c>
      <c r="E147" s="32" t="str">
        <f>IF(B147="","",VLOOKUP(B147,'سجل حساب الزيادة السنوية'!$B$6:$Q$205,4,0))</f>
        <v/>
      </c>
      <c r="F147" s="36" t="str">
        <f>IF(B147="","",VLOOKUP(B147,'سجل حساب الزيادة السنوية'!$B$6:$Q$205,5,0))</f>
        <v/>
      </c>
      <c r="G147" s="32" t="str">
        <f>IF(B147="","",VLOOKUP(B147,'سجل حساب الزيادة السنوية'!$B$6:$Q$205,6,0))</f>
        <v/>
      </c>
      <c r="H147" s="32" t="str">
        <f>IF(B147="","",VLOOKUP(B147,'سجل حساب الزيادة السنوية'!$B$6:$Q$205,7,0))</f>
        <v/>
      </c>
      <c r="I147" s="33" t="str">
        <f>IF(B147="","",VLOOKUP(B147,'سجل حساب الزيادة السنوية'!$B$6:$Q$205,8,0))</f>
        <v/>
      </c>
      <c r="J147" s="61" t="str">
        <f>IF(B147="","",VLOOKUP(B147,'سجل حساب الزيادة السنوية'!$B$6:$Q$205,9,0))</f>
        <v/>
      </c>
      <c r="K147" s="59" t="str">
        <f>IF(B147="","",VLOOKUP(B147,'سجل حساب الزيادة السنوية'!$B$6:$Q$205,10,0))</f>
        <v/>
      </c>
      <c r="L147" s="37" t="str">
        <f>IF(B147="","",VLOOKUP(B147,'سجل حساب الزيادة السنوية'!$B$6:$Q$205,11,0))</f>
        <v/>
      </c>
      <c r="M147" s="37" t="str">
        <f>IF(B147="","",VLOOKUP(B147,'سجل حساب الزيادة السنوية'!$B$6:$Q$205,12,0))</f>
        <v/>
      </c>
      <c r="N147" s="37" t="str">
        <f>IF(B147="","",VLOOKUP(B147,'سجل حساب الزيادة السنوية'!$B$6:$Q$205,13,0))</f>
        <v/>
      </c>
      <c r="O147" s="37" t="str">
        <f>IF(B147="","",VLOOKUP(B147,'سجل حساب الزيادة السنوية'!$B$6:$Q$205,14,0))</f>
        <v/>
      </c>
      <c r="P147" s="37" t="str">
        <f>IF(B147="","",VLOOKUP(B147,'سجل حساب الزيادة السنوية'!$B$6:$Q$205,15,0))</f>
        <v/>
      </c>
      <c r="Q147" s="37" t="str">
        <f>IF(B147="","",VLOOKUP(B147,'سجل حساب الزيادة السنوية'!$B$6:$Q$205,16,0))</f>
        <v/>
      </c>
    </row>
    <row r="148" spans="1:17" ht="22.5" customHeight="1" x14ac:dyDescent="0.25">
      <c r="A148" s="32" t="str">
        <f>IF(B148="","",SUBTOTAL(3,B$7:B148))</f>
        <v/>
      </c>
      <c r="B148" s="32" t="str">
        <f>IF('سجل حساب الزيادة السنوية'!B147="","",'سجل حساب الزيادة السنوية'!B147)</f>
        <v/>
      </c>
      <c r="C148" s="32" t="str">
        <f>IF(B148="","",VLOOKUP(B148,'سجل حساب الزيادة السنوية'!$B$6:$Q$205,2,0))</f>
        <v/>
      </c>
      <c r="D148" s="32" t="str">
        <f>IF(B148="","",VLOOKUP(B148,'سجل حساب الزيادة السنوية'!$B$6:$Q$205,3,0))</f>
        <v/>
      </c>
      <c r="E148" s="32" t="str">
        <f>IF(B148="","",VLOOKUP(B148,'سجل حساب الزيادة السنوية'!$B$6:$Q$205,4,0))</f>
        <v/>
      </c>
      <c r="F148" s="36" t="str">
        <f>IF(B148="","",VLOOKUP(B148,'سجل حساب الزيادة السنوية'!$B$6:$Q$205,5,0))</f>
        <v/>
      </c>
      <c r="G148" s="32" t="str">
        <f>IF(B148="","",VLOOKUP(B148,'سجل حساب الزيادة السنوية'!$B$6:$Q$205,6,0))</f>
        <v/>
      </c>
      <c r="H148" s="32" t="str">
        <f>IF(B148="","",VLOOKUP(B148,'سجل حساب الزيادة السنوية'!$B$6:$Q$205,7,0))</f>
        <v/>
      </c>
      <c r="I148" s="33" t="str">
        <f>IF(B148="","",VLOOKUP(B148,'سجل حساب الزيادة السنوية'!$B$6:$Q$205,8,0))</f>
        <v/>
      </c>
      <c r="J148" s="61" t="str">
        <f>IF(B148="","",VLOOKUP(B148,'سجل حساب الزيادة السنوية'!$B$6:$Q$205,9,0))</f>
        <v/>
      </c>
      <c r="K148" s="59" t="str">
        <f>IF(B148="","",VLOOKUP(B148,'سجل حساب الزيادة السنوية'!$B$6:$Q$205,10,0))</f>
        <v/>
      </c>
      <c r="L148" s="37" t="str">
        <f>IF(B148="","",VLOOKUP(B148,'سجل حساب الزيادة السنوية'!$B$6:$Q$205,11,0))</f>
        <v/>
      </c>
      <c r="M148" s="37" t="str">
        <f>IF(B148="","",VLOOKUP(B148,'سجل حساب الزيادة السنوية'!$B$6:$Q$205,12,0))</f>
        <v/>
      </c>
      <c r="N148" s="37" t="str">
        <f>IF(B148="","",VLOOKUP(B148,'سجل حساب الزيادة السنوية'!$B$6:$Q$205,13,0))</f>
        <v/>
      </c>
      <c r="O148" s="37" t="str">
        <f>IF(B148="","",VLOOKUP(B148,'سجل حساب الزيادة السنوية'!$B$6:$Q$205,14,0))</f>
        <v/>
      </c>
      <c r="P148" s="37" t="str">
        <f>IF(B148="","",VLOOKUP(B148,'سجل حساب الزيادة السنوية'!$B$6:$Q$205,15,0))</f>
        <v/>
      </c>
      <c r="Q148" s="37" t="str">
        <f>IF(B148="","",VLOOKUP(B148,'سجل حساب الزيادة السنوية'!$B$6:$Q$205,16,0))</f>
        <v/>
      </c>
    </row>
    <row r="149" spans="1:17" ht="22.5" customHeight="1" x14ac:dyDescent="0.25">
      <c r="A149" s="32" t="str">
        <f>IF(B149="","",SUBTOTAL(3,B$7:B149))</f>
        <v/>
      </c>
      <c r="B149" s="32" t="str">
        <f>IF('سجل حساب الزيادة السنوية'!B148="","",'سجل حساب الزيادة السنوية'!B148)</f>
        <v/>
      </c>
      <c r="C149" s="32" t="str">
        <f>IF(B149="","",VLOOKUP(B149,'سجل حساب الزيادة السنوية'!$B$6:$Q$205,2,0))</f>
        <v/>
      </c>
      <c r="D149" s="32" t="str">
        <f>IF(B149="","",VLOOKUP(B149,'سجل حساب الزيادة السنوية'!$B$6:$Q$205,3,0))</f>
        <v/>
      </c>
      <c r="E149" s="32" t="str">
        <f>IF(B149="","",VLOOKUP(B149,'سجل حساب الزيادة السنوية'!$B$6:$Q$205,4,0))</f>
        <v/>
      </c>
      <c r="F149" s="36" t="str">
        <f>IF(B149="","",VLOOKUP(B149,'سجل حساب الزيادة السنوية'!$B$6:$Q$205,5,0))</f>
        <v/>
      </c>
      <c r="G149" s="32" t="str">
        <f>IF(B149="","",VLOOKUP(B149,'سجل حساب الزيادة السنوية'!$B$6:$Q$205,6,0))</f>
        <v/>
      </c>
      <c r="H149" s="32" t="str">
        <f>IF(B149="","",VLOOKUP(B149,'سجل حساب الزيادة السنوية'!$B$6:$Q$205,7,0))</f>
        <v/>
      </c>
      <c r="I149" s="33" t="str">
        <f>IF(B149="","",VLOOKUP(B149,'سجل حساب الزيادة السنوية'!$B$6:$Q$205,8,0))</f>
        <v/>
      </c>
      <c r="J149" s="61" t="str">
        <f>IF(B149="","",VLOOKUP(B149,'سجل حساب الزيادة السنوية'!$B$6:$Q$205,9,0))</f>
        <v/>
      </c>
      <c r="K149" s="59" t="str">
        <f>IF(B149="","",VLOOKUP(B149,'سجل حساب الزيادة السنوية'!$B$6:$Q$205,10,0))</f>
        <v/>
      </c>
      <c r="L149" s="37" t="str">
        <f>IF(B149="","",VLOOKUP(B149,'سجل حساب الزيادة السنوية'!$B$6:$Q$205,11,0))</f>
        <v/>
      </c>
      <c r="M149" s="37" t="str">
        <f>IF(B149="","",VLOOKUP(B149,'سجل حساب الزيادة السنوية'!$B$6:$Q$205,12,0))</f>
        <v/>
      </c>
      <c r="N149" s="37" t="str">
        <f>IF(B149="","",VLOOKUP(B149,'سجل حساب الزيادة السنوية'!$B$6:$Q$205,13,0))</f>
        <v/>
      </c>
      <c r="O149" s="37" t="str">
        <f>IF(B149="","",VLOOKUP(B149,'سجل حساب الزيادة السنوية'!$B$6:$Q$205,14,0))</f>
        <v/>
      </c>
      <c r="P149" s="37" t="str">
        <f>IF(B149="","",VLOOKUP(B149,'سجل حساب الزيادة السنوية'!$B$6:$Q$205,15,0))</f>
        <v/>
      </c>
      <c r="Q149" s="37" t="str">
        <f>IF(B149="","",VLOOKUP(B149,'سجل حساب الزيادة السنوية'!$B$6:$Q$205,16,0))</f>
        <v/>
      </c>
    </row>
    <row r="150" spans="1:17" ht="22.5" customHeight="1" x14ac:dyDescent="0.25">
      <c r="A150" s="32" t="str">
        <f>IF(B150="","",SUBTOTAL(3,B$7:B150))</f>
        <v/>
      </c>
      <c r="B150" s="32" t="str">
        <f>IF('سجل حساب الزيادة السنوية'!B149="","",'سجل حساب الزيادة السنوية'!B149)</f>
        <v/>
      </c>
      <c r="C150" s="32" t="str">
        <f>IF(B150="","",VLOOKUP(B150,'سجل حساب الزيادة السنوية'!$B$6:$Q$205,2,0))</f>
        <v/>
      </c>
      <c r="D150" s="32" t="str">
        <f>IF(B150="","",VLOOKUP(B150,'سجل حساب الزيادة السنوية'!$B$6:$Q$205,3,0))</f>
        <v/>
      </c>
      <c r="E150" s="32" t="str">
        <f>IF(B150="","",VLOOKUP(B150,'سجل حساب الزيادة السنوية'!$B$6:$Q$205,4,0))</f>
        <v/>
      </c>
      <c r="F150" s="36" t="str">
        <f>IF(B150="","",VLOOKUP(B150,'سجل حساب الزيادة السنوية'!$B$6:$Q$205,5,0))</f>
        <v/>
      </c>
      <c r="G150" s="32" t="str">
        <f>IF(B150="","",VLOOKUP(B150,'سجل حساب الزيادة السنوية'!$B$6:$Q$205,6,0))</f>
        <v/>
      </c>
      <c r="H150" s="32" t="str">
        <f>IF(B150="","",VLOOKUP(B150,'سجل حساب الزيادة السنوية'!$B$6:$Q$205,7,0))</f>
        <v/>
      </c>
      <c r="I150" s="33" t="str">
        <f>IF(B150="","",VLOOKUP(B150,'سجل حساب الزيادة السنوية'!$B$6:$Q$205,8,0))</f>
        <v/>
      </c>
      <c r="J150" s="61" t="str">
        <f>IF(B150="","",VLOOKUP(B150,'سجل حساب الزيادة السنوية'!$B$6:$Q$205,9,0))</f>
        <v/>
      </c>
      <c r="K150" s="59" t="str">
        <f>IF(B150="","",VLOOKUP(B150,'سجل حساب الزيادة السنوية'!$B$6:$Q$205,10,0))</f>
        <v/>
      </c>
      <c r="L150" s="37" t="str">
        <f>IF(B150="","",VLOOKUP(B150,'سجل حساب الزيادة السنوية'!$B$6:$Q$205,11,0))</f>
        <v/>
      </c>
      <c r="M150" s="37" t="str">
        <f>IF(B150="","",VLOOKUP(B150,'سجل حساب الزيادة السنوية'!$B$6:$Q$205,12,0))</f>
        <v/>
      </c>
      <c r="N150" s="37" t="str">
        <f>IF(B150="","",VLOOKUP(B150,'سجل حساب الزيادة السنوية'!$B$6:$Q$205,13,0))</f>
        <v/>
      </c>
      <c r="O150" s="37" t="str">
        <f>IF(B150="","",VLOOKUP(B150,'سجل حساب الزيادة السنوية'!$B$6:$Q$205,14,0))</f>
        <v/>
      </c>
      <c r="P150" s="37" t="str">
        <f>IF(B150="","",VLOOKUP(B150,'سجل حساب الزيادة السنوية'!$B$6:$Q$205,15,0))</f>
        <v/>
      </c>
      <c r="Q150" s="37" t="str">
        <f>IF(B150="","",VLOOKUP(B150,'سجل حساب الزيادة السنوية'!$B$6:$Q$205,16,0))</f>
        <v/>
      </c>
    </row>
    <row r="151" spans="1:17" ht="22.5" customHeight="1" x14ac:dyDescent="0.25">
      <c r="A151" s="32" t="str">
        <f>IF(B151="","",SUBTOTAL(3,B$7:B151))</f>
        <v/>
      </c>
      <c r="B151" s="32" t="str">
        <f>IF('سجل حساب الزيادة السنوية'!B150="","",'سجل حساب الزيادة السنوية'!B150)</f>
        <v/>
      </c>
      <c r="C151" s="32" t="str">
        <f>IF(B151="","",VLOOKUP(B151,'سجل حساب الزيادة السنوية'!$B$6:$Q$205,2,0))</f>
        <v/>
      </c>
      <c r="D151" s="32" t="str">
        <f>IF(B151="","",VLOOKUP(B151,'سجل حساب الزيادة السنوية'!$B$6:$Q$205,3,0))</f>
        <v/>
      </c>
      <c r="E151" s="32" t="str">
        <f>IF(B151="","",VLOOKUP(B151,'سجل حساب الزيادة السنوية'!$B$6:$Q$205,4,0))</f>
        <v/>
      </c>
      <c r="F151" s="36" t="str">
        <f>IF(B151="","",VLOOKUP(B151,'سجل حساب الزيادة السنوية'!$B$6:$Q$205,5,0))</f>
        <v/>
      </c>
      <c r="G151" s="32" t="str">
        <f>IF(B151="","",VLOOKUP(B151,'سجل حساب الزيادة السنوية'!$B$6:$Q$205,6,0))</f>
        <v/>
      </c>
      <c r="H151" s="32" t="str">
        <f>IF(B151="","",VLOOKUP(B151,'سجل حساب الزيادة السنوية'!$B$6:$Q$205,7,0))</f>
        <v/>
      </c>
      <c r="I151" s="33" t="str">
        <f>IF(B151="","",VLOOKUP(B151,'سجل حساب الزيادة السنوية'!$B$6:$Q$205,8,0))</f>
        <v/>
      </c>
      <c r="J151" s="61" t="str">
        <f>IF(B151="","",VLOOKUP(B151,'سجل حساب الزيادة السنوية'!$B$6:$Q$205,9,0))</f>
        <v/>
      </c>
      <c r="K151" s="59" t="str">
        <f>IF(B151="","",VLOOKUP(B151,'سجل حساب الزيادة السنوية'!$B$6:$Q$205,10,0))</f>
        <v/>
      </c>
      <c r="L151" s="37" t="str">
        <f>IF(B151="","",VLOOKUP(B151,'سجل حساب الزيادة السنوية'!$B$6:$Q$205,11,0))</f>
        <v/>
      </c>
      <c r="M151" s="37" t="str">
        <f>IF(B151="","",VLOOKUP(B151,'سجل حساب الزيادة السنوية'!$B$6:$Q$205,12,0))</f>
        <v/>
      </c>
      <c r="N151" s="37" t="str">
        <f>IF(B151="","",VLOOKUP(B151,'سجل حساب الزيادة السنوية'!$B$6:$Q$205,13,0))</f>
        <v/>
      </c>
      <c r="O151" s="37" t="str">
        <f>IF(B151="","",VLOOKUP(B151,'سجل حساب الزيادة السنوية'!$B$6:$Q$205,14,0))</f>
        <v/>
      </c>
      <c r="P151" s="37" t="str">
        <f>IF(B151="","",VLOOKUP(B151,'سجل حساب الزيادة السنوية'!$B$6:$Q$205,15,0))</f>
        <v/>
      </c>
      <c r="Q151" s="37" t="str">
        <f>IF(B151="","",VLOOKUP(B151,'سجل حساب الزيادة السنوية'!$B$6:$Q$205,16,0))</f>
        <v/>
      </c>
    </row>
    <row r="152" spans="1:17" ht="22.5" customHeight="1" x14ac:dyDescent="0.25">
      <c r="A152" s="32" t="str">
        <f>IF(B152="","",SUBTOTAL(3,B$7:B152))</f>
        <v/>
      </c>
      <c r="B152" s="32" t="str">
        <f>IF('سجل حساب الزيادة السنوية'!B151="","",'سجل حساب الزيادة السنوية'!B151)</f>
        <v/>
      </c>
      <c r="C152" s="32" t="str">
        <f>IF(B152="","",VLOOKUP(B152,'سجل حساب الزيادة السنوية'!$B$6:$Q$205,2,0))</f>
        <v/>
      </c>
      <c r="D152" s="32" t="str">
        <f>IF(B152="","",VLOOKUP(B152,'سجل حساب الزيادة السنوية'!$B$6:$Q$205,3,0))</f>
        <v/>
      </c>
      <c r="E152" s="32" t="str">
        <f>IF(B152="","",VLOOKUP(B152,'سجل حساب الزيادة السنوية'!$B$6:$Q$205,4,0))</f>
        <v/>
      </c>
      <c r="F152" s="36" t="str">
        <f>IF(B152="","",VLOOKUP(B152,'سجل حساب الزيادة السنوية'!$B$6:$Q$205,5,0))</f>
        <v/>
      </c>
      <c r="G152" s="32" t="str">
        <f>IF(B152="","",VLOOKUP(B152,'سجل حساب الزيادة السنوية'!$B$6:$Q$205,6,0))</f>
        <v/>
      </c>
      <c r="H152" s="32" t="str">
        <f>IF(B152="","",VLOOKUP(B152,'سجل حساب الزيادة السنوية'!$B$6:$Q$205,7,0))</f>
        <v/>
      </c>
      <c r="I152" s="33" t="str">
        <f>IF(B152="","",VLOOKUP(B152,'سجل حساب الزيادة السنوية'!$B$6:$Q$205,8,0))</f>
        <v/>
      </c>
      <c r="J152" s="61" t="str">
        <f>IF(B152="","",VLOOKUP(B152,'سجل حساب الزيادة السنوية'!$B$6:$Q$205,9,0))</f>
        <v/>
      </c>
      <c r="K152" s="59" t="str">
        <f>IF(B152="","",VLOOKUP(B152,'سجل حساب الزيادة السنوية'!$B$6:$Q$205,10,0))</f>
        <v/>
      </c>
      <c r="L152" s="37" t="str">
        <f>IF(B152="","",VLOOKUP(B152,'سجل حساب الزيادة السنوية'!$B$6:$Q$205,11,0))</f>
        <v/>
      </c>
      <c r="M152" s="37" t="str">
        <f>IF(B152="","",VLOOKUP(B152,'سجل حساب الزيادة السنوية'!$B$6:$Q$205,12,0))</f>
        <v/>
      </c>
      <c r="N152" s="37" t="str">
        <f>IF(B152="","",VLOOKUP(B152,'سجل حساب الزيادة السنوية'!$B$6:$Q$205,13,0))</f>
        <v/>
      </c>
      <c r="O152" s="37" t="str">
        <f>IF(B152="","",VLOOKUP(B152,'سجل حساب الزيادة السنوية'!$B$6:$Q$205,14,0))</f>
        <v/>
      </c>
      <c r="P152" s="37" t="str">
        <f>IF(B152="","",VLOOKUP(B152,'سجل حساب الزيادة السنوية'!$B$6:$Q$205,15,0))</f>
        <v/>
      </c>
      <c r="Q152" s="37" t="str">
        <f>IF(B152="","",VLOOKUP(B152,'سجل حساب الزيادة السنوية'!$B$6:$Q$205,16,0))</f>
        <v/>
      </c>
    </row>
    <row r="153" spans="1:17" ht="22.5" customHeight="1" x14ac:dyDescent="0.25">
      <c r="A153" s="32" t="str">
        <f>IF(B153="","",SUBTOTAL(3,B$7:B153))</f>
        <v/>
      </c>
      <c r="B153" s="32" t="str">
        <f>IF('سجل حساب الزيادة السنوية'!B152="","",'سجل حساب الزيادة السنوية'!B152)</f>
        <v/>
      </c>
      <c r="C153" s="32" t="str">
        <f>IF(B153="","",VLOOKUP(B153,'سجل حساب الزيادة السنوية'!$B$6:$Q$205,2,0))</f>
        <v/>
      </c>
      <c r="D153" s="32" t="str">
        <f>IF(B153="","",VLOOKUP(B153,'سجل حساب الزيادة السنوية'!$B$6:$Q$205,3,0))</f>
        <v/>
      </c>
      <c r="E153" s="32" t="str">
        <f>IF(B153="","",VLOOKUP(B153,'سجل حساب الزيادة السنوية'!$B$6:$Q$205,4,0))</f>
        <v/>
      </c>
      <c r="F153" s="36" t="str">
        <f>IF(B153="","",VLOOKUP(B153,'سجل حساب الزيادة السنوية'!$B$6:$Q$205,5,0))</f>
        <v/>
      </c>
      <c r="G153" s="32" t="str">
        <f>IF(B153="","",VLOOKUP(B153,'سجل حساب الزيادة السنوية'!$B$6:$Q$205,6,0))</f>
        <v/>
      </c>
      <c r="H153" s="32" t="str">
        <f>IF(B153="","",VLOOKUP(B153,'سجل حساب الزيادة السنوية'!$B$6:$Q$205,7,0))</f>
        <v/>
      </c>
      <c r="I153" s="33" t="str">
        <f>IF(B153="","",VLOOKUP(B153,'سجل حساب الزيادة السنوية'!$B$6:$Q$205,8,0))</f>
        <v/>
      </c>
      <c r="J153" s="61" t="str">
        <f>IF(B153="","",VLOOKUP(B153,'سجل حساب الزيادة السنوية'!$B$6:$Q$205,9,0))</f>
        <v/>
      </c>
      <c r="K153" s="59" t="str">
        <f>IF(B153="","",VLOOKUP(B153,'سجل حساب الزيادة السنوية'!$B$6:$Q$205,10,0))</f>
        <v/>
      </c>
      <c r="L153" s="37" t="str">
        <f>IF(B153="","",VLOOKUP(B153,'سجل حساب الزيادة السنوية'!$B$6:$Q$205,11,0))</f>
        <v/>
      </c>
      <c r="M153" s="37" t="str">
        <f>IF(B153="","",VLOOKUP(B153,'سجل حساب الزيادة السنوية'!$B$6:$Q$205,12,0))</f>
        <v/>
      </c>
      <c r="N153" s="37" t="str">
        <f>IF(B153="","",VLOOKUP(B153,'سجل حساب الزيادة السنوية'!$B$6:$Q$205,13,0))</f>
        <v/>
      </c>
      <c r="O153" s="37" t="str">
        <f>IF(B153="","",VLOOKUP(B153,'سجل حساب الزيادة السنوية'!$B$6:$Q$205,14,0))</f>
        <v/>
      </c>
      <c r="P153" s="37" t="str">
        <f>IF(B153="","",VLOOKUP(B153,'سجل حساب الزيادة السنوية'!$B$6:$Q$205,15,0))</f>
        <v/>
      </c>
      <c r="Q153" s="37" t="str">
        <f>IF(B153="","",VLOOKUP(B153,'سجل حساب الزيادة السنوية'!$B$6:$Q$205,16,0))</f>
        <v/>
      </c>
    </row>
    <row r="154" spans="1:17" ht="22.5" customHeight="1" x14ac:dyDescent="0.25">
      <c r="A154" s="32" t="str">
        <f>IF(B154="","",SUBTOTAL(3,B$7:B154))</f>
        <v/>
      </c>
      <c r="B154" s="32" t="str">
        <f>IF('سجل حساب الزيادة السنوية'!B153="","",'سجل حساب الزيادة السنوية'!B153)</f>
        <v/>
      </c>
      <c r="C154" s="32" t="str">
        <f>IF(B154="","",VLOOKUP(B154,'سجل حساب الزيادة السنوية'!$B$6:$Q$205,2,0))</f>
        <v/>
      </c>
      <c r="D154" s="32" t="str">
        <f>IF(B154="","",VLOOKUP(B154,'سجل حساب الزيادة السنوية'!$B$6:$Q$205,3,0))</f>
        <v/>
      </c>
      <c r="E154" s="32" t="str">
        <f>IF(B154="","",VLOOKUP(B154,'سجل حساب الزيادة السنوية'!$B$6:$Q$205,4,0))</f>
        <v/>
      </c>
      <c r="F154" s="36" t="str">
        <f>IF(B154="","",VLOOKUP(B154,'سجل حساب الزيادة السنوية'!$B$6:$Q$205,5,0))</f>
        <v/>
      </c>
      <c r="G154" s="32" t="str">
        <f>IF(B154="","",VLOOKUP(B154,'سجل حساب الزيادة السنوية'!$B$6:$Q$205,6,0))</f>
        <v/>
      </c>
      <c r="H154" s="32" t="str">
        <f>IF(B154="","",VLOOKUP(B154,'سجل حساب الزيادة السنوية'!$B$6:$Q$205,7,0))</f>
        <v/>
      </c>
      <c r="I154" s="33" t="str">
        <f>IF(B154="","",VLOOKUP(B154,'سجل حساب الزيادة السنوية'!$B$6:$Q$205,8,0))</f>
        <v/>
      </c>
      <c r="J154" s="61" t="str">
        <f>IF(B154="","",VLOOKUP(B154,'سجل حساب الزيادة السنوية'!$B$6:$Q$205,9,0))</f>
        <v/>
      </c>
      <c r="K154" s="59" t="str">
        <f>IF(B154="","",VLOOKUP(B154,'سجل حساب الزيادة السنوية'!$B$6:$Q$205,10,0))</f>
        <v/>
      </c>
      <c r="L154" s="37" t="str">
        <f>IF(B154="","",VLOOKUP(B154,'سجل حساب الزيادة السنوية'!$B$6:$Q$205,11,0))</f>
        <v/>
      </c>
      <c r="M154" s="37" t="str">
        <f>IF(B154="","",VLOOKUP(B154,'سجل حساب الزيادة السنوية'!$B$6:$Q$205,12,0))</f>
        <v/>
      </c>
      <c r="N154" s="37" t="str">
        <f>IF(B154="","",VLOOKUP(B154,'سجل حساب الزيادة السنوية'!$B$6:$Q$205,13,0))</f>
        <v/>
      </c>
      <c r="O154" s="37" t="str">
        <f>IF(B154="","",VLOOKUP(B154,'سجل حساب الزيادة السنوية'!$B$6:$Q$205,14,0))</f>
        <v/>
      </c>
      <c r="P154" s="37" t="str">
        <f>IF(B154="","",VLOOKUP(B154,'سجل حساب الزيادة السنوية'!$B$6:$Q$205,15,0))</f>
        <v/>
      </c>
      <c r="Q154" s="37" t="str">
        <f>IF(B154="","",VLOOKUP(B154,'سجل حساب الزيادة السنوية'!$B$6:$Q$205,16,0))</f>
        <v/>
      </c>
    </row>
    <row r="155" spans="1:17" ht="22.5" customHeight="1" x14ac:dyDescent="0.25">
      <c r="A155" s="32" t="str">
        <f>IF(B155="","",SUBTOTAL(3,B$7:B155))</f>
        <v/>
      </c>
      <c r="B155" s="32" t="str">
        <f>IF('سجل حساب الزيادة السنوية'!B154="","",'سجل حساب الزيادة السنوية'!B154)</f>
        <v/>
      </c>
      <c r="C155" s="32" t="str">
        <f>IF(B155="","",VLOOKUP(B155,'سجل حساب الزيادة السنوية'!$B$6:$Q$205,2,0))</f>
        <v/>
      </c>
      <c r="D155" s="32" t="str">
        <f>IF(B155="","",VLOOKUP(B155,'سجل حساب الزيادة السنوية'!$B$6:$Q$205,3,0))</f>
        <v/>
      </c>
      <c r="E155" s="32" t="str">
        <f>IF(B155="","",VLOOKUP(B155,'سجل حساب الزيادة السنوية'!$B$6:$Q$205,4,0))</f>
        <v/>
      </c>
      <c r="F155" s="36" t="str">
        <f>IF(B155="","",VLOOKUP(B155,'سجل حساب الزيادة السنوية'!$B$6:$Q$205,5,0))</f>
        <v/>
      </c>
      <c r="G155" s="32" t="str">
        <f>IF(B155="","",VLOOKUP(B155,'سجل حساب الزيادة السنوية'!$B$6:$Q$205,6,0))</f>
        <v/>
      </c>
      <c r="H155" s="32" t="str">
        <f>IF(B155="","",VLOOKUP(B155,'سجل حساب الزيادة السنوية'!$B$6:$Q$205,7,0))</f>
        <v/>
      </c>
      <c r="I155" s="33" t="str">
        <f>IF(B155="","",VLOOKUP(B155,'سجل حساب الزيادة السنوية'!$B$6:$Q$205,8,0))</f>
        <v/>
      </c>
      <c r="J155" s="61" t="str">
        <f>IF(B155="","",VLOOKUP(B155,'سجل حساب الزيادة السنوية'!$B$6:$Q$205,9,0))</f>
        <v/>
      </c>
      <c r="K155" s="59" t="str">
        <f>IF(B155="","",VLOOKUP(B155,'سجل حساب الزيادة السنوية'!$B$6:$Q$205,10,0))</f>
        <v/>
      </c>
      <c r="L155" s="37" t="str">
        <f>IF(B155="","",VLOOKUP(B155,'سجل حساب الزيادة السنوية'!$B$6:$Q$205,11,0))</f>
        <v/>
      </c>
      <c r="M155" s="37" t="str">
        <f>IF(B155="","",VLOOKUP(B155,'سجل حساب الزيادة السنوية'!$B$6:$Q$205,12,0))</f>
        <v/>
      </c>
      <c r="N155" s="37" t="str">
        <f>IF(B155="","",VLOOKUP(B155,'سجل حساب الزيادة السنوية'!$B$6:$Q$205,13,0))</f>
        <v/>
      </c>
      <c r="O155" s="37" t="str">
        <f>IF(B155="","",VLOOKUP(B155,'سجل حساب الزيادة السنوية'!$B$6:$Q$205,14,0))</f>
        <v/>
      </c>
      <c r="P155" s="37" t="str">
        <f>IF(B155="","",VLOOKUP(B155,'سجل حساب الزيادة السنوية'!$B$6:$Q$205,15,0))</f>
        <v/>
      </c>
      <c r="Q155" s="37" t="str">
        <f>IF(B155="","",VLOOKUP(B155,'سجل حساب الزيادة السنوية'!$B$6:$Q$205,16,0))</f>
        <v/>
      </c>
    </row>
    <row r="156" spans="1:17" ht="22.5" customHeight="1" x14ac:dyDescent="0.25">
      <c r="A156" s="32" t="str">
        <f>IF(B156="","",SUBTOTAL(3,B$7:B156))</f>
        <v/>
      </c>
      <c r="B156" s="32" t="str">
        <f>IF('سجل حساب الزيادة السنوية'!B155="","",'سجل حساب الزيادة السنوية'!B155)</f>
        <v/>
      </c>
      <c r="C156" s="32" t="str">
        <f>IF(B156="","",VLOOKUP(B156,'سجل حساب الزيادة السنوية'!$B$6:$Q$205,2,0))</f>
        <v/>
      </c>
      <c r="D156" s="32" t="str">
        <f>IF(B156="","",VLOOKUP(B156,'سجل حساب الزيادة السنوية'!$B$6:$Q$205,3,0))</f>
        <v/>
      </c>
      <c r="E156" s="32" t="str">
        <f>IF(B156="","",VLOOKUP(B156,'سجل حساب الزيادة السنوية'!$B$6:$Q$205,4,0))</f>
        <v/>
      </c>
      <c r="F156" s="36" t="str">
        <f>IF(B156="","",VLOOKUP(B156,'سجل حساب الزيادة السنوية'!$B$6:$Q$205,5,0))</f>
        <v/>
      </c>
      <c r="G156" s="32" t="str">
        <f>IF(B156="","",VLOOKUP(B156,'سجل حساب الزيادة السنوية'!$B$6:$Q$205,6,0))</f>
        <v/>
      </c>
      <c r="H156" s="32" t="str">
        <f>IF(B156="","",VLOOKUP(B156,'سجل حساب الزيادة السنوية'!$B$6:$Q$205,7,0))</f>
        <v/>
      </c>
      <c r="I156" s="33" t="str">
        <f>IF(B156="","",VLOOKUP(B156,'سجل حساب الزيادة السنوية'!$B$6:$Q$205,8,0))</f>
        <v/>
      </c>
      <c r="J156" s="61" t="str">
        <f>IF(B156="","",VLOOKUP(B156,'سجل حساب الزيادة السنوية'!$B$6:$Q$205,9,0))</f>
        <v/>
      </c>
      <c r="K156" s="59" t="str">
        <f>IF(B156="","",VLOOKUP(B156,'سجل حساب الزيادة السنوية'!$B$6:$Q$205,10,0))</f>
        <v/>
      </c>
      <c r="L156" s="37" t="str">
        <f>IF(B156="","",VLOOKUP(B156,'سجل حساب الزيادة السنوية'!$B$6:$Q$205,11,0))</f>
        <v/>
      </c>
      <c r="M156" s="37" t="str">
        <f>IF(B156="","",VLOOKUP(B156,'سجل حساب الزيادة السنوية'!$B$6:$Q$205,12,0))</f>
        <v/>
      </c>
      <c r="N156" s="37" t="str">
        <f>IF(B156="","",VLOOKUP(B156,'سجل حساب الزيادة السنوية'!$B$6:$Q$205,13,0))</f>
        <v/>
      </c>
      <c r="O156" s="37" t="str">
        <f>IF(B156="","",VLOOKUP(B156,'سجل حساب الزيادة السنوية'!$B$6:$Q$205,14,0))</f>
        <v/>
      </c>
      <c r="P156" s="37" t="str">
        <f>IF(B156="","",VLOOKUP(B156,'سجل حساب الزيادة السنوية'!$B$6:$Q$205,15,0))</f>
        <v/>
      </c>
      <c r="Q156" s="37" t="str">
        <f>IF(B156="","",VLOOKUP(B156,'سجل حساب الزيادة السنوية'!$B$6:$Q$205,16,0))</f>
        <v/>
      </c>
    </row>
    <row r="157" spans="1:17" ht="22.5" customHeight="1" x14ac:dyDescent="0.25">
      <c r="A157" s="32" t="str">
        <f>IF(B157="","",SUBTOTAL(3,B$7:B157))</f>
        <v/>
      </c>
      <c r="B157" s="32" t="str">
        <f>IF('سجل حساب الزيادة السنوية'!B156="","",'سجل حساب الزيادة السنوية'!B156)</f>
        <v/>
      </c>
      <c r="C157" s="32" t="str">
        <f>IF(B157="","",VLOOKUP(B157,'سجل حساب الزيادة السنوية'!$B$6:$Q$205,2,0))</f>
        <v/>
      </c>
      <c r="D157" s="32" t="str">
        <f>IF(B157="","",VLOOKUP(B157,'سجل حساب الزيادة السنوية'!$B$6:$Q$205,3,0))</f>
        <v/>
      </c>
      <c r="E157" s="32" t="str">
        <f>IF(B157="","",VLOOKUP(B157,'سجل حساب الزيادة السنوية'!$B$6:$Q$205,4,0))</f>
        <v/>
      </c>
      <c r="F157" s="36" t="str">
        <f>IF(B157="","",VLOOKUP(B157,'سجل حساب الزيادة السنوية'!$B$6:$Q$205,5,0))</f>
        <v/>
      </c>
      <c r="G157" s="32" t="str">
        <f>IF(B157="","",VLOOKUP(B157,'سجل حساب الزيادة السنوية'!$B$6:$Q$205,6,0))</f>
        <v/>
      </c>
      <c r="H157" s="32" t="str">
        <f>IF(B157="","",VLOOKUP(B157,'سجل حساب الزيادة السنوية'!$B$6:$Q$205,7,0))</f>
        <v/>
      </c>
      <c r="I157" s="33" t="str">
        <f>IF(B157="","",VLOOKUP(B157,'سجل حساب الزيادة السنوية'!$B$6:$Q$205,8,0))</f>
        <v/>
      </c>
      <c r="J157" s="61" t="str">
        <f>IF(B157="","",VLOOKUP(B157,'سجل حساب الزيادة السنوية'!$B$6:$Q$205,9,0))</f>
        <v/>
      </c>
      <c r="K157" s="59" t="str">
        <f>IF(B157="","",VLOOKUP(B157,'سجل حساب الزيادة السنوية'!$B$6:$Q$205,10,0))</f>
        <v/>
      </c>
      <c r="L157" s="37" t="str">
        <f>IF(B157="","",VLOOKUP(B157,'سجل حساب الزيادة السنوية'!$B$6:$Q$205,11,0))</f>
        <v/>
      </c>
      <c r="M157" s="37" t="str">
        <f>IF(B157="","",VLOOKUP(B157,'سجل حساب الزيادة السنوية'!$B$6:$Q$205,12,0))</f>
        <v/>
      </c>
      <c r="N157" s="37" t="str">
        <f>IF(B157="","",VLOOKUP(B157,'سجل حساب الزيادة السنوية'!$B$6:$Q$205,13,0))</f>
        <v/>
      </c>
      <c r="O157" s="37" t="str">
        <f>IF(B157="","",VLOOKUP(B157,'سجل حساب الزيادة السنوية'!$B$6:$Q$205,14,0))</f>
        <v/>
      </c>
      <c r="P157" s="37" t="str">
        <f>IF(B157="","",VLOOKUP(B157,'سجل حساب الزيادة السنوية'!$B$6:$Q$205,15,0))</f>
        <v/>
      </c>
      <c r="Q157" s="37" t="str">
        <f>IF(B157="","",VLOOKUP(B157,'سجل حساب الزيادة السنوية'!$B$6:$Q$205,16,0))</f>
        <v/>
      </c>
    </row>
    <row r="158" spans="1:17" ht="22.5" customHeight="1" x14ac:dyDescent="0.25">
      <c r="A158" s="32" t="str">
        <f>IF(B158="","",SUBTOTAL(3,B$7:B158))</f>
        <v/>
      </c>
      <c r="B158" s="32" t="str">
        <f>IF('سجل حساب الزيادة السنوية'!B157="","",'سجل حساب الزيادة السنوية'!B157)</f>
        <v/>
      </c>
      <c r="C158" s="32" t="str">
        <f>IF(B158="","",VLOOKUP(B158,'سجل حساب الزيادة السنوية'!$B$6:$Q$205,2,0))</f>
        <v/>
      </c>
      <c r="D158" s="32" t="str">
        <f>IF(B158="","",VLOOKUP(B158,'سجل حساب الزيادة السنوية'!$B$6:$Q$205,3,0))</f>
        <v/>
      </c>
      <c r="E158" s="32" t="str">
        <f>IF(B158="","",VLOOKUP(B158,'سجل حساب الزيادة السنوية'!$B$6:$Q$205,4,0))</f>
        <v/>
      </c>
      <c r="F158" s="36" t="str">
        <f>IF(B158="","",VLOOKUP(B158,'سجل حساب الزيادة السنوية'!$B$6:$Q$205,5,0))</f>
        <v/>
      </c>
      <c r="G158" s="32" t="str">
        <f>IF(B158="","",VLOOKUP(B158,'سجل حساب الزيادة السنوية'!$B$6:$Q$205,6,0))</f>
        <v/>
      </c>
      <c r="H158" s="32" t="str">
        <f>IF(B158="","",VLOOKUP(B158,'سجل حساب الزيادة السنوية'!$B$6:$Q$205,7,0))</f>
        <v/>
      </c>
      <c r="I158" s="33" t="str">
        <f>IF(B158="","",VLOOKUP(B158,'سجل حساب الزيادة السنوية'!$B$6:$Q$205,8,0))</f>
        <v/>
      </c>
      <c r="J158" s="61" t="str">
        <f>IF(B158="","",VLOOKUP(B158,'سجل حساب الزيادة السنوية'!$B$6:$Q$205,9,0))</f>
        <v/>
      </c>
      <c r="K158" s="59" t="str">
        <f>IF(B158="","",VLOOKUP(B158,'سجل حساب الزيادة السنوية'!$B$6:$Q$205,10,0))</f>
        <v/>
      </c>
      <c r="L158" s="37" t="str">
        <f>IF(B158="","",VLOOKUP(B158,'سجل حساب الزيادة السنوية'!$B$6:$Q$205,11,0))</f>
        <v/>
      </c>
      <c r="M158" s="37" t="str">
        <f>IF(B158="","",VLOOKUP(B158,'سجل حساب الزيادة السنوية'!$B$6:$Q$205,12,0))</f>
        <v/>
      </c>
      <c r="N158" s="37" t="str">
        <f>IF(B158="","",VLOOKUP(B158,'سجل حساب الزيادة السنوية'!$B$6:$Q$205,13,0))</f>
        <v/>
      </c>
      <c r="O158" s="37" t="str">
        <f>IF(B158="","",VLOOKUP(B158,'سجل حساب الزيادة السنوية'!$B$6:$Q$205,14,0))</f>
        <v/>
      </c>
      <c r="P158" s="37" t="str">
        <f>IF(B158="","",VLOOKUP(B158,'سجل حساب الزيادة السنوية'!$B$6:$Q$205,15,0))</f>
        <v/>
      </c>
      <c r="Q158" s="37" t="str">
        <f>IF(B158="","",VLOOKUP(B158,'سجل حساب الزيادة السنوية'!$B$6:$Q$205,16,0))</f>
        <v/>
      </c>
    </row>
    <row r="159" spans="1:17" ht="22.5" customHeight="1" x14ac:dyDescent="0.25">
      <c r="A159" s="32" t="str">
        <f>IF(B159="","",SUBTOTAL(3,B$7:B159))</f>
        <v/>
      </c>
      <c r="B159" s="32" t="str">
        <f>IF('سجل حساب الزيادة السنوية'!B158="","",'سجل حساب الزيادة السنوية'!B158)</f>
        <v/>
      </c>
      <c r="C159" s="32" t="str">
        <f>IF(B159="","",VLOOKUP(B159,'سجل حساب الزيادة السنوية'!$B$6:$Q$205,2,0))</f>
        <v/>
      </c>
      <c r="D159" s="32" t="str">
        <f>IF(B159="","",VLOOKUP(B159,'سجل حساب الزيادة السنوية'!$B$6:$Q$205,3,0))</f>
        <v/>
      </c>
      <c r="E159" s="32" t="str">
        <f>IF(B159="","",VLOOKUP(B159,'سجل حساب الزيادة السنوية'!$B$6:$Q$205,4,0))</f>
        <v/>
      </c>
      <c r="F159" s="36" t="str">
        <f>IF(B159="","",VLOOKUP(B159,'سجل حساب الزيادة السنوية'!$B$6:$Q$205,5,0))</f>
        <v/>
      </c>
      <c r="G159" s="32" t="str">
        <f>IF(B159="","",VLOOKUP(B159,'سجل حساب الزيادة السنوية'!$B$6:$Q$205,6,0))</f>
        <v/>
      </c>
      <c r="H159" s="32" t="str">
        <f>IF(B159="","",VLOOKUP(B159,'سجل حساب الزيادة السنوية'!$B$6:$Q$205,7,0))</f>
        <v/>
      </c>
      <c r="I159" s="33" t="str">
        <f>IF(B159="","",VLOOKUP(B159,'سجل حساب الزيادة السنوية'!$B$6:$Q$205,8,0))</f>
        <v/>
      </c>
      <c r="J159" s="61" t="str">
        <f>IF(B159="","",VLOOKUP(B159,'سجل حساب الزيادة السنوية'!$B$6:$Q$205,9,0))</f>
        <v/>
      </c>
      <c r="K159" s="59" t="str">
        <f>IF(B159="","",VLOOKUP(B159,'سجل حساب الزيادة السنوية'!$B$6:$Q$205,10,0))</f>
        <v/>
      </c>
      <c r="L159" s="37" t="str">
        <f>IF(B159="","",VLOOKUP(B159,'سجل حساب الزيادة السنوية'!$B$6:$Q$205,11,0))</f>
        <v/>
      </c>
      <c r="M159" s="37" t="str">
        <f>IF(B159="","",VLOOKUP(B159,'سجل حساب الزيادة السنوية'!$B$6:$Q$205,12,0))</f>
        <v/>
      </c>
      <c r="N159" s="37" t="str">
        <f>IF(B159="","",VLOOKUP(B159,'سجل حساب الزيادة السنوية'!$B$6:$Q$205,13,0))</f>
        <v/>
      </c>
      <c r="O159" s="37" t="str">
        <f>IF(B159="","",VLOOKUP(B159,'سجل حساب الزيادة السنوية'!$B$6:$Q$205,14,0))</f>
        <v/>
      </c>
      <c r="P159" s="37" t="str">
        <f>IF(B159="","",VLOOKUP(B159,'سجل حساب الزيادة السنوية'!$B$6:$Q$205,15,0))</f>
        <v/>
      </c>
      <c r="Q159" s="37" t="str">
        <f>IF(B159="","",VLOOKUP(B159,'سجل حساب الزيادة السنوية'!$B$6:$Q$205,16,0))</f>
        <v/>
      </c>
    </row>
    <row r="160" spans="1:17" ht="22.5" customHeight="1" x14ac:dyDescent="0.25">
      <c r="A160" s="32" t="str">
        <f>IF(B160="","",SUBTOTAL(3,B$7:B160))</f>
        <v/>
      </c>
      <c r="B160" s="32" t="str">
        <f>IF('سجل حساب الزيادة السنوية'!B159="","",'سجل حساب الزيادة السنوية'!B159)</f>
        <v/>
      </c>
      <c r="C160" s="32" t="str">
        <f>IF(B160="","",VLOOKUP(B160,'سجل حساب الزيادة السنوية'!$B$6:$Q$205,2,0))</f>
        <v/>
      </c>
      <c r="D160" s="32" t="str">
        <f>IF(B160="","",VLOOKUP(B160,'سجل حساب الزيادة السنوية'!$B$6:$Q$205,3,0))</f>
        <v/>
      </c>
      <c r="E160" s="32" t="str">
        <f>IF(B160="","",VLOOKUP(B160,'سجل حساب الزيادة السنوية'!$B$6:$Q$205,4,0))</f>
        <v/>
      </c>
      <c r="F160" s="36" t="str">
        <f>IF(B160="","",VLOOKUP(B160,'سجل حساب الزيادة السنوية'!$B$6:$Q$205,5,0))</f>
        <v/>
      </c>
      <c r="G160" s="32" t="str">
        <f>IF(B160="","",VLOOKUP(B160,'سجل حساب الزيادة السنوية'!$B$6:$Q$205,6,0))</f>
        <v/>
      </c>
      <c r="H160" s="32" t="str">
        <f>IF(B160="","",VLOOKUP(B160,'سجل حساب الزيادة السنوية'!$B$6:$Q$205,7,0))</f>
        <v/>
      </c>
      <c r="I160" s="33" t="str">
        <f>IF(B160="","",VLOOKUP(B160,'سجل حساب الزيادة السنوية'!$B$6:$Q$205,8,0))</f>
        <v/>
      </c>
      <c r="J160" s="61" t="str">
        <f>IF(B160="","",VLOOKUP(B160,'سجل حساب الزيادة السنوية'!$B$6:$Q$205,9,0))</f>
        <v/>
      </c>
      <c r="K160" s="59" t="str">
        <f>IF(B160="","",VLOOKUP(B160,'سجل حساب الزيادة السنوية'!$B$6:$Q$205,10,0))</f>
        <v/>
      </c>
      <c r="L160" s="37" t="str">
        <f>IF(B160="","",VLOOKUP(B160,'سجل حساب الزيادة السنوية'!$B$6:$Q$205,11,0))</f>
        <v/>
      </c>
      <c r="M160" s="37" t="str">
        <f>IF(B160="","",VLOOKUP(B160,'سجل حساب الزيادة السنوية'!$B$6:$Q$205,12,0))</f>
        <v/>
      </c>
      <c r="N160" s="37" t="str">
        <f>IF(B160="","",VLOOKUP(B160,'سجل حساب الزيادة السنوية'!$B$6:$Q$205,13,0))</f>
        <v/>
      </c>
      <c r="O160" s="37" t="str">
        <f>IF(B160="","",VLOOKUP(B160,'سجل حساب الزيادة السنوية'!$B$6:$Q$205,14,0))</f>
        <v/>
      </c>
      <c r="P160" s="37" t="str">
        <f>IF(B160="","",VLOOKUP(B160,'سجل حساب الزيادة السنوية'!$B$6:$Q$205,15,0))</f>
        <v/>
      </c>
      <c r="Q160" s="37" t="str">
        <f>IF(B160="","",VLOOKUP(B160,'سجل حساب الزيادة السنوية'!$B$6:$Q$205,16,0))</f>
        <v/>
      </c>
    </row>
    <row r="161" spans="1:17" ht="22.5" customHeight="1" x14ac:dyDescent="0.25">
      <c r="A161" s="32" t="str">
        <f>IF(B161="","",SUBTOTAL(3,B$7:B161))</f>
        <v/>
      </c>
      <c r="B161" s="32" t="str">
        <f>IF('سجل حساب الزيادة السنوية'!B160="","",'سجل حساب الزيادة السنوية'!B160)</f>
        <v/>
      </c>
      <c r="C161" s="32" t="str">
        <f>IF(B161="","",VLOOKUP(B161,'سجل حساب الزيادة السنوية'!$B$6:$Q$205,2,0))</f>
        <v/>
      </c>
      <c r="D161" s="32" t="str">
        <f>IF(B161="","",VLOOKUP(B161,'سجل حساب الزيادة السنوية'!$B$6:$Q$205,3,0))</f>
        <v/>
      </c>
      <c r="E161" s="32" t="str">
        <f>IF(B161="","",VLOOKUP(B161,'سجل حساب الزيادة السنوية'!$B$6:$Q$205,4,0))</f>
        <v/>
      </c>
      <c r="F161" s="36" t="str">
        <f>IF(B161="","",VLOOKUP(B161,'سجل حساب الزيادة السنوية'!$B$6:$Q$205,5,0))</f>
        <v/>
      </c>
      <c r="G161" s="32" t="str">
        <f>IF(B161="","",VLOOKUP(B161,'سجل حساب الزيادة السنوية'!$B$6:$Q$205,6,0))</f>
        <v/>
      </c>
      <c r="H161" s="32" t="str">
        <f>IF(B161="","",VLOOKUP(B161,'سجل حساب الزيادة السنوية'!$B$6:$Q$205,7,0))</f>
        <v/>
      </c>
      <c r="I161" s="33" t="str">
        <f>IF(B161="","",VLOOKUP(B161,'سجل حساب الزيادة السنوية'!$B$6:$Q$205,8,0))</f>
        <v/>
      </c>
      <c r="J161" s="61" t="str">
        <f>IF(B161="","",VLOOKUP(B161,'سجل حساب الزيادة السنوية'!$B$6:$Q$205,9,0))</f>
        <v/>
      </c>
      <c r="K161" s="59" t="str">
        <f>IF(B161="","",VLOOKUP(B161,'سجل حساب الزيادة السنوية'!$B$6:$Q$205,10,0))</f>
        <v/>
      </c>
      <c r="L161" s="37" t="str">
        <f>IF(B161="","",VLOOKUP(B161,'سجل حساب الزيادة السنوية'!$B$6:$Q$205,11,0))</f>
        <v/>
      </c>
      <c r="M161" s="37" t="str">
        <f>IF(B161="","",VLOOKUP(B161,'سجل حساب الزيادة السنوية'!$B$6:$Q$205,12,0))</f>
        <v/>
      </c>
      <c r="N161" s="37" t="str">
        <f>IF(B161="","",VLOOKUP(B161,'سجل حساب الزيادة السنوية'!$B$6:$Q$205,13,0))</f>
        <v/>
      </c>
      <c r="O161" s="37" t="str">
        <f>IF(B161="","",VLOOKUP(B161,'سجل حساب الزيادة السنوية'!$B$6:$Q$205,14,0))</f>
        <v/>
      </c>
      <c r="P161" s="37" t="str">
        <f>IF(B161="","",VLOOKUP(B161,'سجل حساب الزيادة السنوية'!$B$6:$Q$205,15,0))</f>
        <v/>
      </c>
      <c r="Q161" s="37" t="str">
        <f>IF(B161="","",VLOOKUP(B161,'سجل حساب الزيادة السنوية'!$B$6:$Q$205,16,0))</f>
        <v/>
      </c>
    </row>
    <row r="162" spans="1:17" ht="22.5" customHeight="1" x14ac:dyDescent="0.25">
      <c r="A162" s="32" t="str">
        <f>IF(B162="","",SUBTOTAL(3,B$7:B162))</f>
        <v/>
      </c>
      <c r="B162" s="32" t="str">
        <f>IF('سجل حساب الزيادة السنوية'!B161="","",'سجل حساب الزيادة السنوية'!B161)</f>
        <v/>
      </c>
      <c r="C162" s="32" t="str">
        <f>IF(B162="","",VLOOKUP(B162,'سجل حساب الزيادة السنوية'!$B$6:$Q$205,2,0))</f>
        <v/>
      </c>
      <c r="D162" s="32" t="str">
        <f>IF(B162="","",VLOOKUP(B162,'سجل حساب الزيادة السنوية'!$B$6:$Q$205,3,0))</f>
        <v/>
      </c>
      <c r="E162" s="32" t="str">
        <f>IF(B162="","",VLOOKUP(B162,'سجل حساب الزيادة السنوية'!$B$6:$Q$205,4,0))</f>
        <v/>
      </c>
      <c r="F162" s="36" t="str">
        <f>IF(B162="","",VLOOKUP(B162,'سجل حساب الزيادة السنوية'!$B$6:$Q$205,5,0))</f>
        <v/>
      </c>
      <c r="G162" s="32" t="str">
        <f>IF(B162="","",VLOOKUP(B162,'سجل حساب الزيادة السنوية'!$B$6:$Q$205,6,0))</f>
        <v/>
      </c>
      <c r="H162" s="32" t="str">
        <f>IF(B162="","",VLOOKUP(B162,'سجل حساب الزيادة السنوية'!$B$6:$Q$205,7,0))</f>
        <v/>
      </c>
      <c r="I162" s="33" t="str">
        <f>IF(B162="","",VLOOKUP(B162,'سجل حساب الزيادة السنوية'!$B$6:$Q$205,8,0))</f>
        <v/>
      </c>
      <c r="J162" s="61" t="str">
        <f>IF(B162="","",VLOOKUP(B162,'سجل حساب الزيادة السنوية'!$B$6:$Q$205,9,0))</f>
        <v/>
      </c>
      <c r="K162" s="59" t="str">
        <f>IF(B162="","",VLOOKUP(B162,'سجل حساب الزيادة السنوية'!$B$6:$Q$205,10,0))</f>
        <v/>
      </c>
      <c r="L162" s="37" t="str">
        <f>IF(B162="","",VLOOKUP(B162,'سجل حساب الزيادة السنوية'!$B$6:$Q$205,11,0))</f>
        <v/>
      </c>
      <c r="M162" s="37" t="str">
        <f>IF(B162="","",VLOOKUP(B162,'سجل حساب الزيادة السنوية'!$B$6:$Q$205,12,0))</f>
        <v/>
      </c>
      <c r="N162" s="37" t="str">
        <f>IF(B162="","",VLOOKUP(B162,'سجل حساب الزيادة السنوية'!$B$6:$Q$205,13,0))</f>
        <v/>
      </c>
      <c r="O162" s="37" t="str">
        <f>IF(B162="","",VLOOKUP(B162,'سجل حساب الزيادة السنوية'!$B$6:$Q$205,14,0))</f>
        <v/>
      </c>
      <c r="P162" s="37" t="str">
        <f>IF(B162="","",VLOOKUP(B162,'سجل حساب الزيادة السنوية'!$B$6:$Q$205,15,0))</f>
        <v/>
      </c>
      <c r="Q162" s="37" t="str">
        <f>IF(B162="","",VLOOKUP(B162,'سجل حساب الزيادة السنوية'!$B$6:$Q$205,16,0))</f>
        <v/>
      </c>
    </row>
    <row r="163" spans="1:17" ht="22.5" customHeight="1" x14ac:dyDescent="0.25">
      <c r="A163" s="32" t="str">
        <f>IF(B163="","",SUBTOTAL(3,B$7:B163))</f>
        <v/>
      </c>
      <c r="B163" s="32" t="str">
        <f>IF('سجل حساب الزيادة السنوية'!B162="","",'سجل حساب الزيادة السنوية'!B162)</f>
        <v/>
      </c>
      <c r="C163" s="32" t="str">
        <f>IF(B163="","",VLOOKUP(B163,'سجل حساب الزيادة السنوية'!$B$6:$Q$205,2,0))</f>
        <v/>
      </c>
      <c r="D163" s="32" t="str">
        <f>IF(B163="","",VLOOKUP(B163,'سجل حساب الزيادة السنوية'!$B$6:$Q$205,3,0))</f>
        <v/>
      </c>
      <c r="E163" s="32" t="str">
        <f>IF(B163="","",VLOOKUP(B163,'سجل حساب الزيادة السنوية'!$B$6:$Q$205,4,0))</f>
        <v/>
      </c>
      <c r="F163" s="36" t="str">
        <f>IF(B163="","",VLOOKUP(B163,'سجل حساب الزيادة السنوية'!$B$6:$Q$205,5,0))</f>
        <v/>
      </c>
      <c r="G163" s="32" t="str">
        <f>IF(B163="","",VLOOKUP(B163,'سجل حساب الزيادة السنوية'!$B$6:$Q$205,6,0))</f>
        <v/>
      </c>
      <c r="H163" s="32" t="str">
        <f>IF(B163="","",VLOOKUP(B163,'سجل حساب الزيادة السنوية'!$B$6:$Q$205,7,0))</f>
        <v/>
      </c>
      <c r="I163" s="33" t="str">
        <f>IF(B163="","",VLOOKUP(B163,'سجل حساب الزيادة السنوية'!$B$6:$Q$205,8,0))</f>
        <v/>
      </c>
      <c r="J163" s="61" t="str">
        <f>IF(B163="","",VLOOKUP(B163,'سجل حساب الزيادة السنوية'!$B$6:$Q$205,9,0))</f>
        <v/>
      </c>
      <c r="K163" s="59" t="str">
        <f>IF(B163="","",VLOOKUP(B163,'سجل حساب الزيادة السنوية'!$B$6:$Q$205,10,0))</f>
        <v/>
      </c>
      <c r="L163" s="37" t="str">
        <f>IF(B163="","",VLOOKUP(B163,'سجل حساب الزيادة السنوية'!$B$6:$Q$205,11,0))</f>
        <v/>
      </c>
      <c r="M163" s="37" t="str">
        <f>IF(B163="","",VLOOKUP(B163,'سجل حساب الزيادة السنوية'!$B$6:$Q$205,12,0))</f>
        <v/>
      </c>
      <c r="N163" s="37" t="str">
        <f>IF(B163="","",VLOOKUP(B163,'سجل حساب الزيادة السنوية'!$B$6:$Q$205,13,0))</f>
        <v/>
      </c>
      <c r="O163" s="37" t="str">
        <f>IF(B163="","",VLOOKUP(B163,'سجل حساب الزيادة السنوية'!$B$6:$Q$205,14,0))</f>
        <v/>
      </c>
      <c r="P163" s="37" t="str">
        <f>IF(B163="","",VLOOKUP(B163,'سجل حساب الزيادة السنوية'!$B$6:$Q$205,15,0))</f>
        <v/>
      </c>
      <c r="Q163" s="37" t="str">
        <f>IF(B163="","",VLOOKUP(B163,'سجل حساب الزيادة السنوية'!$B$6:$Q$205,16,0))</f>
        <v/>
      </c>
    </row>
    <row r="164" spans="1:17" ht="22.5" customHeight="1" x14ac:dyDescent="0.25">
      <c r="A164" s="32" t="str">
        <f>IF(B164="","",SUBTOTAL(3,B$7:B164))</f>
        <v/>
      </c>
      <c r="B164" s="32" t="str">
        <f>IF('سجل حساب الزيادة السنوية'!B163="","",'سجل حساب الزيادة السنوية'!B163)</f>
        <v/>
      </c>
      <c r="C164" s="32" t="str">
        <f>IF(B164="","",VLOOKUP(B164,'سجل حساب الزيادة السنوية'!$B$6:$Q$205,2,0))</f>
        <v/>
      </c>
      <c r="D164" s="32" t="str">
        <f>IF(B164="","",VLOOKUP(B164,'سجل حساب الزيادة السنوية'!$B$6:$Q$205,3,0))</f>
        <v/>
      </c>
      <c r="E164" s="32" t="str">
        <f>IF(B164="","",VLOOKUP(B164,'سجل حساب الزيادة السنوية'!$B$6:$Q$205,4,0))</f>
        <v/>
      </c>
      <c r="F164" s="36" t="str">
        <f>IF(B164="","",VLOOKUP(B164,'سجل حساب الزيادة السنوية'!$B$6:$Q$205,5,0))</f>
        <v/>
      </c>
      <c r="G164" s="32" t="str">
        <f>IF(B164="","",VLOOKUP(B164,'سجل حساب الزيادة السنوية'!$B$6:$Q$205,6,0))</f>
        <v/>
      </c>
      <c r="H164" s="32" t="str">
        <f>IF(B164="","",VLOOKUP(B164,'سجل حساب الزيادة السنوية'!$B$6:$Q$205,7,0))</f>
        <v/>
      </c>
      <c r="I164" s="33" t="str">
        <f>IF(B164="","",VLOOKUP(B164,'سجل حساب الزيادة السنوية'!$B$6:$Q$205,8,0))</f>
        <v/>
      </c>
      <c r="J164" s="61" t="str">
        <f>IF(B164="","",VLOOKUP(B164,'سجل حساب الزيادة السنوية'!$B$6:$Q$205,9,0))</f>
        <v/>
      </c>
      <c r="K164" s="59" t="str">
        <f>IF(B164="","",VLOOKUP(B164,'سجل حساب الزيادة السنوية'!$B$6:$Q$205,10,0))</f>
        <v/>
      </c>
      <c r="L164" s="37" t="str">
        <f>IF(B164="","",VLOOKUP(B164,'سجل حساب الزيادة السنوية'!$B$6:$Q$205,11,0))</f>
        <v/>
      </c>
      <c r="M164" s="37" t="str">
        <f>IF(B164="","",VLOOKUP(B164,'سجل حساب الزيادة السنوية'!$B$6:$Q$205,12,0))</f>
        <v/>
      </c>
      <c r="N164" s="37" t="str">
        <f>IF(B164="","",VLOOKUP(B164,'سجل حساب الزيادة السنوية'!$B$6:$Q$205,13,0))</f>
        <v/>
      </c>
      <c r="O164" s="37" t="str">
        <f>IF(B164="","",VLOOKUP(B164,'سجل حساب الزيادة السنوية'!$B$6:$Q$205,14,0))</f>
        <v/>
      </c>
      <c r="P164" s="37" t="str">
        <f>IF(B164="","",VLOOKUP(B164,'سجل حساب الزيادة السنوية'!$B$6:$Q$205,15,0))</f>
        <v/>
      </c>
      <c r="Q164" s="37" t="str">
        <f>IF(B164="","",VLOOKUP(B164,'سجل حساب الزيادة السنوية'!$B$6:$Q$205,16,0))</f>
        <v/>
      </c>
    </row>
    <row r="165" spans="1:17" ht="22.5" customHeight="1" x14ac:dyDescent="0.25">
      <c r="A165" s="32" t="str">
        <f>IF(B165="","",SUBTOTAL(3,B$7:B165))</f>
        <v/>
      </c>
      <c r="B165" s="32" t="str">
        <f>IF('سجل حساب الزيادة السنوية'!B164="","",'سجل حساب الزيادة السنوية'!B164)</f>
        <v/>
      </c>
      <c r="C165" s="32" t="str">
        <f>IF(B165="","",VLOOKUP(B165,'سجل حساب الزيادة السنوية'!$B$6:$Q$205,2,0))</f>
        <v/>
      </c>
      <c r="D165" s="32" t="str">
        <f>IF(B165="","",VLOOKUP(B165,'سجل حساب الزيادة السنوية'!$B$6:$Q$205,3,0))</f>
        <v/>
      </c>
      <c r="E165" s="32" t="str">
        <f>IF(B165="","",VLOOKUP(B165,'سجل حساب الزيادة السنوية'!$B$6:$Q$205,4,0))</f>
        <v/>
      </c>
      <c r="F165" s="36" t="str">
        <f>IF(B165="","",VLOOKUP(B165,'سجل حساب الزيادة السنوية'!$B$6:$Q$205,5,0))</f>
        <v/>
      </c>
      <c r="G165" s="32" t="str">
        <f>IF(B165="","",VLOOKUP(B165,'سجل حساب الزيادة السنوية'!$B$6:$Q$205,6,0))</f>
        <v/>
      </c>
      <c r="H165" s="32" t="str">
        <f>IF(B165="","",VLOOKUP(B165,'سجل حساب الزيادة السنوية'!$B$6:$Q$205,7,0))</f>
        <v/>
      </c>
      <c r="I165" s="33" t="str">
        <f>IF(B165="","",VLOOKUP(B165,'سجل حساب الزيادة السنوية'!$B$6:$Q$205,8,0))</f>
        <v/>
      </c>
      <c r="J165" s="61" t="str">
        <f>IF(B165="","",VLOOKUP(B165,'سجل حساب الزيادة السنوية'!$B$6:$Q$205,9,0))</f>
        <v/>
      </c>
      <c r="K165" s="59" t="str">
        <f>IF(B165="","",VLOOKUP(B165,'سجل حساب الزيادة السنوية'!$B$6:$Q$205,10,0))</f>
        <v/>
      </c>
      <c r="L165" s="37" t="str">
        <f>IF(B165="","",VLOOKUP(B165,'سجل حساب الزيادة السنوية'!$B$6:$Q$205,11,0))</f>
        <v/>
      </c>
      <c r="M165" s="37" t="str">
        <f>IF(B165="","",VLOOKUP(B165,'سجل حساب الزيادة السنوية'!$B$6:$Q$205,12,0))</f>
        <v/>
      </c>
      <c r="N165" s="37" t="str">
        <f>IF(B165="","",VLOOKUP(B165,'سجل حساب الزيادة السنوية'!$B$6:$Q$205,13,0))</f>
        <v/>
      </c>
      <c r="O165" s="37" t="str">
        <f>IF(B165="","",VLOOKUP(B165,'سجل حساب الزيادة السنوية'!$B$6:$Q$205,14,0))</f>
        <v/>
      </c>
      <c r="P165" s="37" t="str">
        <f>IF(B165="","",VLOOKUP(B165,'سجل حساب الزيادة السنوية'!$B$6:$Q$205,15,0))</f>
        <v/>
      </c>
      <c r="Q165" s="37" t="str">
        <f>IF(B165="","",VLOOKUP(B165,'سجل حساب الزيادة السنوية'!$B$6:$Q$205,16,0))</f>
        <v/>
      </c>
    </row>
    <row r="166" spans="1:17" ht="22.5" customHeight="1" x14ac:dyDescent="0.25">
      <c r="A166" s="32" t="str">
        <f>IF(B166="","",SUBTOTAL(3,B$7:B166))</f>
        <v/>
      </c>
      <c r="B166" s="32" t="str">
        <f>IF('سجل حساب الزيادة السنوية'!B165="","",'سجل حساب الزيادة السنوية'!B165)</f>
        <v/>
      </c>
      <c r="C166" s="32" t="str">
        <f>IF(B166="","",VLOOKUP(B166,'سجل حساب الزيادة السنوية'!$B$6:$Q$205,2,0))</f>
        <v/>
      </c>
      <c r="D166" s="32" t="str">
        <f>IF(B166="","",VLOOKUP(B166,'سجل حساب الزيادة السنوية'!$B$6:$Q$205,3,0))</f>
        <v/>
      </c>
      <c r="E166" s="32" t="str">
        <f>IF(B166="","",VLOOKUP(B166,'سجل حساب الزيادة السنوية'!$B$6:$Q$205,4,0))</f>
        <v/>
      </c>
      <c r="F166" s="36" t="str">
        <f>IF(B166="","",VLOOKUP(B166,'سجل حساب الزيادة السنوية'!$B$6:$Q$205,5,0))</f>
        <v/>
      </c>
      <c r="G166" s="32" t="str">
        <f>IF(B166="","",VLOOKUP(B166,'سجل حساب الزيادة السنوية'!$B$6:$Q$205,6,0))</f>
        <v/>
      </c>
      <c r="H166" s="32" t="str">
        <f>IF(B166="","",VLOOKUP(B166,'سجل حساب الزيادة السنوية'!$B$6:$Q$205,7,0))</f>
        <v/>
      </c>
      <c r="I166" s="33" t="str">
        <f>IF(B166="","",VLOOKUP(B166,'سجل حساب الزيادة السنوية'!$B$6:$Q$205,8,0))</f>
        <v/>
      </c>
      <c r="J166" s="61" t="str">
        <f>IF(B166="","",VLOOKUP(B166,'سجل حساب الزيادة السنوية'!$B$6:$Q$205,9,0))</f>
        <v/>
      </c>
      <c r="K166" s="59" t="str">
        <f>IF(B166="","",VLOOKUP(B166,'سجل حساب الزيادة السنوية'!$B$6:$Q$205,10,0))</f>
        <v/>
      </c>
      <c r="L166" s="37" t="str">
        <f>IF(B166="","",VLOOKUP(B166,'سجل حساب الزيادة السنوية'!$B$6:$Q$205,11,0))</f>
        <v/>
      </c>
      <c r="M166" s="37" t="str">
        <f>IF(B166="","",VLOOKUP(B166,'سجل حساب الزيادة السنوية'!$B$6:$Q$205,12,0))</f>
        <v/>
      </c>
      <c r="N166" s="37" t="str">
        <f>IF(B166="","",VLOOKUP(B166,'سجل حساب الزيادة السنوية'!$B$6:$Q$205,13,0))</f>
        <v/>
      </c>
      <c r="O166" s="37" t="str">
        <f>IF(B166="","",VLOOKUP(B166,'سجل حساب الزيادة السنوية'!$B$6:$Q$205,14,0))</f>
        <v/>
      </c>
      <c r="P166" s="37" t="str">
        <f>IF(B166="","",VLOOKUP(B166,'سجل حساب الزيادة السنوية'!$B$6:$Q$205,15,0))</f>
        <v/>
      </c>
      <c r="Q166" s="37" t="str">
        <f>IF(B166="","",VLOOKUP(B166,'سجل حساب الزيادة السنوية'!$B$6:$Q$205,16,0))</f>
        <v/>
      </c>
    </row>
    <row r="167" spans="1:17" ht="22.5" customHeight="1" x14ac:dyDescent="0.25">
      <c r="A167" s="32" t="str">
        <f>IF(B167="","",SUBTOTAL(3,B$7:B167))</f>
        <v/>
      </c>
      <c r="B167" s="32" t="str">
        <f>IF('سجل حساب الزيادة السنوية'!B166="","",'سجل حساب الزيادة السنوية'!B166)</f>
        <v/>
      </c>
      <c r="C167" s="32" t="str">
        <f>IF(B167="","",VLOOKUP(B167,'سجل حساب الزيادة السنوية'!$B$6:$Q$205,2,0))</f>
        <v/>
      </c>
      <c r="D167" s="32" t="str">
        <f>IF(B167="","",VLOOKUP(B167,'سجل حساب الزيادة السنوية'!$B$6:$Q$205,3,0))</f>
        <v/>
      </c>
      <c r="E167" s="32" t="str">
        <f>IF(B167="","",VLOOKUP(B167,'سجل حساب الزيادة السنوية'!$B$6:$Q$205,4,0))</f>
        <v/>
      </c>
      <c r="F167" s="36" t="str">
        <f>IF(B167="","",VLOOKUP(B167,'سجل حساب الزيادة السنوية'!$B$6:$Q$205,5,0))</f>
        <v/>
      </c>
      <c r="G167" s="32" t="str">
        <f>IF(B167="","",VLOOKUP(B167,'سجل حساب الزيادة السنوية'!$B$6:$Q$205,6,0))</f>
        <v/>
      </c>
      <c r="H167" s="32" t="str">
        <f>IF(B167="","",VLOOKUP(B167,'سجل حساب الزيادة السنوية'!$B$6:$Q$205,7,0))</f>
        <v/>
      </c>
      <c r="I167" s="33" t="str">
        <f>IF(B167="","",VLOOKUP(B167,'سجل حساب الزيادة السنوية'!$B$6:$Q$205,8,0))</f>
        <v/>
      </c>
      <c r="J167" s="61" t="str">
        <f>IF(B167="","",VLOOKUP(B167,'سجل حساب الزيادة السنوية'!$B$6:$Q$205,9,0))</f>
        <v/>
      </c>
      <c r="K167" s="59" t="str">
        <f>IF(B167="","",VLOOKUP(B167,'سجل حساب الزيادة السنوية'!$B$6:$Q$205,10,0))</f>
        <v/>
      </c>
      <c r="L167" s="37" t="str">
        <f>IF(B167="","",VLOOKUP(B167,'سجل حساب الزيادة السنوية'!$B$6:$Q$205,11,0))</f>
        <v/>
      </c>
      <c r="M167" s="37" t="str">
        <f>IF(B167="","",VLOOKUP(B167,'سجل حساب الزيادة السنوية'!$B$6:$Q$205,12,0))</f>
        <v/>
      </c>
      <c r="N167" s="37" t="str">
        <f>IF(B167="","",VLOOKUP(B167,'سجل حساب الزيادة السنوية'!$B$6:$Q$205,13,0))</f>
        <v/>
      </c>
      <c r="O167" s="37" t="str">
        <f>IF(B167="","",VLOOKUP(B167,'سجل حساب الزيادة السنوية'!$B$6:$Q$205,14,0))</f>
        <v/>
      </c>
      <c r="P167" s="37" t="str">
        <f>IF(B167="","",VLOOKUP(B167,'سجل حساب الزيادة السنوية'!$B$6:$Q$205,15,0))</f>
        <v/>
      </c>
      <c r="Q167" s="37" t="str">
        <f>IF(B167="","",VLOOKUP(B167,'سجل حساب الزيادة السنوية'!$B$6:$Q$205,16,0))</f>
        <v/>
      </c>
    </row>
    <row r="168" spans="1:17" ht="22.5" customHeight="1" x14ac:dyDescent="0.25">
      <c r="A168" s="32" t="str">
        <f>IF(B168="","",SUBTOTAL(3,B$7:B168))</f>
        <v/>
      </c>
      <c r="B168" s="32" t="str">
        <f>IF('سجل حساب الزيادة السنوية'!B167="","",'سجل حساب الزيادة السنوية'!B167)</f>
        <v/>
      </c>
      <c r="C168" s="32" t="str">
        <f>IF(B168="","",VLOOKUP(B168,'سجل حساب الزيادة السنوية'!$B$6:$Q$205,2,0))</f>
        <v/>
      </c>
      <c r="D168" s="32" t="str">
        <f>IF(B168="","",VLOOKUP(B168,'سجل حساب الزيادة السنوية'!$B$6:$Q$205,3,0))</f>
        <v/>
      </c>
      <c r="E168" s="32" t="str">
        <f>IF(B168="","",VLOOKUP(B168,'سجل حساب الزيادة السنوية'!$B$6:$Q$205,4,0))</f>
        <v/>
      </c>
      <c r="F168" s="36" t="str">
        <f>IF(B168="","",VLOOKUP(B168,'سجل حساب الزيادة السنوية'!$B$6:$Q$205,5,0))</f>
        <v/>
      </c>
      <c r="G168" s="32" t="str">
        <f>IF(B168="","",VLOOKUP(B168,'سجل حساب الزيادة السنوية'!$B$6:$Q$205,6,0))</f>
        <v/>
      </c>
      <c r="H168" s="32" t="str">
        <f>IF(B168="","",VLOOKUP(B168,'سجل حساب الزيادة السنوية'!$B$6:$Q$205,7,0))</f>
        <v/>
      </c>
      <c r="I168" s="33" t="str">
        <f>IF(B168="","",VLOOKUP(B168,'سجل حساب الزيادة السنوية'!$B$6:$Q$205,8,0))</f>
        <v/>
      </c>
      <c r="J168" s="61" t="str">
        <f>IF(B168="","",VLOOKUP(B168,'سجل حساب الزيادة السنوية'!$B$6:$Q$205,9,0))</f>
        <v/>
      </c>
      <c r="K168" s="59" t="str">
        <f>IF(B168="","",VLOOKUP(B168,'سجل حساب الزيادة السنوية'!$B$6:$Q$205,10,0))</f>
        <v/>
      </c>
      <c r="L168" s="37" t="str">
        <f>IF(B168="","",VLOOKUP(B168,'سجل حساب الزيادة السنوية'!$B$6:$Q$205,11,0))</f>
        <v/>
      </c>
      <c r="M168" s="37" t="str">
        <f>IF(B168="","",VLOOKUP(B168,'سجل حساب الزيادة السنوية'!$B$6:$Q$205,12,0))</f>
        <v/>
      </c>
      <c r="N168" s="37" t="str">
        <f>IF(B168="","",VLOOKUP(B168,'سجل حساب الزيادة السنوية'!$B$6:$Q$205,13,0))</f>
        <v/>
      </c>
      <c r="O168" s="37" t="str">
        <f>IF(B168="","",VLOOKUP(B168,'سجل حساب الزيادة السنوية'!$B$6:$Q$205,14,0))</f>
        <v/>
      </c>
      <c r="P168" s="37" t="str">
        <f>IF(B168="","",VLOOKUP(B168,'سجل حساب الزيادة السنوية'!$B$6:$Q$205,15,0))</f>
        <v/>
      </c>
      <c r="Q168" s="37" t="str">
        <f>IF(B168="","",VLOOKUP(B168,'سجل حساب الزيادة السنوية'!$B$6:$Q$205,16,0))</f>
        <v/>
      </c>
    </row>
    <row r="169" spans="1:17" ht="22.5" customHeight="1" x14ac:dyDescent="0.25">
      <c r="A169" s="32" t="str">
        <f>IF(B169="","",SUBTOTAL(3,B$7:B169))</f>
        <v/>
      </c>
      <c r="B169" s="32" t="str">
        <f>IF('سجل حساب الزيادة السنوية'!B168="","",'سجل حساب الزيادة السنوية'!B168)</f>
        <v/>
      </c>
      <c r="C169" s="32" t="str">
        <f>IF(B169="","",VLOOKUP(B169,'سجل حساب الزيادة السنوية'!$B$6:$Q$205,2,0))</f>
        <v/>
      </c>
      <c r="D169" s="32" t="str">
        <f>IF(B169="","",VLOOKUP(B169,'سجل حساب الزيادة السنوية'!$B$6:$Q$205,3,0))</f>
        <v/>
      </c>
      <c r="E169" s="32" t="str">
        <f>IF(B169="","",VLOOKUP(B169,'سجل حساب الزيادة السنوية'!$B$6:$Q$205,4,0))</f>
        <v/>
      </c>
      <c r="F169" s="36" t="str">
        <f>IF(B169="","",VLOOKUP(B169,'سجل حساب الزيادة السنوية'!$B$6:$Q$205,5,0))</f>
        <v/>
      </c>
      <c r="G169" s="32" t="str">
        <f>IF(B169="","",VLOOKUP(B169,'سجل حساب الزيادة السنوية'!$B$6:$Q$205,6,0))</f>
        <v/>
      </c>
      <c r="H169" s="32" t="str">
        <f>IF(B169="","",VLOOKUP(B169,'سجل حساب الزيادة السنوية'!$B$6:$Q$205,7,0))</f>
        <v/>
      </c>
      <c r="I169" s="33" t="str">
        <f>IF(B169="","",VLOOKUP(B169,'سجل حساب الزيادة السنوية'!$B$6:$Q$205,8,0))</f>
        <v/>
      </c>
      <c r="J169" s="61" t="str">
        <f>IF(B169="","",VLOOKUP(B169,'سجل حساب الزيادة السنوية'!$B$6:$Q$205,9,0))</f>
        <v/>
      </c>
      <c r="K169" s="59" t="str">
        <f>IF(B169="","",VLOOKUP(B169,'سجل حساب الزيادة السنوية'!$B$6:$Q$205,10,0))</f>
        <v/>
      </c>
      <c r="L169" s="37" t="str">
        <f>IF(B169="","",VLOOKUP(B169,'سجل حساب الزيادة السنوية'!$B$6:$Q$205,11,0))</f>
        <v/>
      </c>
      <c r="M169" s="37" t="str">
        <f>IF(B169="","",VLOOKUP(B169,'سجل حساب الزيادة السنوية'!$B$6:$Q$205,12,0))</f>
        <v/>
      </c>
      <c r="N169" s="37" t="str">
        <f>IF(B169="","",VLOOKUP(B169,'سجل حساب الزيادة السنوية'!$B$6:$Q$205,13,0))</f>
        <v/>
      </c>
      <c r="O169" s="37" t="str">
        <f>IF(B169="","",VLOOKUP(B169,'سجل حساب الزيادة السنوية'!$B$6:$Q$205,14,0))</f>
        <v/>
      </c>
      <c r="P169" s="37" t="str">
        <f>IF(B169="","",VLOOKUP(B169,'سجل حساب الزيادة السنوية'!$B$6:$Q$205,15,0))</f>
        <v/>
      </c>
      <c r="Q169" s="37" t="str">
        <f>IF(B169="","",VLOOKUP(B169,'سجل حساب الزيادة السنوية'!$B$6:$Q$205,16,0))</f>
        <v/>
      </c>
    </row>
    <row r="170" spans="1:17" ht="22.5" customHeight="1" x14ac:dyDescent="0.25">
      <c r="A170" s="32" t="str">
        <f>IF(B170="","",SUBTOTAL(3,B$7:B170))</f>
        <v/>
      </c>
      <c r="B170" s="32" t="str">
        <f>IF('سجل حساب الزيادة السنوية'!B169="","",'سجل حساب الزيادة السنوية'!B169)</f>
        <v/>
      </c>
      <c r="C170" s="32" t="str">
        <f>IF(B170="","",VLOOKUP(B170,'سجل حساب الزيادة السنوية'!$B$6:$Q$205,2,0))</f>
        <v/>
      </c>
      <c r="D170" s="32" t="str">
        <f>IF(B170="","",VLOOKUP(B170,'سجل حساب الزيادة السنوية'!$B$6:$Q$205,3,0))</f>
        <v/>
      </c>
      <c r="E170" s="32" t="str">
        <f>IF(B170="","",VLOOKUP(B170,'سجل حساب الزيادة السنوية'!$B$6:$Q$205,4,0))</f>
        <v/>
      </c>
      <c r="F170" s="36" t="str">
        <f>IF(B170="","",VLOOKUP(B170,'سجل حساب الزيادة السنوية'!$B$6:$Q$205,5,0))</f>
        <v/>
      </c>
      <c r="G170" s="32" t="str">
        <f>IF(B170="","",VLOOKUP(B170,'سجل حساب الزيادة السنوية'!$B$6:$Q$205,6,0))</f>
        <v/>
      </c>
      <c r="H170" s="32" t="str">
        <f>IF(B170="","",VLOOKUP(B170,'سجل حساب الزيادة السنوية'!$B$6:$Q$205,7,0))</f>
        <v/>
      </c>
      <c r="I170" s="33" t="str">
        <f>IF(B170="","",VLOOKUP(B170,'سجل حساب الزيادة السنوية'!$B$6:$Q$205,8,0))</f>
        <v/>
      </c>
      <c r="J170" s="61" t="str">
        <f>IF(B170="","",VLOOKUP(B170,'سجل حساب الزيادة السنوية'!$B$6:$Q$205,9,0))</f>
        <v/>
      </c>
      <c r="K170" s="59" t="str">
        <f>IF(B170="","",VLOOKUP(B170,'سجل حساب الزيادة السنوية'!$B$6:$Q$205,10,0))</f>
        <v/>
      </c>
      <c r="L170" s="37" t="str">
        <f>IF(B170="","",VLOOKUP(B170,'سجل حساب الزيادة السنوية'!$B$6:$Q$205,11,0))</f>
        <v/>
      </c>
      <c r="M170" s="37" t="str">
        <f>IF(B170="","",VLOOKUP(B170,'سجل حساب الزيادة السنوية'!$B$6:$Q$205,12,0))</f>
        <v/>
      </c>
      <c r="N170" s="37" t="str">
        <f>IF(B170="","",VLOOKUP(B170,'سجل حساب الزيادة السنوية'!$B$6:$Q$205,13,0))</f>
        <v/>
      </c>
      <c r="O170" s="37" t="str">
        <f>IF(B170="","",VLOOKUP(B170,'سجل حساب الزيادة السنوية'!$B$6:$Q$205,14,0))</f>
        <v/>
      </c>
      <c r="P170" s="37" t="str">
        <f>IF(B170="","",VLOOKUP(B170,'سجل حساب الزيادة السنوية'!$B$6:$Q$205,15,0))</f>
        <v/>
      </c>
      <c r="Q170" s="37" t="str">
        <f>IF(B170="","",VLOOKUP(B170,'سجل حساب الزيادة السنوية'!$B$6:$Q$205,16,0))</f>
        <v/>
      </c>
    </row>
    <row r="171" spans="1:17" ht="22.5" customHeight="1" x14ac:dyDescent="0.25">
      <c r="A171" s="32" t="str">
        <f>IF(B171="","",SUBTOTAL(3,B$7:B171))</f>
        <v/>
      </c>
      <c r="B171" s="32" t="str">
        <f>IF('سجل حساب الزيادة السنوية'!B170="","",'سجل حساب الزيادة السنوية'!B170)</f>
        <v/>
      </c>
      <c r="C171" s="32" t="str">
        <f>IF(B171="","",VLOOKUP(B171,'سجل حساب الزيادة السنوية'!$B$6:$Q$205,2,0))</f>
        <v/>
      </c>
      <c r="D171" s="32" t="str">
        <f>IF(B171="","",VLOOKUP(B171,'سجل حساب الزيادة السنوية'!$B$6:$Q$205,3,0))</f>
        <v/>
      </c>
      <c r="E171" s="32" t="str">
        <f>IF(B171="","",VLOOKUP(B171,'سجل حساب الزيادة السنوية'!$B$6:$Q$205,4,0))</f>
        <v/>
      </c>
      <c r="F171" s="36" t="str">
        <f>IF(B171="","",VLOOKUP(B171,'سجل حساب الزيادة السنوية'!$B$6:$Q$205,5,0))</f>
        <v/>
      </c>
      <c r="G171" s="32" t="str">
        <f>IF(B171="","",VLOOKUP(B171,'سجل حساب الزيادة السنوية'!$B$6:$Q$205,6,0))</f>
        <v/>
      </c>
      <c r="H171" s="32" t="str">
        <f>IF(B171="","",VLOOKUP(B171,'سجل حساب الزيادة السنوية'!$B$6:$Q$205,7,0))</f>
        <v/>
      </c>
      <c r="I171" s="33" t="str">
        <f>IF(B171="","",VLOOKUP(B171,'سجل حساب الزيادة السنوية'!$B$6:$Q$205,8,0))</f>
        <v/>
      </c>
      <c r="J171" s="61" t="str">
        <f>IF(B171="","",VLOOKUP(B171,'سجل حساب الزيادة السنوية'!$B$6:$Q$205,9,0))</f>
        <v/>
      </c>
      <c r="K171" s="59" t="str">
        <f>IF(B171="","",VLOOKUP(B171,'سجل حساب الزيادة السنوية'!$B$6:$Q$205,10,0))</f>
        <v/>
      </c>
      <c r="L171" s="37" t="str">
        <f>IF(B171="","",VLOOKUP(B171,'سجل حساب الزيادة السنوية'!$B$6:$Q$205,11,0))</f>
        <v/>
      </c>
      <c r="M171" s="37" t="str">
        <f>IF(B171="","",VLOOKUP(B171,'سجل حساب الزيادة السنوية'!$B$6:$Q$205,12,0))</f>
        <v/>
      </c>
      <c r="N171" s="37" t="str">
        <f>IF(B171="","",VLOOKUP(B171,'سجل حساب الزيادة السنوية'!$B$6:$Q$205,13,0))</f>
        <v/>
      </c>
      <c r="O171" s="37" t="str">
        <f>IF(B171="","",VLOOKUP(B171,'سجل حساب الزيادة السنوية'!$B$6:$Q$205,14,0))</f>
        <v/>
      </c>
      <c r="P171" s="37" t="str">
        <f>IF(B171="","",VLOOKUP(B171,'سجل حساب الزيادة السنوية'!$B$6:$Q$205,15,0))</f>
        <v/>
      </c>
      <c r="Q171" s="37" t="str">
        <f>IF(B171="","",VLOOKUP(B171,'سجل حساب الزيادة السنوية'!$B$6:$Q$205,16,0))</f>
        <v/>
      </c>
    </row>
    <row r="172" spans="1:17" ht="22.5" customHeight="1" x14ac:dyDescent="0.25">
      <c r="A172" s="32" t="str">
        <f>IF(B172="","",SUBTOTAL(3,B$7:B172))</f>
        <v/>
      </c>
      <c r="B172" s="32" t="str">
        <f>IF('سجل حساب الزيادة السنوية'!B171="","",'سجل حساب الزيادة السنوية'!B171)</f>
        <v/>
      </c>
      <c r="C172" s="32" t="str">
        <f>IF(B172="","",VLOOKUP(B172,'سجل حساب الزيادة السنوية'!$B$6:$Q$205,2,0))</f>
        <v/>
      </c>
      <c r="D172" s="32" t="str">
        <f>IF(B172="","",VLOOKUP(B172,'سجل حساب الزيادة السنوية'!$B$6:$Q$205,3,0))</f>
        <v/>
      </c>
      <c r="E172" s="32" t="str">
        <f>IF(B172="","",VLOOKUP(B172,'سجل حساب الزيادة السنوية'!$B$6:$Q$205,4,0))</f>
        <v/>
      </c>
      <c r="F172" s="36" t="str">
        <f>IF(B172="","",VLOOKUP(B172,'سجل حساب الزيادة السنوية'!$B$6:$Q$205,5,0))</f>
        <v/>
      </c>
      <c r="G172" s="32" t="str">
        <f>IF(B172="","",VLOOKUP(B172,'سجل حساب الزيادة السنوية'!$B$6:$Q$205,6,0))</f>
        <v/>
      </c>
      <c r="H172" s="32" t="str">
        <f>IF(B172="","",VLOOKUP(B172,'سجل حساب الزيادة السنوية'!$B$6:$Q$205,7,0))</f>
        <v/>
      </c>
      <c r="I172" s="33" t="str">
        <f>IF(B172="","",VLOOKUP(B172,'سجل حساب الزيادة السنوية'!$B$6:$Q$205,8,0))</f>
        <v/>
      </c>
      <c r="J172" s="61" t="str">
        <f>IF(B172="","",VLOOKUP(B172,'سجل حساب الزيادة السنوية'!$B$6:$Q$205,9,0))</f>
        <v/>
      </c>
      <c r="K172" s="59" t="str">
        <f>IF(B172="","",VLOOKUP(B172,'سجل حساب الزيادة السنوية'!$B$6:$Q$205,10,0))</f>
        <v/>
      </c>
      <c r="L172" s="37" t="str">
        <f>IF(B172="","",VLOOKUP(B172,'سجل حساب الزيادة السنوية'!$B$6:$Q$205,11,0))</f>
        <v/>
      </c>
      <c r="M172" s="37" t="str">
        <f>IF(B172="","",VLOOKUP(B172,'سجل حساب الزيادة السنوية'!$B$6:$Q$205,12,0))</f>
        <v/>
      </c>
      <c r="N172" s="37" t="str">
        <f>IF(B172="","",VLOOKUP(B172,'سجل حساب الزيادة السنوية'!$B$6:$Q$205,13,0))</f>
        <v/>
      </c>
      <c r="O172" s="37" t="str">
        <f>IF(B172="","",VLOOKUP(B172,'سجل حساب الزيادة السنوية'!$B$6:$Q$205,14,0))</f>
        <v/>
      </c>
      <c r="P172" s="37" t="str">
        <f>IF(B172="","",VLOOKUP(B172,'سجل حساب الزيادة السنوية'!$B$6:$Q$205,15,0))</f>
        <v/>
      </c>
      <c r="Q172" s="37" t="str">
        <f>IF(B172="","",VLOOKUP(B172,'سجل حساب الزيادة السنوية'!$B$6:$Q$205,16,0))</f>
        <v/>
      </c>
    </row>
    <row r="173" spans="1:17" ht="22.5" customHeight="1" x14ac:dyDescent="0.25">
      <c r="A173" s="32" t="str">
        <f>IF(B173="","",SUBTOTAL(3,B$7:B173))</f>
        <v/>
      </c>
      <c r="B173" s="32" t="str">
        <f>IF('سجل حساب الزيادة السنوية'!B172="","",'سجل حساب الزيادة السنوية'!B172)</f>
        <v/>
      </c>
      <c r="C173" s="32" t="str">
        <f>IF(B173="","",VLOOKUP(B173,'سجل حساب الزيادة السنوية'!$B$6:$Q$205,2,0))</f>
        <v/>
      </c>
      <c r="D173" s="32" t="str">
        <f>IF(B173="","",VLOOKUP(B173,'سجل حساب الزيادة السنوية'!$B$6:$Q$205,3,0))</f>
        <v/>
      </c>
      <c r="E173" s="32" t="str">
        <f>IF(B173="","",VLOOKUP(B173,'سجل حساب الزيادة السنوية'!$B$6:$Q$205,4,0))</f>
        <v/>
      </c>
      <c r="F173" s="36" t="str">
        <f>IF(B173="","",VLOOKUP(B173,'سجل حساب الزيادة السنوية'!$B$6:$Q$205,5,0))</f>
        <v/>
      </c>
      <c r="G173" s="32" t="str">
        <f>IF(B173="","",VLOOKUP(B173,'سجل حساب الزيادة السنوية'!$B$6:$Q$205,6,0))</f>
        <v/>
      </c>
      <c r="H173" s="32" t="str">
        <f>IF(B173="","",VLOOKUP(B173,'سجل حساب الزيادة السنوية'!$B$6:$Q$205,7,0))</f>
        <v/>
      </c>
      <c r="I173" s="33" t="str">
        <f>IF(B173="","",VLOOKUP(B173,'سجل حساب الزيادة السنوية'!$B$6:$Q$205,8,0))</f>
        <v/>
      </c>
      <c r="J173" s="61" t="str">
        <f>IF(B173="","",VLOOKUP(B173,'سجل حساب الزيادة السنوية'!$B$6:$Q$205,9,0))</f>
        <v/>
      </c>
      <c r="K173" s="59" t="str">
        <f>IF(B173="","",VLOOKUP(B173,'سجل حساب الزيادة السنوية'!$B$6:$Q$205,10,0))</f>
        <v/>
      </c>
      <c r="L173" s="37" t="str">
        <f>IF(B173="","",VLOOKUP(B173,'سجل حساب الزيادة السنوية'!$B$6:$Q$205,11,0))</f>
        <v/>
      </c>
      <c r="M173" s="37" t="str">
        <f>IF(B173="","",VLOOKUP(B173,'سجل حساب الزيادة السنوية'!$B$6:$Q$205,12,0))</f>
        <v/>
      </c>
      <c r="N173" s="37" t="str">
        <f>IF(B173="","",VLOOKUP(B173,'سجل حساب الزيادة السنوية'!$B$6:$Q$205,13,0))</f>
        <v/>
      </c>
      <c r="O173" s="37" t="str">
        <f>IF(B173="","",VLOOKUP(B173,'سجل حساب الزيادة السنوية'!$B$6:$Q$205,14,0))</f>
        <v/>
      </c>
      <c r="P173" s="37" t="str">
        <f>IF(B173="","",VLOOKUP(B173,'سجل حساب الزيادة السنوية'!$B$6:$Q$205,15,0))</f>
        <v/>
      </c>
      <c r="Q173" s="37" t="str">
        <f>IF(B173="","",VLOOKUP(B173,'سجل حساب الزيادة السنوية'!$B$6:$Q$205,16,0))</f>
        <v/>
      </c>
    </row>
    <row r="174" spans="1:17" ht="22.5" customHeight="1" x14ac:dyDescent="0.25">
      <c r="A174" s="32" t="str">
        <f>IF(B174="","",SUBTOTAL(3,B$7:B174))</f>
        <v/>
      </c>
      <c r="B174" s="32" t="str">
        <f>IF('سجل حساب الزيادة السنوية'!B173="","",'سجل حساب الزيادة السنوية'!B173)</f>
        <v/>
      </c>
      <c r="C174" s="32" t="str">
        <f>IF(B174="","",VLOOKUP(B174,'سجل حساب الزيادة السنوية'!$B$6:$Q$205,2,0))</f>
        <v/>
      </c>
      <c r="D174" s="32" t="str">
        <f>IF(B174="","",VLOOKUP(B174,'سجل حساب الزيادة السنوية'!$B$6:$Q$205,3,0))</f>
        <v/>
      </c>
      <c r="E174" s="32" t="str">
        <f>IF(B174="","",VLOOKUP(B174,'سجل حساب الزيادة السنوية'!$B$6:$Q$205,4,0))</f>
        <v/>
      </c>
      <c r="F174" s="36" t="str">
        <f>IF(B174="","",VLOOKUP(B174,'سجل حساب الزيادة السنوية'!$B$6:$Q$205,5,0))</f>
        <v/>
      </c>
      <c r="G174" s="32" t="str">
        <f>IF(B174="","",VLOOKUP(B174,'سجل حساب الزيادة السنوية'!$B$6:$Q$205,6,0))</f>
        <v/>
      </c>
      <c r="H174" s="32" t="str">
        <f>IF(B174="","",VLOOKUP(B174,'سجل حساب الزيادة السنوية'!$B$6:$Q$205,7,0))</f>
        <v/>
      </c>
      <c r="I174" s="33" t="str">
        <f>IF(B174="","",VLOOKUP(B174,'سجل حساب الزيادة السنوية'!$B$6:$Q$205,8,0))</f>
        <v/>
      </c>
      <c r="J174" s="61" t="str">
        <f>IF(B174="","",VLOOKUP(B174,'سجل حساب الزيادة السنوية'!$B$6:$Q$205,9,0))</f>
        <v/>
      </c>
      <c r="K174" s="59" t="str">
        <f>IF(B174="","",VLOOKUP(B174,'سجل حساب الزيادة السنوية'!$B$6:$Q$205,10,0))</f>
        <v/>
      </c>
      <c r="L174" s="37" t="str">
        <f>IF(B174="","",VLOOKUP(B174,'سجل حساب الزيادة السنوية'!$B$6:$Q$205,11,0))</f>
        <v/>
      </c>
      <c r="M174" s="37" t="str">
        <f>IF(B174="","",VLOOKUP(B174,'سجل حساب الزيادة السنوية'!$B$6:$Q$205,12,0))</f>
        <v/>
      </c>
      <c r="N174" s="37" t="str">
        <f>IF(B174="","",VLOOKUP(B174,'سجل حساب الزيادة السنوية'!$B$6:$Q$205,13,0))</f>
        <v/>
      </c>
      <c r="O174" s="37" t="str">
        <f>IF(B174="","",VLOOKUP(B174,'سجل حساب الزيادة السنوية'!$B$6:$Q$205,14,0))</f>
        <v/>
      </c>
      <c r="P174" s="37" t="str">
        <f>IF(B174="","",VLOOKUP(B174,'سجل حساب الزيادة السنوية'!$B$6:$Q$205,15,0))</f>
        <v/>
      </c>
      <c r="Q174" s="37" t="str">
        <f>IF(B174="","",VLOOKUP(B174,'سجل حساب الزيادة السنوية'!$B$6:$Q$205,16,0))</f>
        <v/>
      </c>
    </row>
    <row r="175" spans="1:17" ht="22.5" customHeight="1" x14ac:dyDescent="0.25">
      <c r="A175" s="32" t="str">
        <f>IF(B175="","",SUBTOTAL(3,B$7:B175))</f>
        <v/>
      </c>
      <c r="B175" s="32" t="str">
        <f>IF('سجل حساب الزيادة السنوية'!B174="","",'سجل حساب الزيادة السنوية'!B174)</f>
        <v/>
      </c>
      <c r="C175" s="32" t="str">
        <f>IF(B175="","",VLOOKUP(B175,'سجل حساب الزيادة السنوية'!$B$6:$Q$205,2,0))</f>
        <v/>
      </c>
      <c r="D175" s="32" t="str">
        <f>IF(B175="","",VLOOKUP(B175,'سجل حساب الزيادة السنوية'!$B$6:$Q$205,3,0))</f>
        <v/>
      </c>
      <c r="E175" s="32" t="str">
        <f>IF(B175="","",VLOOKUP(B175,'سجل حساب الزيادة السنوية'!$B$6:$Q$205,4,0))</f>
        <v/>
      </c>
      <c r="F175" s="36" t="str">
        <f>IF(B175="","",VLOOKUP(B175,'سجل حساب الزيادة السنوية'!$B$6:$Q$205,5,0))</f>
        <v/>
      </c>
      <c r="G175" s="32" t="str">
        <f>IF(B175="","",VLOOKUP(B175,'سجل حساب الزيادة السنوية'!$B$6:$Q$205,6,0))</f>
        <v/>
      </c>
      <c r="H175" s="32" t="str">
        <f>IF(B175="","",VLOOKUP(B175,'سجل حساب الزيادة السنوية'!$B$6:$Q$205,7,0))</f>
        <v/>
      </c>
      <c r="I175" s="33" t="str">
        <f>IF(B175="","",VLOOKUP(B175,'سجل حساب الزيادة السنوية'!$B$6:$Q$205,8,0))</f>
        <v/>
      </c>
      <c r="J175" s="61" t="str">
        <f>IF(B175="","",VLOOKUP(B175,'سجل حساب الزيادة السنوية'!$B$6:$Q$205,9,0))</f>
        <v/>
      </c>
      <c r="K175" s="59" t="str">
        <f>IF(B175="","",VLOOKUP(B175,'سجل حساب الزيادة السنوية'!$B$6:$Q$205,10,0))</f>
        <v/>
      </c>
      <c r="L175" s="37" t="str">
        <f>IF(B175="","",VLOOKUP(B175,'سجل حساب الزيادة السنوية'!$B$6:$Q$205,11,0))</f>
        <v/>
      </c>
      <c r="M175" s="37" t="str">
        <f>IF(B175="","",VLOOKUP(B175,'سجل حساب الزيادة السنوية'!$B$6:$Q$205,12,0))</f>
        <v/>
      </c>
      <c r="N175" s="37" t="str">
        <f>IF(B175="","",VLOOKUP(B175,'سجل حساب الزيادة السنوية'!$B$6:$Q$205,13,0))</f>
        <v/>
      </c>
      <c r="O175" s="37" t="str">
        <f>IF(B175="","",VLOOKUP(B175,'سجل حساب الزيادة السنوية'!$B$6:$Q$205,14,0))</f>
        <v/>
      </c>
      <c r="P175" s="37" t="str">
        <f>IF(B175="","",VLOOKUP(B175,'سجل حساب الزيادة السنوية'!$B$6:$Q$205,15,0))</f>
        <v/>
      </c>
      <c r="Q175" s="37" t="str">
        <f>IF(B175="","",VLOOKUP(B175,'سجل حساب الزيادة السنوية'!$B$6:$Q$205,16,0))</f>
        <v/>
      </c>
    </row>
    <row r="176" spans="1:17" ht="22.5" customHeight="1" x14ac:dyDescent="0.25">
      <c r="A176" s="32" t="str">
        <f>IF(B176="","",SUBTOTAL(3,B$7:B176))</f>
        <v/>
      </c>
      <c r="B176" s="32" t="str">
        <f>IF('سجل حساب الزيادة السنوية'!B175="","",'سجل حساب الزيادة السنوية'!B175)</f>
        <v/>
      </c>
      <c r="C176" s="32" t="str">
        <f>IF(B176="","",VLOOKUP(B176,'سجل حساب الزيادة السنوية'!$B$6:$Q$205,2,0))</f>
        <v/>
      </c>
      <c r="D176" s="32" t="str">
        <f>IF(B176="","",VLOOKUP(B176,'سجل حساب الزيادة السنوية'!$B$6:$Q$205,3,0))</f>
        <v/>
      </c>
      <c r="E176" s="32" t="str">
        <f>IF(B176="","",VLOOKUP(B176,'سجل حساب الزيادة السنوية'!$B$6:$Q$205,4,0))</f>
        <v/>
      </c>
      <c r="F176" s="36" t="str">
        <f>IF(B176="","",VLOOKUP(B176,'سجل حساب الزيادة السنوية'!$B$6:$Q$205,5,0))</f>
        <v/>
      </c>
      <c r="G176" s="32" t="str">
        <f>IF(B176="","",VLOOKUP(B176,'سجل حساب الزيادة السنوية'!$B$6:$Q$205,6,0))</f>
        <v/>
      </c>
      <c r="H176" s="32" t="str">
        <f>IF(B176="","",VLOOKUP(B176,'سجل حساب الزيادة السنوية'!$B$6:$Q$205,7,0))</f>
        <v/>
      </c>
      <c r="I176" s="33" t="str">
        <f>IF(B176="","",VLOOKUP(B176,'سجل حساب الزيادة السنوية'!$B$6:$Q$205,8,0))</f>
        <v/>
      </c>
      <c r="J176" s="61" t="str">
        <f>IF(B176="","",VLOOKUP(B176,'سجل حساب الزيادة السنوية'!$B$6:$Q$205,9,0))</f>
        <v/>
      </c>
      <c r="K176" s="59" t="str">
        <f>IF(B176="","",VLOOKUP(B176,'سجل حساب الزيادة السنوية'!$B$6:$Q$205,10,0))</f>
        <v/>
      </c>
      <c r="L176" s="37" t="str">
        <f>IF(B176="","",VLOOKUP(B176,'سجل حساب الزيادة السنوية'!$B$6:$Q$205,11,0))</f>
        <v/>
      </c>
      <c r="M176" s="37" t="str">
        <f>IF(B176="","",VLOOKUP(B176,'سجل حساب الزيادة السنوية'!$B$6:$Q$205,12,0))</f>
        <v/>
      </c>
      <c r="N176" s="37" t="str">
        <f>IF(B176="","",VLOOKUP(B176,'سجل حساب الزيادة السنوية'!$B$6:$Q$205,13,0))</f>
        <v/>
      </c>
      <c r="O176" s="37" t="str">
        <f>IF(B176="","",VLOOKUP(B176,'سجل حساب الزيادة السنوية'!$B$6:$Q$205,14,0))</f>
        <v/>
      </c>
      <c r="P176" s="37" t="str">
        <f>IF(B176="","",VLOOKUP(B176,'سجل حساب الزيادة السنوية'!$B$6:$Q$205,15,0))</f>
        <v/>
      </c>
      <c r="Q176" s="37" t="str">
        <f>IF(B176="","",VLOOKUP(B176,'سجل حساب الزيادة السنوية'!$B$6:$Q$205,16,0))</f>
        <v/>
      </c>
    </row>
    <row r="177" spans="1:17" ht="22.5" customHeight="1" x14ac:dyDescent="0.25">
      <c r="A177" s="32" t="str">
        <f>IF(B177="","",SUBTOTAL(3,B$7:B177))</f>
        <v/>
      </c>
      <c r="B177" s="32" t="str">
        <f>IF('سجل حساب الزيادة السنوية'!B176="","",'سجل حساب الزيادة السنوية'!B176)</f>
        <v/>
      </c>
      <c r="C177" s="32" t="str">
        <f>IF(B177="","",VLOOKUP(B177,'سجل حساب الزيادة السنوية'!$B$6:$Q$205,2,0))</f>
        <v/>
      </c>
      <c r="D177" s="32" t="str">
        <f>IF(B177="","",VLOOKUP(B177,'سجل حساب الزيادة السنوية'!$B$6:$Q$205,3,0))</f>
        <v/>
      </c>
      <c r="E177" s="32" t="str">
        <f>IF(B177="","",VLOOKUP(B177,'سجل حساب الزيادة السنوية'!$B$6:$Q$205,4,0))</f>
        <v/>
      </c>
      <c r="F177" s="36" t="str">
        <f>IF(B177="","",VLOOKUP(B177,'سجل حساب الزيادة السنوية'!$B$6:$Q$205,5,0))</f>
        <v/>
      </c>
      <c r="G177" s="32" t="str">
        <f>IF(B177="","",VLOOKUP(B177,'سجل حساب الزيادة السنوية'!$B$6:$Q$205,6,0))</f>
        <v/>
      </c>
      <c r="H177" s="32" t="str">
        <f>IF(B177="","",VLOOKUP(B177,'سجل حساب الزيادة السنوية'!$B$6:$Q$205,7,0))</f>
        <v/>
      </c>
      <c r="I177" s="33" t="str">
        <f>IF(B177="","",VLOOKUP(B177,'سجل حساب الزيادة السنوية'!$B$6:$Q$205,8,0))</f>
        <v/>
      </c>
      <c r="J177" s="61" t="str">
        <f>IF(B177="","",VLOOKUP(B177,'سجل حساب الزيادة السنوية'!$B$6:$Q$205,9,0))</f>
        <v/>
      </c>
      <c r="K177" s="59" t="str">
        <f>IF(B177="","",VLOOKUP(B177,'سجل حساب الزيادة السنوية'!$B$6:$Q$205,10,0))</f>
        <v/>
      </c>
      <c r="L177" s="37" t="str">
        <f>IF(B177="","",VLOOKUP(B177,'سجل حساب الزيادة السنوية'!$B$6:$Q$205,11,0))</f>
        <v/>
      </c>
      <c r="M177" s="37" t="str">
        <f>IF(B177="","",VLOOKUP(B177,'سجل حساب الزيادة السنوية'!$B$6:$Q$205,12,0))</f>
        <v/>
      </c>
      <c r="N177" s="37" t="str">
        <f>IF(B177="","",VLOOKUP(B177,'سجل حساب الزيادة السنوية'!$B$6:$Q$205,13,0))</f>
        <v/>
      </c>
      <c r="O177" s="37" t="str">
        <f>IF(B177="","",VLOOKUP(B177,'سجل حساب الزيادة السنوية'!$B$6:$Q$205,14,0))</f>
        <v/>
      </c>
      <c r="P177" s="37" t="str">
        <f>IF(B177="","",VLOOKUP(B177,'سجل حساب الزيادة السنوية'!$B$6:$Q$205,15,0))</f>
        <v/>
      </c>
      <c r="Q177" s="37" t="str">
        <f>IF(B177="","",VLOOKUP(B177,'سجل حساب الزيادة السنوية'!$B$6:$Q$205,16,0))</f>
        <v/>
      </c>
    </row>
    <row r="178" spans="1:17" ht="22.5" customHeight="1" x14ac:dyDescent="0.25">
      <c r="A178" s="32" t="str">
        <f>IF(B178="","",SUBTOTAL(3,B$7:B178))</f>
        <v/>
      </c>
      <c r="B178" s="32" t="str">
        <f>IF('سجل حساب الزيادة السنوية'!B177="","",'سجل حساب الزيادة السنوية'!B177)</f>
        <v/>
      </c>
      <c r="C178" s="32" t="str">
        <f>IF(B178="","",VLOOKUP(B178,'سجل حساب الزيادة السنوية'!$B$6:$Q$205,2,0))</f>
        <v/>
      </c>
      <c r="D178" s="32" t="str">
        <f>IF(B178="","",VLOOKUP(B178,'سجل حساب الزيادة السنوية'!$B$6:$Q$205,3,0))</f>
        <v/>
      </c>
      <c r="E178" s="32" t="str">
        <f>IF(B178="","",VLOOKUP(B178,'سجل حساب الزيادة السنوية'!$B$6:$Q$205,4,0))</f>
        <v/>
      </c>
      <c r="F178" s="36" t="str">
        <f>IF(B178="","",VLOOKUP(B178,'سجل حساب الزيادة السنوية'!$B$6:$Q$205,5,0))</f>
        <v/>
      </c>
      <c r="G178" s="32" t="str">
        <f>IF(B178="","",VLOOKUP(B178,'سجل حساب الزيادة السنوية'!$B$6:$Q$205,6,0))</f>
        <v/>
      </c>
      <c r="H178" s="32" t="str">
        <f>IF(B178="","",VLOOKUP(B178,'سجل حساب الزيادة السنوية'!$B$6:$Q$205,7,0))</f>
        <v/>
      </c>
      <c r="I178" s="33" t="str">
        <f>IF(B178="","",VLOOKUP(B178,'سجل حساب الزيادة السنوية'!$B$6:$Q$205,8,0))</f>
        <v/>
      </c>
      <c r="J178" s="61" t="str">
        <f>IF(B178="","",VLOOKUP(B178,'سجل حساب الزيادة السنوية'!$B$6:$Q$205,9,0))</f>
        <v/>
      </c>
      <c r="K178" s="59" t="str">
        <f>IF(B178="","",VLOOKUP(B178,'سجل حساب الزيادة السنوية'!$B$6:$Q$205,10,0))</f>
        <v/>
      </c>
      <c r="L178" s="37" t="str">
        <f>IF(B178="","",VLOOKUP(B178,'سجل حساب الزيادة السنوية'!$B$6:$Q$205,11,0))</f>
        <v/>
      </c>
      <c r="M178" s="37" t="str">
        <f>IF(B178="","",VLOOKUP(B178,'سجل حساب الزيادة السنوية'!$B$6:$Q$205,12,0))</f>
        <v/>
      </c>
      <c r="N178" s="37" t="str">
        <f>IF(B178="","",VLOOKUP(B178,'سجل حساب الزيادة السنوية'!$B$6:$Q$205,13,0))</f>
        <v/>
      </c>
      <c r="O178" s="37" t="str">
        <f>IF(B178="","",VLOOKUP(B178,'سجل حساب الزيادة السنوية'!$B$6:$Q$205,14,0))</f>
        <v/>
      </c>
      <c r="P178" s="37" t="str">
        <f>IF(B178="","",VLOOKUP(B178,'سجل حساب الزيادة السنوية'!$B$6:$Q$205,15,0))</f>
        <v/>
      </c>
      <c r="Q178" s="37" t="str">
        <f>IF(B178="","",VLOOKUP(B178,'سجل حساب الزيادة السنوية'!$B$6:$Q$205,16,0))</f>
        <v/>
      </c>
    </row>
    <row r="179" spans="1:17" ht="22.5" customHeight="1" x14ac:dyDescent="0.25">
      <c r="A179" s="32" t="str">
        <f>IF(B179="","",SUBTOTAL(3,B$7:B179))</f>
        <v/>
      </c>
      <c r="B179" s="32" t="str">
        <f>IF('سجل حساب الزيادة السنوية'!B178="","",'سجل حساب الزيادة السنوية'!B178)</f>
        <v/>
      </c>
      <c r="C179" s="32" t="str">
        <f>IF(B179="","",VLOOKUP(B179,'سجل حساب الزيادة السنوية'!$B$6:$Q$205,2,0))</f>
        <v/>
      </c>
      <c r="D179" s="32" t="str">
        <f>IF(B179="","",VLOOKUP(B179,'سجل حساب الزيادة السنوية'!$B$6:$Q$205,3,0))</f>
        <v/>
      </c>
      <c r="E179" s="32" t="str">
        <f>IF(B179="","",VLOOKUP(B179,'سجل حساب الزيادة السنوية'!$B$6:$Q$205,4,0))</f>
        <v/>
      </c>
      <c r="F179" s="36" t="str">
        <f>IF(B179="","",VLOOKUP(B179,'سجل حساب الزيادة السنوية'!$B$6:$Q$205,5,0))</f>
        <v/>
      </c>
      <c r="G179" s="32" t="str">
        <f>IF(B179="","",VLOOKUP(B179,'سجل حساب الزيادة السنوية'!$B$6:$Q$205,6,0))</f>
        <v/>
      </c>
      <c r="H179" s="32" t="str">
        <f>IF(B179="","",VLOOKUP(B179,'سجل حساب الزيادة السنوية'!$B$6:$Q$205,7,0))</f>
        <v/>
      </c>
      <c r="I179" s="33" t="str">
        <f>IF(B179="","",VLOOKUP(B179,'سجل حساب الزيادة السنوية'!$B$6:$Q$205,8,0))</f>
        <v/>
      </c>
      <c r="J179" s="61" t="str">
        <f>IF(B179="","",VLOOKUP(B179,'سجل حساب الزيادة السنوية'!$B$6:$Q$205,9,0))</f>
        <v/>
      </c>
      <c r="K179" s="59" t="str">
        <f>IF(B179="","",VLOOKUP(B179,'سجل حساب الزيادة السنوية'!$B$6:$Q$205,10,0))</f>
        <v/>
      </c>
      <c r="L179" s="37" t="str">
        <f>IF(B179="","",VLOOKUP(B179,'سجل حساب الزيادة السنوية'!$B$6:$Q$205,11,0))</f>
        <v/>
      </c>
      <c r="M179" s="37" t="str">
        <f>IF(B179="","",VLOOKUP(B179,'سجل حساب الزيادة السنوية'!$B$6:$Q$205,12,0))</f>
        <v/>
      </c>
      <c r="N179" s="37" t="str">
        <f>IF(B179="","",VLOOKUP(B179,'سجل حساب الزيادة السنوية'!$B$6:$Q$205,13,0))</f>
        <v/>
      </c>
      <c r="O179" s="37" t="str">
        <f>IF(B179="","",VLOOKUP(B179,'سجل حساب الزيادة السنوية'!$B$6:$Q$205,14,0))</f>
        <v/>
      </c>
      <c r="P179" s="37" t="str">
        <f>IF(B179="","",VLOOKUP(B179,'سجل حساب الزيادة السنوية'!$B$6:$Q$205,15,0))</f>
        <v/>
      </c>
      <c r="Q179" s="37" t="str">
        <f>IF(B179="","",VLOOKUP(B179,'سجل حساب الزيادة السنوية'!$B$6:$Q$205,16,0))</f>
        <v/>
      </c>
    </row>
    <row r="180" spans="1:17" ht="22.5" customHeight="1" x14ac:dyDescent="0.25">
      <c r="A180" s="32" t="str">
        <f>IF(B180="","",SUBTOTAL(3,B$7:B180))</f>
        <v/>
      </c>
      <c r="B180" s="32" t="str">
        <f>IF('سجل حساب الزيادة السنوية'!B179="","",'سجل حساب الزيادة السنوية'!B179)</f>
        <v/>
      </c>
      <c r="C180" s="32" t="str">
        <f>IF(B180="","",VLOOKUP(B180,'سجل حساب الزيادة السنوية'!$B$6:$Q$205,2,0))</f>
        <v/>
      </c>
      <c r="D180" s="32" t="str">
        <f>IF(B180="","",VLOOKUP(B180,'سجل حساب الزيادة السنوية'!$B$6:$Q$205,3,0))</f>
        <v/>
      </c>
      <c r="E180" s="32" t="str">
        <f>IF(B180="","",VLOOKUP(B180,'سجل حساب الزيادة السنوية'!$B$6:$Q$205,4,0))</f>
        <v/>
      </c>
      <c r="F180" s="36" t="str">
        <f>IF(B180="","",VLOOKUP(B180,'سجل حساب الزيادة السنوية'!$B$6:$Q$205,5,0))</f>
        <v/>
      </c>
      <c r="G180" s="32" t="str">
        <f>IF(B180="","",VLOOKUP(B180,'سجل حساب الزيادة السنوية'!$B$6:$Q$205,6,0))</f>
        <v/>
      </c>
      <c r="H180" s="32" t="str">
        <f>IF(B180="","",VLOOKUP(B180,'سجل حساب الزيادة السنوية'!$B$6:$Q$205,7,0))</f>
        <v/>
      </c>
      <c r="I180" s="33" t="str">
        <f>IF(B180="","",VLOOKUP(B180,'سجل حساب الزيادة السنوية'!$B$6:$Q$205,8,0))</f>
        <v/>
      </c>
      <c r="J180" s="61" t="str">
        <f>IF(B180="","",VLOOKUP(B180,'سجل حساب الزيادة السنوية'!$B$6:$Q$205,9,0))</f>
        <v/>
      </c>
      <c r="K180" s="59" t="str">
        <f>IF(B180="","",VLOOKUP(B180,'سجل حساب الزيادة السنوية'!$B$6:$Q$205,10,0))</f>
        <v/>
      </c>
      <c r="L180" s="37" t="str">
        <f>IF(B180="","",VLOOKUP(B180,'سجل حساب الزيادة السنوية'!$B$6:$Q$205,11,0))</f>
        <v/>
      </c>
      <c r="M180" s="37" t="str">
        <f>IF(B180="","",VLOOKUP(B180,'سجل حساب الزيادة السنوية'!$B$6:$Q$205,12,0))</f>
        <v/>
      </c>
      <c r="N180" s="37" t="str">
        <f>IF(B180="","",VLOOKUP(B180,'سجل حساب الزيادة السنوية'!$B$6:$Q$205,13,0))</f>
        <v/>
      </c>
      <c r="O180" s="37" t="str">
        <f>IF(B180="","",VLOOKUP(B180,'سجل حساب الزيادة السنوية'!$B$6:$Q$205,14,0))</f>
        <v/>
      </c>
      <c r="P180" s="37" t="str">
        <f>IF(B180="","",VLOOKUP(B180,'سجل حساب الزيادة السنوية'!$B$6:$Q$205,15,0))</f>
        <v/>
      </c>
      <c r="Q180" s="37" t="str">
        <f>IF(B180="","",VLOOKUP(B180,'سجل حساب الزيادة السنوية'!$B$6:$Q$205,16,0))</f>
        <v/>
      </c>
    </row>
    <row r="181" spans="1:17" ht="22.5" customHeight="1" x14ac:dyDescent="0.25">
      <c r="A181" s="32" t="str">
        <f>IF(B181="","",SUBTOTAL(3,B$7:B181))</f>
        <v/>
      </c>
      <c r="B181" s="32" t="str">
        <f>IF('سجل حساب الزيادة السنوية'!B180="","",'سجل حساب الزيادة السنوية'!B180)</f>
        <v/>
      </c>
      <c r="C181" s="32" t="str">
        <f>IF(B181="","",VLOOKUP(B181,'سجل حساب الزيادة السنوية'!$B$6:$Q$205,2,0))</f>
        <v/>
      </c>
      <c r="D181" s="32" t="str">
        <f>IF(B181="","",VLOOKUP(B181,'سجل حساب الزيادة السنوية'!$B$6:$Q$205,3,0))</f>
        <v/>
      </c>
      <c r="E181" s="32" t="str">
        <f>IF(B181="","",VLOOKUP(B181,'سجل حساب الزيادة السنوية'!$B$6:$Q$205,4,0))</f>
        <v/>
      </c>
      <c r="F181" s="36" t="str">
        <f>IF(B181="","",VLOOKUP(B181,'سجل حساب الزيادة السنوية'!$B$6:$Q$205,5,0))</f>
        <v/>
      </c>
      <c r="G181" s="32" t="str">
        <f>IF(B181="","",VLOOKUP(B181,'سجل حساب الزيادة السنوية'!$B$6:$Q$205,6,0))</f>
        <v/>
      </c>
      <c r="H181" s="32" t="str">
        <f>IF(B181="","",VLOOKUP(B181,'سجل حساب الزيادة السنوية'!$B$6:$Q$205,7,0))</f>
        <v/>
      </c>
      <c r="I181" s="33" t="str">
        <f>IF(B181="","",VLOOKUP(B181,'سجل حساب الزيادة السنوية'!$B$6:$Q$205,8,0))</f>
        <v/>
      </c>
      <c r="J181" s="61" t="str">
        <f>IF(B181="","",VLOOKUP(B181,'سجل حساب الزيادة السنوية'!$B$6:$Q$205,9,0))</f>
        <v/>
      </c>
      <c r="K181" s="59" t="str">
        <f>IF(B181="","",VLOOKUP(B181,'سجل حساب الزيادة السنوية'!$B$6:$Q$205,10,0))</f>
        <v/>
      </c>
      <c r="L181" s="37" t="str">
        <f>IF(B181="","",VLOOKUP(B181,'سجل حساب الزيادة السنوية'!$B$6:$Q$205,11,0))</f>
        <v/>
      </c>
      <c r="M181" s="37" t="str">
        <f>IF(B181="","",VLOOKUP(B181,'سجل حساب الزيادة السنوية'!$B$6:$Q$205,12,0))</f>
        <v/>
      </c>
      <c r="N181" s="37" t="str">
        <f>IF(B181="","",VLOOKUP(B181,'سجل حساب الزيادة السنوية'!$B$6:$Q$205,13,0))</f>
        <v/>
      </c>
      <c r="O181" s="37" t="str">
        <f>IF(B181="","",VLOOKUP(B181,'سجل حساب الزيادة السنوية'!$B$6:$Q$205,14,0))</f>
        <v/>
      </c>
      <c r="P181" s="37" t="str">
        <f>IF(B181="","",VLOOKUP(B181,'سجل حساب الزيادة السنوية'!$B$6:$Q$205,15,0))</f>
        <v/>
      </c>
      <c r="Q181" s="37" t="str">
        <f>IF(B181="","",VLOOKUP(B181,'سجل حساب الزيادة السنوية'!$B$6:$Q$205,16,0))</f>
        <v/>
      </c>
    </row>
    <row r="182" spans="1:17" ht="22.5" customHeight="1" x14ac:dyDescent="0.25">
      <c r="A182" s="32" t="str">
        <f>IF(B182="","",SUBTOTAL(3,B$7:B182))</f>
        <v/>
      </c>
      <c r="B182" s="32" t="str">
        <f>IF('سجل حساب الزيادة السنوية'!B181="","",'سجل حساب الزيادة السنوية'!B181)</f>
        <v/>
      </c>
      <c r="C182" s="32" t="str">
        <f>IF(B182="","",VLOOKUP(B182,'سجل حساب الزيادة السنوية'!$B$6:$Q$205,2,0))</f>
        <v/>
      </c>
      <c r="D182" s="32" t="str">
        <f>IF(B182="","",VLOOKUP(B182,'سجل حساب الزيادة السنوية'!$B$6:$Q$205,3,0))</f>
        <v/>
      </c>
      <c r="E182" s="32" t="str">
        <f>IF(B182="","",VLOOKUP(B182,'سجل حساب الزيادة السنوية'!$B$6:$Q$205,4,0))</f>
        <v/>
      </c>
      <c r="F182" s="36" t="str">
        <f>IF(B182="","",VLOOKUP(B182,'سجل حساب الزيادة السنوية'!$B$6:$Q$205,5,0))</f>
        <v/>
      </c>
      <c r="G182" s="32" t="str">
        <f>IF(B182="","",VLOOKUP(B182,'سجل حساب الزيادة السنوية'!$B$6:$Q$205,6,0))</f>
        <v/>
      </c>
      <c r="H182" s="32" t="str">
        <f>IF(B182="","",VLOOKUP(B182,'سجل حساب الزيادة السنوية'!$B$6:$Q$205,7,0))</f>
        <v/>
      </c>
      <c r="I182" s="33" t="str">
        <f>IF(B182="","",VLOOKUP(B182,'سجل حساب الزيادة السنوية'!$B$6:$Q$205,8,0))</f>
        <v/>
      </c>
      <c r="J182" s="61" t="str">
        <f>IF(B182="","",VLOOKUP(B182,'سجل حساب الزيادة السنوية'!$B$6:$Q$205,9,0))</f>
        <v/>
      </c>
      <c r="K182" s="59" t="str">
        <f>IF(B182="","",VLOOKUP(B182,'سجل حساب الزيادة السنوية'!$B$6:$Q$205,10,0))</f>
        <v/>
      </c>
      <c r="L182" s="37" t="str">
        <f>IF(B182="","",VLOOKUP(B182,'سجل حساب الزيادة السنوية'!$B$6:$Q$205,11,0))</f>
        <v/>
      </c>
      <c r="M182" s="37" t="str">
        <f>IF(B182="","",VLOOKUP(B182,'سجل حساب الزيادة السنوية'!$B$6:$Q$205,12,0))</f>
        <v/>
      </c>
      <c r="N182" s="37" t="str">
        <f>IF(B182="","",VLOOKUP(B182,'سجل حساب الزيادة السنوية'!$B$6:$Q$205,13,0))</f>
        <v/>
      </c>
      <c r="O182" s="37" t="str">
        <f>IF(B182="","",VLOOKUP(B182,'سجل حساب الزيادة السنوية'!$B$6:$Q$205,14,0))</f>
        <v/>
      </c>
      <c r="P182" s="37" t="str">
        <f>IF(B182="","",VLOOKUP(B182,'سجل حساب الزيادة السنوية'!$B$6:$Q$205,15,0))</f>
        <v/>
      </c>
      <c r="Q182" s="37" t="str">
        <f>IF(B182="","",VLOOKUP(B182,'سجل حساب الزيادة السنوية'!$B$6:$Q$205,16,0))</f>
        <v/>
      </c>
    </row>
    <row r="183" spans="1:17" ht="22.5" customHeight="1" x14ac:dyDescent="0.25">
      <c r="A183" s="32" t="str">
        <f>IF(B183="","",SUBTOTAL(3,B$7:B183))</f>
        <v/>
      </c>
      <c r="B183" s="32" t="str">
        <f>IF('سجل حساب الزيادة السنوية'!B182="","",'سجل حساب الزيادة السنوية'!B182)</f>
        <v/>
      </c>
      <c r="C183" s="32" t="str">
        <f>IF(B183="","",VLOOKUP(B183,'سجل حساب الزيادة السنوية'!$B$6:$Q$205,2,0))</f>
        <v/>
      </c>
      <c r="D183" s="32" t="str">
        <f>IF(B183="","",VLOOKUP(B183,'سجل حساب الزيادة السنوية'!$B$6:$Q$205,3,0))</f>
        <v/>
      </c>
      <c r="E183" s="32" t="str">
        <f>IF(B183="","",VLOOKUP(B183,'سجل حساب الزيادة السنوية'!$B$6:$Q$205,4,0))</f>
        <v/>
      </c>
      <c r="F183" s="36" t="str">
        <f>IF(B183="","",VLOOKUP(B183,'سجل حساب الزيادة السنوية'!$B$6:$Q$205,5,0))</f>
        <v/>
      </c>
      <c r="G183" s="32" t="str">
        <f>IF(B183="","",VLOOKUP(B183,'سجل حساب الزيادة السنوية'!$B$6:$Q$205,6,0))</f>
        <v/>
      </c>
      <c r="H183" s="32" t="str">
        <f>IF(B183="","",VLOOKUP(B183,'سجل حساب الزيادة السنوية'!$B$6:$Q$205,7,0))</f>
        <v/>
      </c>
      <c r="I183" s="33" t="str">
        <f>IF(B183="","",VLOOKUP(B183,'سجل حساب الزيادة السنوية'!$B$6:$Q$205,8,0))</f>
        <v/>
      </c>
      <c r="J183" s="61" t="str">
        <f>IF(B183="","",VLOOKUP(B183,'سجل حساب الزيادة السنوية'!$B$6:$Q$205,9,0))</f>
        <v/>
      </c>
      <c r="K183" s="59" t="str">
        <f>IF(B183="","",VLOOKUP(B183,'سجل حساب الزيادة السنوية'!$B$6:$Q$205,10,0))</f>
        <v/>
      </c>
      <c r="L183" s="37" t="str">
        <f>IF(B183="","",VLOOKUP(B183,'سجل حساب الزيادة السنوية'!$B$6:$Q$205,11,0))</f>
        <v/>
      </c>
      <c r="M183" s="37" t="str">
        <f>IF(B183="","",VLOOKUP(B183,'سجل حساب الزيادة السنوية'!$B$6:$Q$205,12,0))</f>
        <v/>
      </c>
      <c r="N183" s="37" t="str">
        <f>IF(B183="","",VLOOKUP(B183,'سجل حساب الزيادة السنوية'!$B$6:$Q$205,13,0))</f>
        <v/>
      </c>
      <c r="O183" s="37" t="str">
        <f>IF(B183="","",VLOOKUP(B183,'سجل حساب الزيادة السنوية'!$B$6:$Q$205,14,0))</f>
        <v/>
      </c>
      <c r="P183" s="37" t="str">
        <f>IF(B183="","",VLOOKUP(B183,'سجل حساب الزيادة السنوية'!$B$6:$Q$205,15,0))</f>
        <v/>
      </c>
      <c r="Q183" s="37" t="str">
        <f>IF(B183="","",VLOOKUP(B183,'سجل حساب الزيادة السنوية'!$B$6:$Q$205,16,0))</f>
        <v/>
      </c>
    </row>
    <row r="184" spans="1:17" ht="22.5" customHeight="1" x14ac:dyDescent="0.25">
      <c r="A184" s="32" t="str">
        <f>IF(B184="","",SUBTOTAL(3,B$7:B184))</f>
        <v/>
      </c>
      <c r="B184" s="32" t="str">
        <f>IF('سجل حساب الزيادة السنوية'!B183="","",'سجل حساب الزيادة السنوية'!B183)</f>
        <v/>
      </c>
      <c r="C184" s="32" t="str">
        <f>IF(B184="","",VLOOKUP(B184,'سجل حساب الزيادة السنوية'!$B$6:$Q$205,2,0))</f>
        <v/>
      </c>
      <c r="D184" s="32" t="str">
        <f>IF(B184="","",VLOOKUP(B184,'سجل حساب الزيادة السنوية'!$B$6:$Q$205,3,0))</f>
        <v/>
      </c>
      <c r="E184" s="32" t="str">
        <f>IF(B184="","",VLOOKUP(B184,'سجل حساب الزيادة السنوية'!$B$6:$Q$205,4,0))</f>
        <v/>
      </c>
      <c r="F184" s="36" t="str">
        <f>IF(B184="","",VLOOKUP(B184,'سجل حساب الزيادة السنوية'!$B$6:$Q$205,5,0))</f>
        <v/>
      </c>
      <c r="G184" s="32" t="str">
        <f>IF(B184="","",VLOOKUP(B184,'سجل حساب الزيادة السنوية'!$B$6:$Q$205,6,0))</f>
        <v/>
      </c>
      <c r="H184" s="32" t="str">
        <f>IF(B184="","",VLOOKUP(B184,'سجل حساب الزيادة السنوية'!$B$6:$Q$205,7,0))</f>
        <v/>
      </c>
      <c r="I184" s="33" t="str">
        <f>IF(B184="","",VLOOKUP(B184,'سجل حساب الزيادة السنوية'!$B$6:$Q$205,8,0))</f>
        <v/>
      </c>
      <c r="J184" s="61" t="str">
        <f>IF(B184="","",VLOOKUP(B184,'سجل حساب الزيادة السنوية'!$B$6:$Q$205,9,0))</f>
        <v/>
      </c>
      <c r="K184" s="59" t="str">
        <f>IF(B184="","",VLOOKUP(B184,'سجل حساب الزيادة السنوية'!$B$6:$Q$205,10,0))</f>
        <v/>
      </c>
      <c r="L184" s="37" t="str">
        <f>IF(B184="","",VLOOKUP(B184,'سجل حساب الزيادة السنوية'!$B$6:$Q$205,11,0))</f>
        <v/>
      </c>
      <c r="M184" s="37" t="str">
        <f>IF(B184="","",VLOOKUP(B184,'سجل حساب الزيادة السنوية'!$B$6:$Q$205,12,0))</f>
        <v/>
      </c>
      <c r="N184" s="37" t="str">
        <f>IF(B184="","",VLOOKUP(B184,'سجل حساب الزيادة السنوية'!$B$6:$Q$205,13,0))</f>
        <v/>
      </c>
      <c r="O184" s="37" t="str">
        <f>IF(B184="","",VLOOKUP(B184,'سجل حساب الزيادة السنوية'!$B$6:$Q$205,14,0))</f>
        <v/>
      </c>
      <c r="P184" s="37" t="str">
        <f>IF(B184="","",VLOOKUP(B184,'سجل حساب الزيادة السنوية'!$B$6:$Q$205,15,0))</f>
        <v/>
      </c>
      <c r="Q184" s="37" t="str">
        <f>IF(B184="","",VLOOKUP(B184,'سجل حساب الزيادة السنوية'!$B$6:$Q$205,16,0))</f>
        <v/>
      </c>
    </row>
    <row r="185" spans="1:17" ht="22.5" customHeight="1" x14ac:dyDescent="0.25">
      <c r="A185" s="32" t="str">
        <f>IF(B185="","",SUBTOTAL(3,B$7:B185))</f>
        <v/>
      </c>
      <c r="B185" s="32" t="str">
        <f>IF('سجل حساب الزيادة السنوية'!B184="","",'سجل حساب الزيادة السنوية'!B184)</f>
        <v/>
      </c>
      <c r="C185" s="32" t="str">
        <f>IF(B185="","",VLOOKUP(B185,'سجل حساب الزيادة السنوية'!$B$6:$Q$205,2,0))</f>
        <v/>
      </c>
      <c r="D185" s="32" t="str">
        <f>IF(B185="","",VLOOKUP(B185,'سجل حساب الزيادة السنوية'!$B$6:$Q$205,3,0))</f>
        <v/>
      </c>
      <c r="E185" s="32" t="str">
        <f>IF(B185="","",VLOOKUP(B185,'سجل حساب الزيادة السنوية'!$B$6:$Q$205,4,0))</f>
        <v/>
      </c>
      <c r="F185" s="36" t="str">
        <f>IF(B185="","",VLOOKUP(B185,'سجل حساب الزيادة السنوية'!$B$6:$Q$205,5,0))</f>
        <v/>
      </c>
      <c r="G185" s="32" t="str">
        <f>IF(B185="","",VLOOKUP(B185,'سجل حساب الزيادة السنوية'!$B$6:$Q$205,6,0))</f>
        <v/>
      </c>
      <c r="H185" s="32" t="str">
        <f>IF(B185="","",VLOOKUP(B185,'سجل حساب الزيادة السنوية'!$B$6:$Q$205,7,0))</f>
        <v/>
      </c>
      <c r="I185" s="33" t="str">
        <f>IF(B185="","",VLOOKUP(B185,'سجل حساب الزيادة السنوية'!$B$6:$Q$205,8,0))</f>
        <v/>
      </c>
      <c r="J185" s="61" t="str">
        <f>IF(B185="","",VLOOKUP(B185,'سجل حساب الزيادة السنوية'!$B$6:$Q$205,9,0))</f>
        <v/>
      </c>
      <c r="K185" s="59" t="str">
        <f>IF(B185="","",VLOOKUP(B185,'سجل حساب الزيادة السنوية'!$B$6:$Q$205,10,0))</f>
        <v/>
      </c>
      <c r="L185" s="37" t="str">
        <f>IF(B185="","",VLOOKUP(B185,'سجل حساب الزيادة السنوية'!$B$6:$Q$205,11,0))</f>
        <v/>
      </c>
      <c r="M185" s="37" t="str">
        <f>IF(B185="","",VLOOKUP(B185,'سجل حساب الزيادة السنوية'!$B$6:$Q$205,12,0))</f>
        <v/>
      </c>
      <c r="N185" s="37" t="str">
        <f>IF(B185="","",VLOOKUP(B185,'سجل حساب الزيادة السنوية'!$B$6:$Q$205,13,0))</f>
        <v/>
      </c>
      <c r="O185" s="37" t="str">
        <f>IF(B185="","",VLOOKUP(B185,'سجل حساب الزيادة السنوية'!$B$6:$Q$205,14,0))</f>
        <v/>
      </c>
      <c r="P185" s="37" t="str">
        <f>IF(B185="","",VLOOKUP(B185,'سجل حساب الزيادة السنوية'!$B$6:$Q$205,15,0))</f>
        <v/>
      </c>
      <c r="Q185" s="37" t="str">
        <f>IF(B185="","",VLOOKUP(B185,'سجل حساب الزيادة السنوية'!$B$6:$Q$205,16,0))</f>
        <v/>
      </c>
    </row>
    <row r="186" spans="1:17" ht="22.5" customHeight="1" x14ac:dyDescent="0.25">
      <c r="A186" s="32" t="str">
        <f>IF(B186="","",SUBTOTAL(3,B$7:B186))</f>
        <v/>
      </c>
      <c r="B186" s="32" t="str">
        <f>IF('سجل حساب الزيادة السنوية'!B185="","",'سجل حساب الزيادة السنوية'!B185)</f>
        <v/>
      </c>
      <c r="C186" s="32" t="str">
        <f>IF(B186="","",VLOOKUP(B186,'سجل حساب الزيادة السنوية'!$B$6:$Q$205,2,0))</f>
        <v/>
      </c>
      <c r="D186" s="32" t="str">
        <f>IF(B186="","",VLOOKUP(B186,'سجل حساب الزيادة السنوية'!$B$6:$Q$205,3,0))</f>
        <v/>
      </c>
      <c r="E186" s="32" t="str">
        <f>IF(B186="","",VLOOKUP(B186,'سجل حساب الزيادة السنوية'!$B$6:$Q$205,4,0))</f>
        <v/>
      </c>
      <c r="F186" s="36" t="str">
        <f>IF(B186="","",VLOOKUP(B186,'سجل حساب الزيادة السنوية'!$B$6:$Q$205,5,0))</f>
        <v/>
      </c>
      <c r="G186" s="32" t="str">
        <f>IF(B186="","",VLOOKUP(B186,'سجل حساب الزيادة السنوية'!$B$6:$Q$205,6,0))</f>
        <v/>
      </c>
      <c r="H186" s="32" t="str">
        <f>IF(B186="","",VLOOKUP(B186,'سجل حساب الزيادة السنوية'!$B$6:$Q$205,7,0))</f>
        <v/>
      </c>
      <c r="I186" s="33" t="str">
        <f>IF(B186="","",VLOOKUP(B186,'سجل حساب الزيادة السنوية'!$B$6:$Q$205,8,0))</f>
        <v/>
      </c>
      <c r="J186" s="61" t="str">
        <f>IF(B186="","",VLOOKUP(B186,'سجل حساب الزيادة السنوية'!$B$6:$Q$205,9,0))</f>
        <v/>
      </c>
      <c r="K186" s="59" t="str">
        <f>IF(B186="","",VLOOKUP(B186,'سجل حساب الزيادة السنوية'!$B$6:$Q$205,10,0))</f>
        <v/>
      </c>
      <c r="L186" s="37" t="str">
        <f>IF(B186="","",VLOOKUP(B186,'سجل حساب الزيادة السنوية'!$B$6:$Q$205,11,0))</f>
        <v/>
      </c>
      <c r="M186" s="37" t="str">
        <f>IF(B186="","",VLOOKUP(B186,'سجل حساب الزيادة السنوية'!$B$6:$Q$205,12,0))</f>
        <v/>
      </c>
      <c r="N186" s="37" t="str">
        <f>IF(B186="","",VLOOKUP(B186,'سجل حساب الزيادة السنوية'!$B$6:$Q$205,13,0))</f>
        <v/>
      </c>
      <c r="O186" s="37" t="str">
        <f>IF(B186="","",VLOOKUP(B186,'سجل حساب الزيادة السنوية'!$B$6:$Q$205,14,0))</f>
        <v/>
      </c>
      <c r="P186" s="37" t="str">
        <f>IF(B186="","",VLOOKUP(B186,'سجل حساب الزيادة السنوية'!$B$6:$Q$205,15,0))</f>
        <v/>
      </c>
      <c r="Q186" s="37" t="str">
        <f>IF(B186="","",VLOOKUP(B186,'سجل حساب الزيادة السنوية'!$B$6:$Q$205,16,0))</f>
        <v/>
      </c>
    </row>
    <row r="187" spans="1:17" ht="22.5" customHeight="1" x14ac:dyDescent="0.25">
      <c r="A187" s="32" t="str">
        <f>IF(B187="","",SUBTOTAL(3,B$7:B187))</f>
        <v/>
      </c>
      <c r="B187" s="32" t="str">
        <f>IF('سجل حساب الزيادة السنوية'!B186="","",'سجل حساب الزيادة السنوية'!B186)</f>
        <v/>
      </c>
      <c r="C187" s="32" t="str">
        <f>IF(B187="","",VLOOKUP(B187,'سجل حساب الزيادة السنوية'!$B$6:$Q$205,2,0))</f>
        <v/>
      </c>
      <c r="D187" s="32" t="str">
        <f>IF(B187="","",VLOOKUP(B187,'سجل حساب الزيادة السنوية'!$B$6:$Q$205,3,0))</f>
        <v/>
      </c>
      <c r="E187" s="32" t="str">
        <f>IF(B187="","",VLOOKUP(B187,'سجل حساب الزيادة السنوية'!$B$6:$Q$205,4,0))</f>
        <v/>
      </c>
      <c r="F187" s="36" t="str">
        <f>IF(B187="","",VLOOKUP(B187,'سجل حساب الزيادة السنوية'!$B$6:$Q$205,5,0))</f>
        <v/>
      </c>
      <c r="G187" s="32" t="str">
        <f>IF(B187="","",VLOOKUP(B187,'سجل حساب الزيادة السنوية'!$B$6:$Q$205,6,0))</f>
        <v/>
      </c>
      <c r="H187" s="32" t="str">
        <f>IF(B187="","",VLOOKUP(B187,'سجل حساب الزيادة السنوية'!$B$6:$Q$205,7,0))</f>
        <v/>
      </c>
      <c r="I187" s="33" t="str">
        <f>IF(B187="","",VLOOKUP(B187,'سجل حساب الزيادة السنوية'!$B$6:$Q$205,8,0))</f>
        <v/>
      </c>
      <c r="J187" s="61" t="str">
        <f>IF(B187="","",VLOOKUP(B187,'سجل حساب الزيادة السنوية'!$B$6:$Q$205,9,0))</f>
        <v/>
      </c>
      <c r="K187" s="59" t="str">
        <f>IF(B187="","",VLOOKUP(B187,'سجل حساب الزيادة السنوية'!$B$6:$Q$205,10,0))</f>
        <v/>
      </c>
      <c r="L187" s="37" t="str">
        <f>IF(B187="","",VLOOKUP(B187,'سجل حساب الزيادة السنوية'!$B$6:$Q$205,11,0))</f>
        <v/>
      </c>
      <c r="M187" s="37" t="str">
        <f>IF(B187="","",VLOOKUP(B187,'سجل حساب الزيادة السنوية'!$B$6:$Q$205,12,0))</f>
        <v/>
      </c>
      <c r="N187" s="37" t="str">
        <f>IF(B187="","",VLOOKUP(B187,'سجل حساب الزيادة السنوية'!$B$6:$Q$205,13,0))</f>
        <v/>
      </c>
      <c r="O187" s="37" t="str">
        <f>IF(B187="","",VLOOKUP(B187,'سجل حساب الزيادة السنوية'!$B$6:$Q$205,14,0))</f>
        <v/>
      </c>
      <c r="P187" s="37" t="str">
        <f>IF(B187="","",VLOOKUP(B187,'سجل حساب الزيادة السنوية'!$B$6:$Q$205,15,0))</f>
        <v/>
      </c>
      <c r="Q187" s="37" t="str">
        <f>IF(B187="","",VLOOKUP(B187,'سجل حساب الزيادة السنوية'!$B$6:$Q$205,16,0))</f>
        <v/>
      </c>
    </row>
    <row r="188" spans="1:17" ht="22.5" customHeight="1" x14ac:dyDescent="0.25">
      <c r="A188" s="32" t="str">
        <f>IF(B188="","",SUBTOTAL(3,B$7:B188))</f>
        <v/>
      </c>
      <c r="B188" s="32" t="str">
        <f>IF('سجل حساب الزيادة السنوية'!B187="","",'سجل حساب الزيادة السنوية'!B187)</f>
        <v/>
      </c>
      <c r="C188" s="32" t="str">
        <f>IF(B188="","",VLOOKUP(B188,'سجل حساب الزيادة السنوية'!$B$6:$Q$205,2,0))</f>
        <v/>
      </c>
      <c r="D188" s="32" t="str">
        <f>IF(B188="","",VLOOKUP(B188,'سجل حساب الزيادة السنوية'!$B$6:$Q$205,3,0))</f>
        <v/>
      </c>
      <c r="E188" s="32" t="str">
        <f>IF(B188="","",VLOOKUP(B188,'سجل حساب الزيادة السنوية'!$B$6:$Q$205,4,0))</f>
        <v/>
      </c>
      <c r="F188" s="36" t="str">
        <f>IF(B188="","",VLOOKUP(B188,'سجل حساب الزيادة السنوية'!$B$6:$Q$205,5,0))</f>
        <v/>
      </c>
      <c r="G188" s="32" t="str">
        <f>IF(B188="","",VLOOKUP(B188,'سجل حساب الزيادة السنوية'!$B$6:$Q$205,6,0))</f>
        <v/>
      </c>
      <c r="H188" s="32" t="str">
        <f>IF(B188="","",VLOOKUP(B188,'سجل حساب الزيادة السنوية'!$B$6:$Q$205,7,0))</f>
        <v/>
      </c>
      <c r="I188" s="33" t="str">
        <f>IF(B188="","",VLOOKUP(B188,'سجل حساب الزيادة السنوية'!$B$6:$Q$205,8,0))</f>
        <v/>
      </c>
      <c r="J188" s="61" t="str">
        <f>IF(B188="","",VLOOKUP(B188,'سجل حساب الزيادة السنوية'!$B$6:$Q$205,9,0))</f>
        <v/>
      </c>
      <c r="K188" s="59" t="str">
        <f>IF(B188="","",VLOOKUP(B188,'سجل حساب الزيادة السنوية'!$B$6:$Q$205,10,0))</f>
        <v/>
      </c>
      <c r="L188" s="37" t="str">
        <f>IF(B188="","",VLOOKUP(B188,'سجل حساب الزيادة السنوية'!$B$6:$Q$205,11,0))</f>
        <v/>
      </c>
      <c r="M188" s="37" t="str">
        <f>IF(B188="","",VLOOKUP(B188,'سجل حساب الزيادة السنوية'!$B$6:$Q$205,12,0))</f>
        <v/>
      </c>
      <c r="N188" s="37" t="str">
        <f>IF(B188="","",VLOOKUP(B188,'سجل حساب الزيادة السنوية'!$B$6:$Q$205,13,0))</f>
        <v/>
      </c>
      <c r="O188" s="37" t="str">
        <f>IF(B188="","",VLOOKUP(B188,'سجل حساب الزيادة السنوية'!$B$6:$Q$205,14,0))</f>
        <v/>
      </c>
      <c r="P188" s="37" t="str">
        <f>IF(B188="","",VLOOKUP(B188,'سجل حساب الزيادة السنوية'!$B$6:$Q$205,15,0))</f>
        <v/>
      </c>
      <c r="Q188" s="37" t="str">
        <f>IF(B188="","",VLOOKUP(B188,'سجل حساب الزيادة السنوية'!$B$6:$Q$205,16,0))</f>
        <v/>
      </c>
    </row>
    <row r="189" spans="1:17" ht="22.5" customHeight="1" x14ac:dyDescent="0.25">
      <c r="A189" s="32" t="str">
        <f>IF(B189="","",SUBTOTAL(3,B$7:B189))</f>
        <v/>
      </c>
      <c r="B189" s="32" t="str">
        <f>IF('سجل حساب الزيادة السنوية'!B188="","",'سجل حساب الزيادة السنوية'!B188)</f>
        <v/>
      </c>
      <c r="C189" s="32" t="str">
        <f>IF(B189="","",VLOOKUP(B189,'سجل حساب الزيادة السنوية'!$B$6:$Q$205,2,0))</f>
        <v/>
      </c>
      <c r="D189" s="32" t="str">
        <f>IF(B189="","",VLOOKUP(B189,'سجل حساب الزيادة السنوية'!$B$6:$Q$205,3,0))</f>
        <v/>
      </c>
      <c r="E189" s="32" t="str">
        <f>IF(B189="","",VLOOKUP(B189,'سجل حساب الزيادة السنوية'!$B$6:$Q$205,4,0))</f>
        <v/>
      </c>
      <c r="F189" s="36" t="str">
        <f>IF(B189="","",VLOOKUP(B189,'سجل حساب الزيادة السنوية'!$B$6:$Q$205,5,0))</f>
        <v/>
      </c>
      <c r="G189" s="32" t="str">
        <f>IF(B189="","",VLOOKUP(B189,'سجل حساب الزيادة السنوية'!$B$6:$Q$205,6,0))</f>
        <v/>
      </c>
      <c r="H189" s="32" t="str">
        <f>IF(B189="","",VLOOKUP(B189,'سجل حساب الزيادة السنوية'!$B$6:$Q$205,7,0))</f>
        <v/>
      </c>
      <c r="I189" s="33" t="str">
        <f>IF(B189="","",VLOOKUP(B189,'سجل حساب الزيادة السنوية'!$B$6:$Q$205,8,0))</f>
        <v/>
      </c>
      <c r="J189" s="61" t="str">
        <f>IF(B189="","",VLOOKUP(B189,'سجل حساب الزيادة السنوية'!$B$6:$Q$205,9,0))</f>
        <v/>
      </c>
      <c r="K189" s="59" t="str">
        <f>IF(B189="","",VLOOKUP(B189,'سجل حساب الزيادة السنوية'!$B$6:$Q$205,10,0))</f>
        <v/>
      </c>
      <c r="L189" s="37" t="str">
        <f>IF(B189="","",VLOOKUP(B189,'سجل حساب الزيادة السنوية'!$B$6:$Q$205,11,0))</f>
        <v/>
      </c>
      <c r="M189" s="37" t="str">
        <f>IF(B189="","",VLOOKUP(B189,'سجل حساب الزيادة السنوية'!$B$6:$Q$205,12,0))</f>
        <v/>
      </c>
      <c r="N189" s="37" t="str">
        <f>IF(B189="","",VLOOKUP(B189,'سجل حساب الزيادة السنوية'!$B$6:$Q$205,13,0))</f>
        <v/>
      </c>
      <c r="O189" s="37" t="str">
        <f>IF(B189="","",VLOOKUP(B189,'سجل حساب الزيادة السنوية'!$B$6:$Q$205,14,0))</f>
        <v/>
      </c>
      <c r="P189" s="37" t="str">
        <f>IF(B189="","",VLOOKUP(B189,'سجل حساب الزيادة السنوية'!$B$6:$Q$205,15,0))</f>
        <v/>
      </c>
      <c r="Q189" s="37" t="str">
        <f>IF(B189="","",VLOOKUP(B189,'سجل حساب الزيادة السنوية'!$B$6:$Q$205,16,0))</f>
        <v/>
      </c>
    </row>
    <row r="190" spans="1:17" ht="22.5" customHeight="1" x14ac:dyDescent="0.25">
      <c r="A190" s="32" t="str">
        <f>IF(B190="","",SUBTOTAL(3,B$7:B190))</f>
        <v/>
      </c>
      <c r="B190" s="32" t="str">
        <f>IF('سجل حساب الزيادة السنوية'!B189="","",'سجل حساب الزيادة السنوية'!B189)</f>
        <v/>
      </c>
      <c r="C190" s="32" t="str">
        <f>IF(B190="","",VLOOKUP(B190,'سجل حساب الزيادة السنوية'!$B$6:$Q$205,2,0))</f>
        <v/>
      </c>
      <c r="D190" s="32" t="str">
        <f>IF(B190="","",VLOOKUP(B190,'سجل حساب الزيادة السنوية'!$B$6:$Q$205,3,0))</f>
        <v/>
      </c>
      <c r="E190" s="32" t="str">
        <f>IF(B190="","",VLOOKUP(B190,'سجل حساب الزيادة السنوية'!$B$6:$Q$205,4,0))</f>
        <v/>
      </c>
      <c r="F190" s="36" t="str">
        <f>IF(B190="","",VLOOKUP(B190,'سجل حساب الزيادة السنوية'!$B$6:$Q$205,5,0))</f>
        <v/>
      </c>
      <c r="G190" s="32" t="str">
        <f>IF(B190="","",VLOOKUP(B190,'سجل حساب الزيادة السنوية'!$B$6:$Q$205,6,0))</f>
        <v/>
      </c>
      <c r="H190" s="32" t="str">
        <f>IF(B190="","",VLOOKUP(B190,'سجل حساب الزيادة السنوية'!$B$6:$Q$205,7,0))</f>
        <v/>
      </c>
      <c r="I190" s="33" t="str">
        <f>IF(B190="","",VLOOKUP(B190,'سجل حساب الزيادة السنوية'!$B$6:$Q$205,8,0))</f>
        <v/>
      </c>
      <c r="J190" s="61" t="str">
        <f>IF(B190="","",VLOOKUP(B190,'سجل حساب الزيادة السنوية'!$B$6:$Q$205,9,0))</f>
        <v/>
      </c>
      <c r="K190" s="59" t="str">
        <f>IF(B190="","",VLOOKUP(B190,'سجل حساب الزيادة السنوية'!$B$6:$Q$205,10,0))</f>
        <v/>
      </c>
      <c r="L190" s="37" t="str">
        <f>IF(B190="","",VLOOKUP(B190,'سجل حساب الزيادة السنوية'!$B$6:$Q$205,11,0))</f>
        <v/>
      </c>
      <c r="M190" s="37" t="str">
        <f>IF(B190="","",VLOOKUP(B190,'سجل حساب الزيادة السنوية'!$B$6:$Q$205,12,0))</f>
        <v/>
      </c>
      <c r="N190" s="37" t="str">
        <f>IF(B190="","",VLOOKUP(B190,'سجل حساب الزيادة السنوية'!$B$6:$Q$205,13,0))</f>
        <v/>
      </c>
      <c r="O190" s="37" t="str">
        <f>IF(B190="","",VLOOKUP(B190,'سجل حساب الزيادة السنوية'!$B$6:$Q$205,14,0))</f>
        <v/>
      </c>
      <c r="P190" s="37" t="str">
        <f>IF(B190="","",VLOOKUP(B190,'سجل حساب الزيادة السنوية'!$B$6:$Q$205,15,0))</f>
        <v/>
      </c>
      <c r="Q190" s="37" t="str">
        <f>IF(B190="","",VLOOKUP(B190,'سجل حساب الزيادة السنوية'!$B$6:$Q$205,16,0))</f>
        <v/>
      </c>
    </row>
    <row r="191" spans="1:17" ht="22.5" customHeight="1" x14ac:dyDescent="0.25">
      <c r="A191" s="32" t="str">
        <f>IF(B191="","",SUBTOTAL(3,B$7:B191))</f>
        <v/>
      </c>
      <c r="B191" s="32" t="str">
        <f>IF('سجل حساب الزيادة السنوية'!B190="","",'سجل حساب الزيادة السنوية'!B190)</f>
        <v/>
      </c>
      <c r="C191" s="32" t="str">
        <f>IF(B191="","",VLOOKUP(B191,'سجل حساب الزيادة السنوية'!$B$6:$Q$205,2,0))</f>
        <v/>
      </c>
      <c r="D191" s="32" t="str">
        <f>IF(B191="","",VLOOKUP(B191,'سجل حساب الزيادة السنوية'!$B$6:$Q$205,3,0))</f>
        <v/>
      </c>
      <c r="E191" s="32" t="str">
        <f>IF(B191="","",VLOOKUP(B191,'سجل حساب الزيادة السنوية'!$B$6:$Q$205,4,0))</f>
        <v/>
      </c>
      <c r="F191" s="36" t="str">
        <f>IF(B191="","",VLOOKUP(B191,'سجل حساب الزيادة السنوية'!$B$6:$Q$205,5,0))</f>
        <v/>
      </c>
      <c r="G191" s="32" t="str">
        <f>IF(B191="","",VLOOKUP(B191,'سجل حساب الزيادة السنوية'!$B$6:$Q$205,6,0))</f>
        <v/>
      </c>
      <c r="H191" s="32" t="str">
        <f>IF(B191="","",VLOOKUP(B191,'سجل حساب الزيادة السنوية'!$B$6:$Q$205,7,0))</f>
        <v/>
      </c>
      <c r="I191" s="33" t="str">
        <f>IF(B191="","",VLOOKUP(B191,'سجل حساب الزيادة السنوية'!$B$6:$Q$205,8,0))</f>
        <v/>
      </c>
      <c r="J191" s="61" t="str">
        <f>IF(B191="","",VLOOKUP(B191,'سجل حساب الزيادة السنوية'!$B$6:$Q$205,9,0))</f>
        <v/>
      </c>
      <c r="K191" s="59" t="str">
        <f>IF(B191="","",VLOOKUP(B191,'سجل حساب الزيادة السنوية'!$B$6:$Q$205,10,0))</f>
        <v/>
      </c>
      <c r="L191" s="37" t="str">
        <f>IF(B191="","",VLOOKUP(B191,'سجل حساب الزيادة السنوية'!$B$6:$Q$205,11,0))</f>
        <v/>
      </c>
      <c r="M191" s="37" t="str">
        <f>IF(B191="","",VLOOKUP(B191,'سجل حساب الزيادة السنوية'!$B$6:$Q$205,12,0))</f>
        <v/>
      </c>
      <c r="N191" s="37" t="str">
        <f>IF(B191="","",VLOOKUP(B191,'سجل حساب الزيادة السنوية'!$B$6:$Q$205,13,0))</f>
        <v/>
      </c>
      <c r="O191" s="37" t="str">
        <f>IF(B191="","",VLOOKUP(B191,'سجل حساب الزيادة السنوية'!$B$6:$Q$205,14,0))</f>
        <v/>
      </c>
      <c r="P191" s="37" t="str">
        <f>IF(B191="","",VLOOKUP(B191,'سجل حساب الزيادة السنوية'!$B$6:$Q$205,15,0))</f>
        <v/>
      </c>
      <c r="Q191" s="37" t="str">
        <f>IF(B191="","",VLOOKUP(B191,'سجل حساب الزيادة السنوية'!$B$6:$Q$205,16,0))</f>
        <v/>
      </c>
    </row>
    <row r="192" spans="1:17" ht="22.5" customHeight="1" x14ac:dyDescent="0.25">
      <c r="A192" s="32" t="str">
        <f>IF(B192="","",SUBTOTAL(3,B$7:B192))</f>
        <v/>
      </c>
      <c r="B192" s="32" t="str">
        <f>IF('سجل حساب الزيادة السنوية'!B191="","",'سجل حساب الزيادة السنوية'!B191)</f>
        <v/>
      </c>
      <c r="C192" s="32" t="str">
        <f>IF(B192="","",VLOOKUP(B192,'سجل حساب الزيادة السنوية'!$B$6:$Q$205,2,0))</f>
        <v/>
      </c>
      <c r="D192" s="32" t="str">
        <f>IF(B192="","",VLOOKUP(B192,'سجل حساب الزيادة السنوية'!$B$6:$Q$205,3,0))</f>
        <v/>
      </c>
      <c r="E192" s="32" t="str">
        <f>IF(B192="","",VLOOKUP(B192,'سجل حساب الزيادة السنوية'!$B$6:$Q$205,4,0))</f>
        <v/>
      </c>
      <c r="F192" s="36" t="str">
        <f>IF(B192="","",VLOOKUP(B192,'سجل حساب الزيادة السنوية'!$B$6:$Q$205,5,0))</f>
        <v/>
      </c>
      <c r="G192" s="32" t="str">
        <f>IF(B192="","",VLOOKUP(B192,'سجل حساب الزيادة السنوية'!$B$6:$Q$205,6,0))</f>
        <v/>
      </c>
      <c r="H192" s="32" t="str">
        <f>IF(B192="","",VLOOKUP(B192,'سجل حساب الزيادة السنوية'!$B$6:$Q$205,7,0))</f>
        <v/>
      </c>
      <c r="I192" s="33" t="str">
        <f>IF(B192="","",VLOOKUP(B192,'سجل حساب الزيادة السنوية'!$B$6:$Q$205,8,0))</f>
        <v/>
      </c>
      <c r="J192" s="61" t="str">
        <f>IF(B192="","",VLOOKUP(B192,'سجل حساب الزيادة السنوية'!$B$6:$Q$205,9,0))</f>
        <v/>
      </c>
      <c r="K192" s="59" t="str">
        <f>IF(B192="","",VLOOKUP(B192,'سجل حساب الزيادة السنوية'!$B$6:$Q$205,10,0))</f>
        <v/>
      </c>
      <c r="L192" s="37" t="str">
        <f>IF(B192="","",VLOOKUP(B192,'سجل حساب الزيادة السنوية'!$B$6:$Q$205,11,0))</f>
        <v/>
      </c>
      <c r="M192" s="37" t="str">
        <f>IF(B192="","",VLOOKUP(B192,'سجل حساب الزيادة السنوية'!$B$6:$Q$205,12,0))</f>
        <v/>
      </c>
      <c r="N192" s="37" t="str">
        <f>IF(B192="","",VLOOKUP(B192,'سجل حساب الزيادة السنوية'!$B$6:$Q$205,13,0))</f>
        <v/>
      </c>
      <c r="O192" s="37" t="str">
        <f>IF(B192="","",VLOOKUP(B192,'سجل حساب الزيادة السنوية'!$B$6:$Q$205,14,0))</f>
        <v/>
      </c>
      <c r="P192" s="37" t="str">
        <f>IF(B192="","",VLOOKUP(B192,'سجل حساب الزيادة السنوية'!$B$6:$Q$205,15,0))</f>
        <v/>
      </c>
      <c r="Q192" s="37" t="str">
        <f>IF(B192="","",VLOOKUP(B192,'سجل حساب الزيادة السنوية'!$B$6:$Q$205,16,0))</f>
        <v/>
      </c>
    </row>
    <row r="193" spans="1:17" ht="22.5" customHeight="1" x14ac:dyDescent="0.25">
      <c r="A193" s="32" t="str">
        <f>IF(B193="","",SUBTOTAL(3,B$7:B193))</f>
        <v/>
      </c>
      <c r="B193" s="32" t="str">
        <f>IF('سجل حساب الزيادة السنوية'!B192="","",'سجل حساب الزيادة السنوية'!B192)</f>
        <v/>
      </c>
      <c r="C193" s="32" t="str">
        <f>IF(B193="","",VLOOKUP(B193,'سجل حساب الزيادة السنوية'!$B$6:$Q$205,2,0))</f>
        <v/>
      </c>
      <c r="D193" s="32" t="str">
        <f>IF(B193="","",VLOOKUP(B193,'سجل حساب الزيادة السنوية'!$B$6:$Q$205,3,0))</f>
        <v/>
      </c>
      <c r="E193" s="32" t="str">
        <f>IF(B193="","",VLOOKUP(B193,'سجل حساب الزيادة السنوية'!$B$6:$Q$205,4,0))</f>
        <v/>
      </c>
      <c r="F193" s="36" t="str">
        <f>IF(B193="","",VLOOKUP(B193,'سجل حساب الزيادة السنوية'!$B$6:$Q$205,5,0))</f>
        <v/>
      </c>
      <c r="G193" s="32" t="str">
        <f>IF(B193="","",VLOOKUP(B193,'سجل حساب الزيادة السنوية'!$B$6:$Q$205,6,0))</f>
        <v/>
      </c>
      <c r="H193" s="32" t="str">
        <f>IF(B193="","",VLOOKUP(B193,'سجل حساب الزيادة السنوية'!$B$6:$Q$205,7,0))</f>
        <v/>
      </c>
      <c r="I193" s="33" t="str">
        <f>IF(B193="","",VLOOKUP(B193,'سجل حساب الزيادة السنوية'!$B$6:$Q$205,8,0))</f>
        <v/>
      </c>
      <c r="J193" s="61" t="str">
        <f>IF(B193="","",VLOOKUP(B193,'سجل حساب الزيادة السنوية'!$B$6:$Q$205,9,0))</f>
        <v/>
      </c>
      <c r="K193" s="59" t="str">
        <f>IF(B193="","",VLOOKUP(B193,'سجل حساب الزيادة السنوية'!$B$6:$Q$205,10,0))</f>
        <v/>
      </c>
      <c r="L193" s="37" t="str">
        <f>IF(B193="","",VLOOKUP(B193,'سجل حساب الزيادة السنوية'!$B$6:$Q$205,11,0))</f>
        <v/>
      </c>
      <c r="M193" s="37" t="str">
        <f>IF(B193="","",VLOOKUP(B193,'سجل حساب الزيادة السنوية'!$B$6:$Q$205,12,0))</f>
        <v/>
      </c>
      <c r="N193" s="37" t="str">
        <f>IF(B193="","",VLOOKUP(B193,'سجل حساب الزيادة السنوية'!$B$6:$Q$205,13,0))</f>
        <v/>
      </c>
      <c r="O193" s="37" t="str">
        <f>IF(B193="","",VLOOKUP(B193,'سجل حساب الزيادة السنوية'!$B$6:$Q$205,14,0))</f>
        <v/>
      </c>
      <c r="P193" s="37" t="str">
        <f>IF(B193="","",VLOOKUP(B193,'سجل حساب الزيادة السنوية'!$B$6:$Q$205,15,0))</f>
        <v/>
      </c>
      <c r="Q193" s="37" t="str">
        <f>IF(B193="","",VLOOKUP(B193,'سجل حساب الزيادة السنوية'!$B$6:$Q$205,16,0))</f>
        <v/>
      </c>
    </row>
    <row r="194" spans="1:17" ht="22.5" customHeight="1" x14ac:dyDescent="0.25">
      <c r="A194" s="32" t="str">
        <f>IF(B194="","",SUBTOTAL(3,B$7:B194))</f>
        <v/>
      </c>
      <c r="B194" s="32" t="str">
        <f>IF('سجل حساب الزيادة السنوية'!B193="","",'سجل حساب الزيادة السنوية'!B193)</f>
        <v/>
      </c>
      <c r="C194" s="32" t="str">
        <f>IF(B194="","",VLOOKUP(B194,'سجل حساب الزيادة السنوية'!$B$6:$Q$205,2,0))</f>
        <v/>
      </c>
      <c r="D194" s="32" t="str">
        <f>IF(B194="","",VLOOKUP(B194,'سجل حساب الزيادة السنوية'!$B$6:$Q$205,3,0))</f>
        <v/>
      </c>
      <c r="E194" s="32" t="str">
        <f>IF(B194="","",VLOOKUP(B194,'سجل حساب الزيادة السنوية'!$B$6:$Q$205,4,0))</f>
        <v/>
      </c>
      <c r="F194" s="36" t="str">
        <f>IF(B194="","",VLOOKUP(B194,'سجل حساب الزيادة السنوية'!$B$6:$Q$205,5,0))</f>
        <v/>
      </c>
      <c r="G194" s="32" t="str">
        <f>IF(B194="","",VLOOKUP(B194,'سجل حساب الزيادة السنوية'!$B$6:$Q$205,6,0))</f>
        <v/>
      </c>
      <c r="H194" s="32" t="str">
        <f>IF(B194="","",VLOOKUP(B194,'سجل حساب الزيادة السنوية'!$B$6:$Q$205,7,0))</f>
        <v/>
      </c>
      <c r="I194" s="33" t="str">
        <f>IF(B194="","",VLOOKUP(B194,'سجل حساب الزيادة السنوية'!$B$6:$Q$205,8,0))</f>
        <v/>
      </c>
      <c r="J194" s="61" t="str">
        <f>IF(B194="","",VLOOKUP(B194,'سجل حساب الزيادة السنوية'!$B$6:$Q$205,9,0))</f>
        <v/>
      </c>
      <c r="K194" s="59" t="str">
        <f>IF(B194="","",VLOOKUP(B194,'سجل حساب الزيادة السنوية'!$B$6:$Q$205,10,0))</f>
        <v/>
      </c>
      <c r="L194" s="37" t="str">
        <f>IF(B194="","",VLOOKUP(B194,'سجل حساب الزيادة السنوية'!$B$6:$Q$205,11,0))</f>
        <v/>
      </c>
      <c r="M194" s="37" t="str">
        <f>IF(B194="","",VLOOKUP(B194,'سجل حساب الزيادة السنوية'!$B$6:$Q$205,12,0))</f>
        <v/>
      </c>
      <c r="N194" s="37" t="str">
        <f>IF(B194="","",VLOOKUP(B194,'سجل حساب الزيادة السنوية'!$B$6:$Q$205,13,0))</f>
        <v/>
      </c>
      <c r="O194" s="37" t="str">
        <f>IF(B194="","",VLOOKUP(B194,'سجل حساب الزيادة السنوية'!$B$6:$Q$205,14,0))</f>
        <v/>
      </c>
      <c r="P194" s="37" t="str">
        <f>IF(B194="","",VLOOKUP(B194,'سجل حساب الزيادة السنوية'!$B$6:$Q$205,15,0))</f>
        <v/>
      </c>
      <c r="Q194" s="37" t="str">
        <f>IF(B194="","",VLOOKUP(B194,'سجل حساب الزيادة السنوية'!$B$6:$Q$205,16,0))</f>
        <v/>
      </c>
    </row>
    <row r="195" spans="1:17" ht="22.5" customHeight="1" x14ac:dyDescent="0.25">
      <c r="A195" s="32" t="str">
        <f>IF(B195="","",SUBTOTAL(3,B$7:B195))</f>
        <v/>
      </c>
      <c r="B195" s="32" t="str">
        <f>IF('سجل حساب الزيادة السنوية'!B194="","",'سجل حساب الزيادة السنوية'!B194)</f>
        <v/>
      </c>
      <c r="C195" s="32" t="str">
        <f>IF(B195="","",VLOOKUP(B195,'سجل حساب الزيادة السنوية'!$B$6:$Q$205,2,0))</f>
        <v/>
      </c>
      <c r="D195" s="32" t="str">
        <f>IF(B195="","",VLOOKUP(B195,'سجل حساب الزيادة السنوية'!$B$6:$Q$205,3,0))</f>
        <v/>
      </c>
      <c r="E195" s="32" t="str">
        <f>IF(B195="","",VLOOKUP(B195,'سجل حساب الزيادة السنوية'!$B$6:$Q$205,4,0))</f>
        <v/>
      </c>
      <c r="F195" s="36" t="str">
        <f>IF(B195="","",VLOOKUP(B195,'سجل حساب الزيادة السنوية'!$B$6:$Q$205,5,0))</f>
        <v/>
      </c>
      <c r="G195" s="32" t="str">
        <f>IF(B195="","",VLOOKUP(B195,'سجل حساب الزيادة السنوية'!$B$6:$Q$205,6,0))</f>
        <v/>
      </c>
      <c r="H195" s="32" t="str">
        <f>IF(B195="","",VLOOKUP(B195,'سجل حساب الزيادة السنوية'!$B$6:$Q$205,7,0))</f>
        <v/>
      </c>
      <c r="I195" s="33" t="str">
        <f>IF(B195="","",VLOOKUP(B195,'سجل حساب الزيادة السنوية'!$B$6:$Q$205,8,0))</f>
        <v/>
      </c>
      <c r="J195" s="61" t="str">
        <f>IF(B195="","",VLOOKUP(B195,'سجل حساب الزيادة السنوية'!$B$6:$Q$205,9,0))</f>
        <v/>
      </c>
      <c r="K195" s="59" t="str">
        <f>IF(B195="","",VLOOKUP(B195,'سجل حساب الزيادة السنوية'!$B$6:$Q$205,10,0))</f>
        <v/>
      </c>
      <c r="L195" s="37" t="str">
        <f>IF(B195="","",VLOOKUP(B195,'سجل حساب الزيادة السنوية'!$B$6:$Q$205,11,0))</f>
        <v/>
      </c>
      <c r="M195" s="37" t="str">
        <f>IF(B195="","",VLOOKUP(B195,'سجل حساب الزيادة السنوية'!$B$6:$Q$205,12,0))</f>
        <v/>
      </c>
      <c r="N195" s="37" t="str">
        <f>IF(B195="","",VLOOKUP(B195,'سجل حساب الزيادة السنوية'!$B$6:$Q$205,13,0))</f>
        <v/>
      </c>
      <c r="O195" s="37" t="str">
        <f>IF(B195="","",VLOOKUP(B195,'سجل حساب الزيادة السنوية'!$B$6:$Q$205,14,0))</f>
        <v/>
      </c>
      <c r="P195" s="37" t="str">
        <f>IF(B195="","",VLOOKUP(B195,'سجل حساب الزيادة السنوية'!$B$6:$Q$205,15,0))</f>
        <v/>
      </c>
      <c r="Q195" s="37" t="str">
        <f>IF(B195="","",VLOOKUP(B195,'سجل حساب الزيادة السنوية'!$B$6:$Q$205,16,0))</f>
        <v/>
      </c>
    </row>
    <row r="196" spans="1:17" ht="22.5" customHeight="1" x14ac:dyDescent="0.25">
      <c r="A196" s="32" t="str">
        <f>IF(B196="","",SUBTOTAL(3,B$7:B196))</f>
        <v/>
      </c>
      <c r="B196" s="32" t="str">
        <f>IF('سجل حساب الزيادة السنوية'!B195="","",'سجل حساب الزيادة السنوية'!B195)</f>
        <v/>
      </c>
      <c r="C196" s="32" t="str">
        <f>IF(B196="","",VLOOKUP(B196,'سجل حساب الزيادة السنوية'!$B$6:$Q$205,2,0))</f>
        <v/>
      </c>
      <c r="D196" s="32" t="str">
        <f>IF(B196="","",VLOOKUP(B196,'سجل حساب الزيادة السنوية'!$B$6:$Q$205,3,0))</f>
        <v/>
      </c>
      <c r="E196" s="32" t="str">
        <f>IF(B196="","",VLOOKUP(B196,'سجل حساب الزيادة السنوية'!$B$6:$Q$205,4,0))</f>
        <v/>
      </c>
      <c r="F196" s="36" t="str">
        <f>IF(B196="","",VLOOKUP(B196,'سجل حساب الزيادة السنوية'!$B$6:$Q$205,5,0))</f>
        <v/>
      </c>
      <c r="G196" s="32" t="str">
        <f>IF(B196="","",VLOOKUP(B196,'سجل حساب الزيادة السنوية'!$B$6:$Q$205,6,0))</f>
        <v/>
      </c>
      <c r="H196" s="32" t="str">
        <f>IF(B196="","",VLOOKUP(B196,'سجل حساب الزيادة السنوية'!$B$6:$Q$205,7,0))</f>
        <v/>
      </c>
      <c r="I196" s="33" t="str">
        <f>IF(B196="","",VLOOKUP(B196,'سجل حساب الزيادة السنوية'!$B$6:$Q$205,8,0))</f>
        <v/>
      </c>
      <c r="J196" s="61" t="str">
        <f>IF(B196="","",VLOOKUP(B196,'سجل حساب الزيادة السنوية'!$B$6:$Q$205,9,0))</f>
        <v/>
      </c>
      <c r="K196" s="59" t="str">
        <f>IF(B196="","",VLOOKUP(B196,'سجل حساب الزيادة السنوية'!$B$6:$Q$205,10,0))</f>
        <v/>
      </c>
      <c r="L196" s="37" t="str">
        <f>IF(B196="","",VLOOKUP(B196,'سجل حساب الزيادة السنوية'!$B$6:$Q$205,11,0))</f>
        <v/>
      </c>
      <c r="M196" s="37" t="str">
        <f>IF(B196="","",VLOOKUP(B196,'سجل حساب الزيادة السنوية'!$B$6:$Q$205,12,0))</f>
        <v/>
      </c>
      <c r="N196" s="37" t="str">
        <f>IF(B196="","",VLOOKUP(B196,'سجل حساب الزيادة السنوية'!$B$6:$Q$205,13,0))</f>
        <v/>
      </c>
      <c r="O196" s="37" t="str">
        <f>IF(B196="","",VLOOKUP(B196,'سجل حساب الزيادة السنوية'!$B$6:$Q$205,14,0))</f>
        <v/>
      </c>
      <c r="P196" s="37" t="str">
        <f>IF(B196="","",VLOOKUP(B196,'سجل حساب الزيادة السنوية'!$B$6:$Q$205,15,0))</f>
        <v/>
      </c>
      <c r="Q196" s="37" t="str">
        <f>IF(B196="","",VLOOKUP(B196,'سجل حساب الزيادة السنوية'!$B$6:$Q$205,16,0))</f>
        <v/>
      </c>
    </row>
    <row r="197" spans="1:17" ht="22.5" customHeight="1" x14ac:dyDescent="0.25">
      <c r="A197" s="32" t="str">
        <f>IF(B197="","",SUBTOTAL(3,B$7:B197))</f>
        <v/>
      </c>
      <c r="B197" s="32" t="str">
        <f>IF('سجل حساب الزيادة السنوية'!B196="","",'سجل حساب الزيادة السنوية'!B196)</f>
        <v/>
      </c>
      <c r="C197" s="32" t="str">
        <f>IF(B197="","",VLOOKUP(B197,'سجل حساب الزيادة السنوية'!$B$6:$Q$205,2,0))</f>
        <v/>
      </c>
      <c r="D197" s="32" t="str">
        <f>IF(B197="","",VLOOKUP(B197,'سجل حساب الزيادة السنوية'!$B$6:$Q$205,3,0))</f>
        <v/>
      </c>
      <c r="E197" s="32" t="str">
        <f>IF(B197="","",VLOOKUP(B197,'سجل حساب الزيادة السنوية'!$B$6:$Q$205,4,0))</f>
        <v/>
      </c>
      <c r="F197" s="36" t="str">
        <f>IF(B197="","",VLOOKUP(B197,'سجل حساب الزيادة السنوية'!$B$6:$Q$205,5,0))</f>
        <v/>
      </c>
      <c r="G197" s="32" t="str">
        <f>IF(B197="","",VLOOKUP(B197,'سجل حساب الزيادة السنوية'!$B$6:$Q$205,6,0))</f>
        <v/>
      </c>
      <c r="H197" s="32" t="str">
        <f>IF(B197="","",VLOOKUP(B197,'سجل حساب الزيادة السنوية'!$B$6:$Q$205,7,0))</f>
        <v/>
      </c>
      <c r="I197" s="33" t="str">
        <f>IF(B197="","",VLOOKUP(B197,'سجل حساب الزيادة السنوية'!$B$6:$Q$205,8,0))</f>
        <v/>
      </c>
      <c r="J197" s="61" t="str">
        <f>IF(B197="","",VLOOKUP(B197,'سجل حساب الزيادة السنوية'!$B$6:$Q$205,9,0))</f>
        <v/>
      </c>
      <c r="K197" s="59" t="str">
        <f>IF(B197="","",VLOOKUP(B197,'سجل حساب الزيادة السنوية'!$B$6:$Q$205,10,0))</f>
        <v/>
      </c>
      <c r="L197" s="37" t="str">
        <f>IF(B197="","",VLOOKUP(B197,'سجل حساب الزيادة السنوية'!$B$6:$Q$205,11,0))</f>
        <v/>
      </c>
      <c r="M197" s="37" t="str">
        <f>IF(B197="","",VLOOKUP(B197,'سجل حساب الزيادة السنوية'!$B$6:$Q$205,12,0))</f>
        <v/>
      </c>
      <c r="N197" s="37" t="str">
        <f>IF(B197="","",VLOOKUP(B197,'سجل حساب الزيادة السنوية'!$B$6:$Q$205,13,0))</f>
        <v/>
      </c>
      <c r="O197" s="37" t="str">
        <f>IF(B197="","",VLOOKUP(B197,'سجل حساب الزيادة السنوية'!$B$6:$Q$205,14,0))</f>
        <v/>
      </c>
      <c r="P197" s="37" t="str">
        <f>IF(B197="","",VLOOKUP(B197,'سجل حساب الزيادة السنوية'!$B$6:$Q$205,15,0))</f>
        <v/>
      </c>
      <c r="Q197" s="37" t="str">
        <f>IF(B197="","",VLOOKUP(B197,'سجل حساب الزيادة السنوية'!$B$6:$Q$205,16,0))</f>
        <v/>
      </c>
    </row>
    <row r="198" spans="1:17" ht="22.5" customHeight="1" x14ac:dyDescent="0.25">
      <c r="A198" s="32" t="str">
        <f>IF(B198="","",SUBTOTAL(3,B$7:B198))</f>
        <v/>
      </c>
      <c r="B198" s="32" t="str">
        <f>IF('سجل حساب الزيادة السنوية'!B197="","",'سجل حساب الزيادة السنوية'!B197)</f>
        <v/>
      </c>
      <c r="C198" s="32" t="str">
        <f>IF(B198="","",VLOOKUP(B198,'سجل حساب الزيادة السنوية'!$B$6:$Q$205,2,0))</f>
        <v/>
      </c>
      <c r="D198" s="32" t="str">
        <f>IF(B198="","",VLOOKUP(B198,'سجل حساب الزيادة السنوية'!$B$6:$Q$205,3,0))</f>
        <v/>
      </c>
      <c r="E198" s="32" t="str">
        <f>IF(B198="","",VLOOKUP(B198,'سجل حساب الزيادة السنوية'!$B$6:$Q$205,4,0))</f>
        <v/>
      </c>
      <c r="F198" s="36" t="str">
        <f>IF(B198="","",VLOOKUP(B198,'سجل حساب الزيادة السنوية'!$B$6:$Q$205,5,0))</f>
        <v/>
      </c>
      <c r="G198" s="32" t="str">
        <f>IF(B198="","",VLOOKUP(B198,'سجل حساب الزيادة السنوية'!$B$6:$Q$205,6,0))</f>
        <v/>
      </c>
      <c r="H198" s="32" t="str">
        <f>IF(B198="","",VLOOKUP(B198,'سجل حساب الزيادة السنوية'!$B$6:$Q$205,7,0))</f>
        <v/>
      </c>
      <c r="I198" s="33" t="str">
        <f>IF(B198="","",VLOOKUP(B198,'سجل حساب الزيادة السنوية'!$B$6:$Q$205,8,0))</f>
        <v/>
      </c>
      <c r="J198" s="61" t="str">
        <f>IF(B198="","",VLOOKUP(B198,'سجل حساب الزيادة السنوية'!$B$6:$Q$205,9,0))</f>
        <v/>
      </c>
      <c r="K198" s="59" t="str">
        <f>IF(B198="","",VLOOKUP(B198,'سجل حساب الزيادة السنوية'!$B$6:$Q$205,10,0))</f>
        <v/>
      </c>
      <c r="L198" s="37" t="str">
        <f>IF(B198="","",VLOOKUP(B198,'سجل حساب الزيادة السنوية'!$B$6:$Q$205,11,0))</f>
        <v/>
      </c>
      <c r="M198" s="37" t="str">
        <f>IF(B198="","",VLOOKUP(B198,'سجل حساب الزيادة السنوية'!$B$6:$Q$205,12,0))</f>
        <v/>
      </c>
      <c r="N198" s="37" t="str">
        <f>IF(B198="","",VLOOKUP(B198,'سجل حساب الزيادة السنوية'!$B$6:$Q$205,13,0))</f>
        <v/>
      </c>
      <c r="O198" s="37" t="str">
        <f>IF(B198="","",VLOOKUP(B198,'سجل حساب الزيادة السنوية'!$B$6:$Q$205,14,0))</f>
        <v/>
      </c>
      <c r="P198" s="37" t="str">
        <f>IF(B198="","",VLOOKUP(B198,'سجل حساب الزيادة السنوية'!$B$6:$Q$205,15,0))</f>
        <v/>
      </c>
      <c r="Q198" s="37" t="str">
        <f>IF(B198="","",VLOOKUP(B198,'سجل حساب الزيادة السنوية'!$B$6:$Q$205,16,0))</f>
        <v/>
      </c>
    </row>
    <row r="199" spans="1:17" ht="22.5" customHeight="1" x14ac:dyDescent="0.25">
      <c r="A199" s="32" t="str">
        <f>IF(B199="","",SUBTOTAL(3,B$7:B199))</f>
        <v/>
      </c>
      <c r="B199" s="32" t="str">
        <f>IF('سجل حساب الزيادة السنوية'!B198="","",'سجل حساب الزيادة السنوية'!B198)</f>
        <v/>
      </c>
      <c r="C199" s="32" t="str">
        <f>IF(B199="","",VLOOKUP(B199,'سجل حساب الزيادة السنوية'!$B$6:$Q$205,2,0))</f>
        <v/>
      </c>
      <c r="D199" s="32" t="str">
        <f>IF(B199="","",VLOOKUP(B199,'سجل حساب الزيادة السنوية'!$B$6:$Q$205,3,0))</f>
        <v/>
      </c>
      <c r="E199" s="32" t="str">
        <f>IF(B199="","",VLOOKUP(B199,'سجل حساب الزيادة السنوية'!$B$6:$Q$205,4,0))</f>
        <v/>
      </c>
      <c r="F199" s="36" t="str">
        <f>IF(B199="","",VLOOKUP(B199,'سجل حساب الزيادة السنوية'!$B$6:$Q$205,5,0))</f>
        <v/>
      </c>
      <c r="G199" s="32" t="str">
        <f>IF(B199="","",VLOOKUP(B199,'سجل حساب الزيادة السنوية'!$B$6:$Q$205,6,0))</f>
        <v/>
      </c>
      <c r="H199" s="32" t="str">
        <f>IF(B199="","",VLOOKUP(B199,'سجل حساب الزيادة السنوية'!$B$6:$Q$205,7,0))</f>
        <v/>
      </c>
      <c r="I199" s="33" t="str">
        <f>IF(B199="","",VLOOKUP(B199,'سجل حساب الزيادة السنوية'!$B$6:$Q$205,8,0))</f>
        <v/>
      </c>
      <c r="J199" s="61" t="str">
        <f>IF(B199="","",VLOOKUP(B199,'سجل حساب الزيادة السنوية'!$B$6:$Q$205,9,0))</f>
        <v/>
      </c>
      <c r="K199" s="59" t="str">
        <f>IF(B199="","",VLOOKUP(B199,'سجل حساب الزيادة السنوية'!$B$6:$Q$205,10,0))</f>
        <v/>
      </c>
      <c r="L199" s="37" t="str">
        <f>IF(B199="","",VLOOKUP(B199,'سجل حساب الزيادة السنوية'!$B$6:$Q$205,11,0))</f>
        <v/>
      </c>
      <c r="M199" s="37" t="str">
        <f>IF(B199="","",VLOOKUP(B199,'سجل حساب الزيادة السنوية'!$B$6:$Q$205,12,0))</f>
        <v/>
      </c>
      <c r="N199" s="37" t="str">
        <f>IF(B199="","",VLOOKUP(B199,'سجل حساب الزيادة السنوية'!$B$6:$Q$205,13,0))</f>
        <v/>
      </c>
      <c r="O199" s="37" t="str">
        <f>IF(B199="","",VLOOKUP(B199,'سجل حساب الزيادة السنوية'!$B$6:$Q$205,14,0))</f>
        <v/>
      </c>
      <c r="P199" s="37" t="str">
        <f>IF(B199="","",VLOOKUP(B199,'سجل حساب الزيادة السنوية'!$B$6:$Q$205,15,0))</f>
        <v/>
      </c>
      <c r="Q199" s="37" t="str">
        <f>IF(B199="","",VLOOKUP(B199,'سجل حساب الزيادة السنوية'!$B$6:$Q$205,16,0))</f>
        <v/>
      </c>
    </row>
    <row r="200" spans="1:17" ht="22.5" customHeight="1" x14ac:dyDescent="0.25">
      <c r="A200" s="32" t="str">
        <f>IF(B200="","",SUBTOTAL(3,B$7:B200))</f>
        <v/>
      </c>
      <c r="B200" s="32" t="str">
        <f>IF('سجل حساب الزيادة السنوية'!B199="","",'سجل حساب الزيادة السنوية'!B199)</f>
        <v/>
      </c>
      <c r="C200" s="32" t="str">
        <f>IF(B200="","",VLOOKUP(B200,'سجل حساب الزيادة السنوية'!$B$6:$Q$205,2,0))</f>
        <v/>
      </c>
      <c r="D200" s="32" t="str">
        <f>IF(B200="","",VLOOKUP(B200,'سجل حساب الزيادة السنوية'!$B$6:$Q$205,3,0))</f>
        <v/>
      </c>
      <c r="E200" s="32" t="str">
        <f>IF(B200="","",VLOOKUP(B200,'سجل حساب الزيادة السنوية'!$B$6:$Q$205,4,0))</f>
        <v/>
      </c>
      <c r="F200" s="36" t="str">
        <f>IF(B200="","",VLOOKUP(B200,'سجل حساب الزيادة السنوية'!$B$6:$Q$205,5,0))</f>
        <v/>
      </c>
      <c r="G200" s="32" t="str">
        <f>IF(B200="","",VLOOKUP(B200,'سجل حساب الزيادة السنوية'!$B$6:$Q$205,6,0))</f>
        <v/>
      </c>
      <c r="H200" s="32" t="str">
        <f>IF(B200="","",VLOOKUP(B200,'سجل حساب الزيادة السنوية'!$B$6:$Q$205,7,0))</f>
        <v/>
      </c>
      <c r="I200" s="33" t="str">
        <f>IF(B200="","",VLOOKUP(B200,'سجل حساب الزيادة السنوية'!$B$6:$Q$205,8,0))</f>
        <v/>
      </c>
      <c r="J200" s="61" t="str">
        <f>IF(B200="","",VLOOKUP(B200,'سجل حساب الزيادة السنوية'!$B$6:$Q$205,9,0))</f>
        <v/>
      </c>
      <c r="K200" s="59" t="str">
        <f>IF(B200="","",VLOOKUP(B200,'سجل حساب الزيادة السنوية'!$B$6:$Q$205,10,0))</f>
        <v/>
      </c>
      <c r="L200" s="37" t="str">
        <f>IF(B200="","",VLOOKUP(B200,'سجل حساب الزيادة السنوية'!$B$6:$Q$205,11,0))</f>
        <v/>
      </c>
      <c r="M200" s="37" t="str">
        <f>IF(B200="","",VLOOKUP(B200,'سجل حساب الزيادة السنوية'!$B$6:$Q$205,12,0))</f>
        <v/>
      </c>
      <c r="N200" s="37" t="str">
        <f>IF(B200="","",VLOOKUP(B200,'سجل حساب الزيادة السنوية'!$B$6:$Q$205,13,0))</f>
        <v/>
      </c>
      <c r="O200" s="37" t="str">
        <f>IF(B200="","",VLOOKUP(B200,'سجل حساب الزيادة السنوية'!$B$6:$Q$205,14,0))</f>
        <v/>
      </c>
      <c r="P200" s="37" t="str">
        <f>IF(B200="","",VLOOKUP(B200,'سجل حساب الزيادة السنوية'!$B$6:$Q$205,15,0))</f>
        <v/>
      </c>
      <c r="Q200" s="37" t="str">
        <f>IF(B200="","",VLOOKUP(B200,'سجل حساب الزيادة السنوية'!$B$6:$Q$205,16,0))</f>
        <v/>
      </c>
    </row>
    <row r="201" spans="1:17" ht="22.5" customHeight="1" x14ac:dyDescent="0.25">
      <c r="A201" s="32" t="str">
        <f>IF(B201="","",SUBTOTAL(3,B$7:B201))</f>
        <v/>
      </c>
      <c r="B201" s="32" t="str">
        <f>IF('سجل حساب الزيادة السنوية'!B200="","",'سجل حساب الزيادة السنوية'!B200)</f>
        <v/>
      </c>
      <c r="C201" s="32" t="str">
        <f>IF(B201="","",VLOOKUP(B201,'سجل حساب الزيادة السنوية'!$B$6:$Q$205,2,0))</f>
        <v/>
      </c>
      <c r="D201" s="32" t="str">
        <f>IF(B201="","",VLOOKUP(B201,'سجل حساب الزيادة السنوية'!$B$6:$Q$205,3,0))</f>
        <v/>
      </c>
      <c r="E201" s="32" t="str">
        <f>IF(B201="","",VLOOKUP(B201,'سجل حساب الزيادة السنوية'!$B$6:$Q$205,4,0))</f>
        <v/>
      </c>
      <c r="F201" s="36" t="str">
        <f>IF(B201="","",VLOOKUP(B201,'سجل حساب الزيادة السنوية'!$B$6:$Q$205,5,0))</f>
        <v/>
      </c>
      <c r="G201" s="32" t="str">
        <f>IF(B201="","",VLOOKUP(B201,'سجل حساب الزيادة السنوية'!$B$6:$Q$205,6,0))</f>
        <v/>
      </c>
      <c r="H201" s="32" t="str">
        <f>IF(B201="","",VLOOKUP(B201,'سجل حساب الزيادة السنوية'!$B$6:$Q$205,7,0))</f>
        <v/>
      </c>
      <c r="I201" s="33" t="str">
        <f>IF(B201="","",VLOOKUP(B201,'سجل حساب الزيادة السنوية'!$B$6:$Q$205,8,0))</f>
        <v/>
      </c>
      <c r="J201" s="61" t="str">
        <f>IF(B201="","",VLOOKUP(B201,'سجل حساب الزيادة السنوية'!$B$6:$Q$205,9,0))</f>
        <v/>
      </c>
      <c r="K201" s="59" t="str">
        <f>IF(B201="","",VLOOKUP(B201,'سجل حساب الزيادة السنوية'!$B$6:$Q$205,10,0))</f>
        <v/>
      </c>
      <c r="L201" s="37" t="str">
        <f>IF(B201="","",VLOOKUP(B201,'سجل حساب الزيادة السنوية'!$B$6:$Q$205,11,0))</f>
        <v/>
      </c>
      <c r="M201" s="37" t="str">
        <f>IF(B201="","",VLOOKUP(B201,'سجل حساب الزيادة السنوية'!$B$6:$Q$205,12,0))</f>
        <v/>
      </c>
      <c r="N201" s="37" t="str">
        <f>IF(B201="","",VLOOKUP(B201,'سجل حساب الزيادة السنوية'!$B$6:$Q$205,13,0))</f>
        <v/>
      </c>
      <c r="O201" s="37" t="str">
        <f>IF(B201="","",VLOOKUP(B201,'سجل حساب الزيادة السنوية'!$B$6:$Q$205,14,0))</f>
        <v/>
      </c>
      <c r="P201" s="37" t="str">
        <f>IF(B201="","",VLOOKUP(B201,'سجل حساب الزيادة السنوية'!$B$6:$Q$205,15,0))</f>
        <v/>
      </c>
      <c r="Q201" s="37" t="str">
        <f>IF(B201="","",VLOOKUP(B201,'سجل حساب الزيادة السنوية'!$B$6:$Q$205,16,0))</f>
        <v/>
      </c>
    </row>
    <row r="202" spans="1:17" ht="22.5" customHeight="1" x14ac:dyDescent="0.25">
      <c r="A202" s="32" t="str">
        <f>IF(B202="","",SUBTOTAL(3,B$7:B202))</f>
        <v/>
      </c>
      <c r="B202" s="32" t="str">
        <f>IF('سجل حساب الزيادة السنوية'!B201="","",'سجل حساب الزيادة السنوية'!B201)</f>
        <v/>
      </c>
      <c r="C202" s="32" t="str">
        <f>IF(B202="","",VLOOKUP(B202,'سجل حساب الزيادة السنوية'!$B$6:$Q$205,2,0))</f>
        <v/>
      </c>
      <c r="D202" s="32" t="str">
        <f>IF(B202="","",VLOOKUP(B202,'سجل حساب الزيادة السنوية'!$B$6:$Q$205,3,0))</f>
        <v/>
      </c>
      <c r="E202" s="32" t="str">
        <f>IF(B202="","",VLOOKUP(B202,'سجل حساب الزيادة السنوية'!$B$6:$Q$205,4,0))</f>
        <v/>
      </c>
      <c r="F202" s="36" t="str">
        <f>IF(B202="","",VLOOKUP(B202,'سجل حساب الزيادة السنوية'!$B$6:$Q$205,5,0))</f>
        <v/>
      </c>
      <c r="G202" s="32" t="str">
        <f>IF(B202="","",VLOOKUP(B202,'سجل حساب الزيادة السنوية'!$B$6:$Q$205,6,0))</f>
        <v/>
      </c>
      <c r="H202" s="32" t="str">
        <f>IF(B202="","",VLOOKUP(B202,'سجل حساب الزيادة السنوية'!$B$6:$Q$205,7,0))</f>
        <v/>
      </c>
      <c r="I202" s="33" t="str">
        <f>IF(B202="","",VLOOKUP(B202,'سجل حساب الزيادة السنوية'!$B$6:$Q$205,8,0))</f>
        <v/>
      </c>
      <c r="J202" s="61" t="str">
        <f>IF(B202="","",VLOOKUP(B202,'سجل حساب الزيادة السنوية'!$B$6:$Q$205,9,0))</f>
        <v/>
      </c>
      <c r="K202" s="59" t="str">
        <f>IF(B202="","",VLOOKUP(B202,'سجل حساب الزيادة السنوية'!$B$6:$Q$205,10,0))</f>
        <v/>
      </c>
      <c r="L202" s="37" t="str">
        <f>IF(B202="","",VLOOKUP(B202,'سجل حساب الزيادة السنوية'!$B$6:$Q$205,11,0))</f>
        <v/>
      </c>
      <c r="M202" s="37" t="str">
        <f>IF(B202="","",VLOOKUP(B202,'سجل حساب الزيادة السنوية'!$B$6:$Q$205,12,0))</f>
        <v/>
      </c>
      <c r="N202" s="37" t="str">
        <f>IF(B202="","",VLOOKUP(B202,'سجل حساب الزيادة السنوية'!$B$6:$Q$205,13,0))</f>
        <v/>
      </c>
      <c r="O202" s="37" t="str">
        <f>IF(B202="","",VLOOKUP(B202,'سجل حساب الزيادة السنوية'!$B$6:$Q$205,14,0))</f>
        <v/>
      </c>
      <c r="P202" s="37" t="str">
        <f>IF(B202="","",VLOOKUP(B202,'سجل حساب الزيادة السنوية'!$B$6:$Q$205,15,0))</f>
        <v/>
      </c>
      <c r="Q202" s="37" t="str">
        <f>IF(B202="","",VLOOKUP(B202,'سجل حساب الزيادة السنوية'!$B$6:$Q$205,16,0))</f>
        <v/>
      </c>
    </row>
    <row r="203" spans="1:17" ht="22.5" customHeight="1" x14ac:dyDescent="0.25">
      <c r="A203" s="32" t="str">
        <f>IF(B203="","",SUBTOTAL(3,B$7:B203))</f>
        <v/>
      </c>
      <c r="B203" s="32" t="str">
        <f>IF('سجل حساب الزيادة السنوية'!B202="","",'سجل حساب الزيادة السنوية'!B202)</f>
        <v/>
      </c>
      <c r="C203" s="32" t="str">
        <f>IF(B203="","",VLOOKUP(B203,'سجل حساب الزيادة السنوية'!$B$6:$Q$205,2,0))</f>
        <v/>
      </c>
      <c r="D203" s="32" t="str">
        <f>IF(B203="","",VLOOKUP(B203,'سجل حساب الزيادة السنوية'!$B$6:$Q$205,3,0))</f>
        <v/>
      </c>
      <c r="E203" s="32" t="str">
        <f>IF(B203="","",VLOOKUP(B203,'سجل حساب الزيادة السنوية'!$B$6:$Q$205,4,0))</f>
        <v/>
      </c>
      <c r="F203" s="36" t="str">
        <f>IF(B203="","",VLOOKUP(B203,'سجل حساب الزيادة السنوية'!$B$6:$Q$205,5,0))</f>
        <v/>
      </c>
      <c r="G203" s="32" t="str">
        <f>IF(B203="","",VLOOKUP(B203,'سجل حساب الزيادة السنوية'!$B$6:$Q$205,6,0))</f>
        <v/>
      </c>
      <c r="H203" s="32" t="str">
        <f>IF(B203="","",VLOOKUP(B203,'سجل حساب الزيادة السنوية'!$B$6:$Q$205,7,0))</f>
        <v/>
      </c>
      <c r="I203" s="33" t="str">
        <f>IF(B203="","",VLOOKUP(B203,'سجل حساب الزيادة السنوية'!$B$6:$Q$205,8,0))</f>
        <v/>
      </c>
      <c r="J203" s="61" t="str">
        <f>IF(B203="","",VLOOKUP(B203,'سجل حساب الزيادة السنوية'!$B$6:$Q$205,9,0))</f>
        <v/>
      </c>
      <c r="K203" s="59" t="str">
        <f>IF(B203="","",VLOOKUP(B203,'سجل حساب الزيادة السنوية'!$B$6:$Q$205,10,0))</f>
        <v/>
      </c>
      <c r="L203" s="37" t="str">
        <f>IF(B203="","",VLOOKUP(B203,'سجل حساب الزيادة السنوية'!$B$6:$Q$205,11,0))</f>
        <v/>
      </c>
      <c r="M203" s="37" t="str">
        <f>IF(B203="","",VLOOKUP(B203,'سجل حساب الزيادة السنوية'!$B$6:$Q$205,12,0))</f>
        <v/>
      </c>
      <c r="N203" s="37" t="str">
        <f>IF(B203="","",VLOOKUP(B203,'سجل حساب الزيادة السنوية'!$B$6:$Q$205,13,0))</f>
        <v/>
      </c>
      <c r="O203" s="37" t="str">
        <f>IF(B203="","",VLOOKUP(B203,'سجل حساب الزيادة السنوية'!$B$6:$Q$205,14,0))</f>
        <v/>
      </c>
      <c r="P203" s="37" t="str">
        <f>IF(B203="","",VLOOKUP(B203,'سجل حساب الزيادة السنوية'!$B$6:$Q$205,15,0))</f>
        <v/>
      </c>
      <c r="Q203" s="37" t="str">
        <f>IF(B203="","",VLOOKUP(B203,'سجل حساب الزيادة السنوية'!$B$6:$Q$205,16,0))</f>
        <v/>
      </c>
    </row>
    <row r="204" spans="1:17" ht="22.5" customHeight="1" x14ac:dyDescent="0.25">
      <c r="A204" s="32" t="str">
        <f>IF(B204="","",SUBTOTAL(3,B$7:B204))</f>
        <v/>
      </c>
      <c r="B204" s="32" t="str">
        <f>IF('سجل حساب الزيادة السنوية'!B203="","",'سجل حساب الزيادة السنوية'!B203)</f>
        <v/>
      </c>
      <c r="C204" s="32" t="str">
        <f>IF(B204="","",VLOOKUP(B204,'سجل حساب الزيادة السنوية'!$B$6:$Q$205,2,0))</f>
        <v/>
      </c>
      <c r="D204" s="32" t="str">
        <f>IF(B204="","",VLOOKUP(B204,'سجل حساب الزيادة السنوية'!$B$6:$Q$205,3,0))</f>
        <v/>
      </c>
      <c r="E204" s="32" t="str">
        <f>IF(B204="","",VLOOKUP(B204,'سجل حساب الزيادة السنوية'!$B$6:$Q$205,4,0))</f>
        <v/>
      </c>
      <c r="F204" s="36" t="str">
        <f>IF(B204="","",VLOOKUP(B204,'سجل حساب الزيادة السنوية'!$B$6:$Q$205,5,0))</f>
        <v/>
      </c>
      <c r="G204" s="32" t="str">
        <f>IF(B204="","",VLOOKUP(B204,'سجل حساب الزيادة السنوية'!$B$6:$Q$205,6,0))</f>
        <v/>
      </c>
      <c r="H204" s="32" t="str">
        <f>IF(B204="","",VLOOKUP(B204,'سجل حساب الزيادة السنوية'!$B$6:$Q$205,7,0))</f>
        <v/>
      </c>
      <c r="I204" s="33" t="str">
        <f>IF(B204="","",VLOOKUP(B204,'سجل حساب الزيادة السنوية'!$B$6:$Q$205,8,0))</f>
        <v/>
      </c>
      <c r="J204" s="61" t="str">
        <f>IF(B204="","",VLOOKUP(B204,'سجل حساب الزيادة السنوية'!$B$6:$Q$205,9,0))</f>
        <v/>
      </c>
      <c r="K204" s="59" t="str">
        <f>IF(B204="","",VLOOKUP(B204,'سجل حساب الزيادة السنوية'!$B$6:$Q$205,10,0))</f>
        <v/>
      </c>
      <c r="L204" s="37" t="str">
        <f>IF(B204="","",VLOOKUP(B204,'سجل حساب الزيادة السنوية'!$B$6:$Q$205,11,0))</f>
        <v/>
      </c>
      <c r="M204" s="37" t="str">
        <f>IF(B204="","",VLOOKUP(B204,'سجل حساب الزيادة السنوية'!$B$6:$Q$205,12,0))</f>
        <v/>
      </c>
      <c r="N204" s="37" t="str">
        <f>IF(B204="","",VLOOKUP(B204,'سجل حساب الزيادة السنوية'!$B$6:$Q$205,13,0))</f>
        <v/>
      </c>
      <c r="O204" s="37" t="str">
        <f>IF(B204="","",VLOOKUP(B204,'سجل حساب الزيادة السنوية'!$B$6:$Q$205,14,0))</f>
        <v/>
      </c>
      <c r="P204" s="37" t="str">
        <f>IF(B204="","",VLOOKUP(B204,'سجل حساب الزيادة السنوية'!$B$6:$Q$205,15,0))</f>
        <v/>
      </c>
      <c r="Q204" s="37" t="str">
        <f>IF(B204="","",VLOOKUP(B204,'سجل حساب الزيادة السنوية'!$B$6:$Q$205,16,0))</f>
        <v/>
      </c>
    </row>
    <row r="205" spans="1:17" ht="22.5" customHeight="1" x14ac:dyDescent="0.25">
      <c r="A205" s="32" t="str">
        <f>IF(B205="","",SUBTOTAL(3,B$7:B205))</f>
        <v/>
      </c>
      <c r="B205" s="32" t="str">
        <f>IF('سجل حساب الزيادة السنوية'!B204="","",'سجل حساب الزيادة السنوية'!B204)</f>
        <v/>
      </c>
      <c r="C205" s="32" t="str">
        <f>IF(B205="","",VLOOKUP(B205,'سجل حساب الزيادة السنوية'!$B$6:$Q$205,2,0))</f>
        <v/>
      </c>
      <c r="D205" s="32" t="str">
        <f>IF(B205="","",VLOOKUP(B205,'سجل حساب الزيادة السنوية'!$B$6:$Q$205,3,0))</f>
        <v/>
      </c>
      <c r="E205" s="32" t="str">
        <f>IF(B205="","",VLOOKUP(B205,'سجل حساب الزيادة السنوية'!$B$6:$Q$205,4,0))</f>
        <v/>
      </c>
      <c r="F205" s="36" t="str">
        <f>IF(B205="","",VLOOKUP(B205,'سجل حساب الزيادة السنوية'!$B$6:$Q$205,5,0))</f>
        <v/>
      </c>
      <c r="G205" s="32" t="str">
        <f>IF(B205="","",VLOOKUP(B205,'سجل حساب الزيادة السنوية'!$B$6:$Q$205,6,0))</f>
        <v/>
      </c>
      <c r="H205" s="32" t="str">
        <f>IF(B205="","",VLOOKUP(B205,'سجل حساب الزيادة السنوية'!$B$6:$Q$205,7,0))</f>
        <v/>
      </c>
      <c r="I205" s="33" t="str">
        <f>IF(B205="","",VLOOKUP(B205,'سجل حساب الزيادة السنوية'!$B$6:$Q$205,8,0))</f>
        <v/>
      </c>
      <c r="J205" s="61" t="str">
        <f>IF(B205="","",VLOOKUP(B205,'سجل حساب الزيادة السنوية'!$B$6:$Q$205,9,0))</f>
        <v/>
      </c>
      <c r="K205" s="59" t="str">
        <f>IF(B205="","",VLOOKUP(B205,'سجل حساب الزيادة السنوية'!$B$6:$Q$205,10,0))</f>
        <v/>
      </c>
      <c r="L205" s="37" t="str">
        <f>IF(B205="","",VLOOKUP(B205,'سجل حساب الزيادة السنوية'!$B$6:$Q$205,11,0))</f>
        <v/>
      </c>
      <c r="M205" s="37" t="str">
        <f>IF(B205="","",VLOOKUP(B205,'سجل حساب الزيادة السنوية'!$B$6:$Q$205,12,0))</f>
        <v/>
      </c>
      <c r="N205" s="37" t="str">
        <f>IF(B205="","",VLOOKUP(B205,'سجل حساب الزيادة السنوية'!$B$6:$Q$205,13,0))</f>
        <v/>
      </c>
      <c r="O205" s="37" t="str">
        <f>IF(B205="","",VLOOKUP(B205,'سجل حساب الزيادة السنوية'!$B$6:$Q$205,14,0))</f>
        <v/>
      </c>
      <c r="P205" s="37" t="str">
        <f>IF(B205="","",VLOOKUP(B205,'سجل حساب الزيادة السنوية'!$B$6:$Q$205,15,0))</f>
        <v/>
      </c>
      <c r="Q205" s="37" t="str">
        <f>IF(B205="","",VLOOKUP(B205,'سجل حساب الزيادة السنوية'!$B$6:$Q$205,16,0))</f>
        <v/>
      </c>
    </row>
    <row r="206" spans="1:17" ht="22.5" customHeight="1" thickBot="1" x14ac:dyDescent="0.3">
      <c r="A206" s="34" t="str">
        <f>IF(B206="","",SUBTOTAL(3,B$7:B206))</f>
        <v/>
      </c>
      <c r="B206" s="34" t="str">
        <f>IF('سجل حساب الزيادة السنوية'!B205="","",'سجل حساب الزيادة السنوية'!B205)</f>
        <v/>
      </c>
      <c r="C206" s="34" t="str">
        <f>IF(B206="","",VLOOKUP(B206,'سجل حساب الزيادة السنوية'!$B$6:$Q$205,2,0))</f>
        <v/>
      </c>
      <c r="D206" s="34" t="str">
        <f>IF(B206="","",VLOOKUP(B206,'سجل حساب الزيادة السنوية'!$B$6:$Q$205,3,0))</f>
        <v/>
      </c>
      <c r="E206" s="34" t="str">
        <f>IF(B206="","",VLOOKUP(B206,'سجل حساب الزيادة السنوية'!$B$6:$Q$205,4,0))</f>
        <v/>
      </c>
      <c r="F206" s="38" t="str">
        <f>IF(B206="","",VLOOKUP(B206,'سجل حساب الزيادة السنوية'!$B$6:$Q$205,5,0))</f>
        <v/>
      </c>
      <c r="G206" s="34" t="str">
        <f>IF(B206="","",VLOOKUP(B206,'سجل حساب الزيادة السنوية'!$B$6:$Q$205,6,0))</f>
        <v/>
      </c>
      <c r="H206" s="34" t="str">
        <f>IF(B206="","",VLOOKUP(B206,'سجل حساب الزيادة السنوية'!$B$6:$Q$205,7,0))</f>
        <v/>
      </c>
      <c r="I206" s="35" t="str">
        <f>IF(B206="","",VLOOKUP(B206,'سجل حساب الزيادة السنوية'!$B$6:$Q$205,8,0))</f>
        <v/>
      </c>
      <c r="J206" s="62" t="str">
        <f>IF(B206="","",VLOOKUP(B206,'سجل حساب الزيادة السنوية'!$B$6:$Q$205,9,0))</f>
        <v/>
      </c>
      <c r="K206" s="60" t="str">
        <f>IF(B206="","",VLOOKUP(B206,'سجل حساب الزيادة السنوية'!$B$6:$Q$205,10,0))</f>
        <v/>
      </c>
      <c r="L206" s="39" t="str">
        <f>IF(B206="","",VLOOKUP(B206,'سجل حساب الزيادة السنوية'!$B$6:$Q$205,11,0))</f>
        <v/>
      </c>
      <c r="M206" s="39" t="str">
        <f>IF(B206="","",VLOOKUP(B206,'سجل حساب الزيادة السنوية'!$B$6:$Q$205,12,0))</f>
        <v/>
      </c>
      <c r="N206" s="39" t="str">
        <f>IF(B206="","",VLOOKUP(B206,'سجل حساب الزيادة السنوية'!$B$6:$Q$205,13,0))</f>
        <v/>
      </c>
      <c r="O206" s="39" t="str">
        <f>IF(B206="","",VLOOKUP(B206,'سجل حساب الزيادة السنوية'!$B$6:$Q$205,14,0))</f>
        <v/>
      </c>
      <c r="P206" s="39" t="str">
        <f>IF(B206="","",VLOOKUP(B206,'سجل حساب الزيادة السنوية'!$B$6:$Q$205,15,0))</f>
        <v/>
      </c>
      <c r="Q206" s="39" t="str">
        <f>IF(B206="","",VLOOKUP(B206,'سجل حساب الزيادة السنوية'!$B$6:$Q$205,16,0))</f>
        <v/>
      </c>
    </row>
    <row r="207" spans="1:17" ht="6" customHeight="1" thickTop="1" thickBot="1" x14ac:dyDescent="0.3"/>
    <row r="208" spans="1:17" ht="39.75" customHeight="1" thickTop="1" thickBot="1" x14ac:dyDescent="0.3">
      <c r="L208" s="2">
        <f t="shared" ref="L208:Q208" si="0">SUBTOTAL(9,L7:L206)</f>
        <v>1400</v>
      </c>
      <c r="M208" s="3">
        <f t="shared" ca="1" si="0"/>
        <v>15400</v>
      </c>
      <c r="N208" s="4">
        <f t="shared" si="0"/>
        <v>1300</v>
      </c>
      <c r="O208" s="5">
        <f t="shared" ca="1" si="0"/>
        <v>14300</v>
      </c>
      <c r="P208" s="3">
        <f t="shared" ca="1" si="0"/>
        <v>1400</v>
      </c>
      <c r="Q208" s="5">
        <f t="shared" ca="1" si="0"/>
        <v>1300</v>
      </c>
    </row>
    <row r="209" ht="15.75" thickTop="1" x14ac:dyDescent="0.25"/>
  </sheetData>
  <sheetProtection password="C44E" sheet="1" formatCells="0" formatColumns="0" formatRows="0" insertColumns="0" insertRows="0" insertHyperlinks="0" deleteColumns="0" deleteRows="0" sort="0" autoFilter="0" pivotTables="0"/>
  <mergeCells count="3">
    <mergeCell ref="L4:M4"/>
    <mergeCell ref="N4:O4"/>
    <mergeCell ref="I2:N2"/>
  </mergeCells>
  <dataValidations count="1">
    <dataValidation type="list" allowBlank="1" showInputMessage="1" showErrorMessage="1" sqref="D3">
      <formula1>الاقسام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6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C8"/>
  <sheetViews>
    <sheetView showGridLines="0" rightToLeft="1" tabSelected="1" workbookViewId="0">
      <selection activeCell="D11" sqref="D11"/>
    </sheetView>
  </sheetViews>
  <sheetFormatPr defaultRowHeight="15" x14ac:dyDescent="0.25"/>
  <cols>
    <col min="3" max="3" width="18.7109375" bestFit="1" customWidth="1"/>
  </cols>
  <sheetData>
    <row r="3" spans="3:3" ht="27" customHeight="1" x14ac:dyDescent="0.25">
      <c r="C3" s="31" t="s">
        <v>26</v>
      </c>
    </row>
    <row r="4" spans="3:3" ht="15.75" x14ac:dyDescent="0.25">
      <c r="C4" s="30" t="s">
        <v>22</v>
      </c>
    </row>
    <row r="5" spans="3:3" ht="15.75" x14ac:dyDescent="0.25">
      <c r="C5" s="30" t="s">
        <v>30</v>
      </c>
    </row>
    <row r="6" spans="3:3" ht="15.75" x14ac:dyDescent="0.25">
      <c r="C6" s="75"/>
    </row>
    <row r="7" spans="3:3" ht="15.75" x14ac:dyDescent="0.25">
      <c r="C7" s="75"/>
    </row>
    <row r="8" spans="3:3" ht="15.75" x14ac:dyDescent="0.25">
      <c r="C8" s="75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home</vt:lpstr>
      <vt:lpstr>سجل حساب الزيادة السنوية</vt:lpstr>
      <vt:lpstr>الاستعلام لكل قسم</vt:lpstr>
      <vt:lpstr>Settings</vt:lpstr>
      <vt:lpstr>'الاستعلام لكل قسم'!Criteria</vt:lpstr>
      <vt:lpstr>'الاستعلام لكل قسم'!Print_Titles</vt:lpstr>
      <vt:lpstr>'سجل حساب الزيادة السنوية'!Print_Titles</vt:lpstr>
      <vt:lpstr>الاقسام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2022-03-01T07:47:41Z</dcterms:modified>
</cp:coreProperties>
</file>