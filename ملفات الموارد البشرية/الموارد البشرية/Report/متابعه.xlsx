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hidePivotFieldList="1"/>
  <bookViews>
    <workbookView xWindow="0" yWindow="0" windowWidth="19200" windowHeight="6855"/>
  </bookViews>
  <sheets>
    <sheet name="Sheet1" sheetId="1" r:id="rId1"/>
    <sheet name="النوع + الفرع " sheetId="4" state="hidden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1" l="1"/>
  <c r="K8" i="1" s="1"/>
  <c r="I9" i="1" l="1"/>
  <c r="I8" i="1"/>
  <c r="I7" i="1"/>
  <c r="J9" i="1"/>
  <c r="J8" i="1"/>
  <c r="J7" i="1"/>
  <c r="K9" i="1"/>
  <c r="K7" i="1"/>
  <c r="H8" i="1" l="1"/>
  <c r="H7" i="1"/>
  <c r="B8" i="1"/>
  <c r="B9" i="1"/>
  <c r="B7" i="1"/>
  <c r="H9" i="1"/>
  <c r="D3" i="1" l="1"/>
  <c r="J4" i="1"/>
  <c r="J3" i="1"/>
  <c r="J2" i="1"/>
  <c r="B3" i="1"/>
</calcChain>
</file>

<file path=xl/sharedStrings.xml><?xml version="1.0" encoding="utf-8"?>
<sst xmlns="http://schemas.openxmlformats.org/spreadsheetml/2006/main" count="28" uniqueCount="23">
  <si>
    <t>الرقم</t>
  </si>
  <si>
    <t>م</t>
  </si>
  <si>
    <t>النوع</t>
  </si>
  <si>
    <t>الفرع</t>
  </si>
  <si>
    <t>تاريخ الإصدار</t>
  </si>
  <si>
    <t>تاريخ الإنتهاء</t>
  </si>
  <si>
    <t>ملاحظات</t>
  </si>
  <si>
    <t>عدد الرخص المنتهية</t>
  </si>
  <si>
    <t>الحالة</t>
  </si>
  <si>
    <t>Experied</t>
  </si>
  <si>
    <t>Neer to Expire</t>
  </si>
  <si>
    <t>Valid</t>
  </si>
  <si>
    <t xml:space="preserve">اليوم </t>
  </si>
  <si>
    <t>شهر</t>
  </si>
  <si>
    <t>سنه</t>
  </si>
  <si>
    <t>عدد الرخص المقتربه على الانتهاء</t>
  </si>
  <si>
    <t>تاريخ اليوم</t>
  </si>
  <si>
    <t xml:space="preserve">سجل تجاري </t>
  </si>
  <si>
    <t xml:space="preserve">بطاقه ضريبه </t>
  </si>
  <si>
    <t xml:space="preserve">رحضه </t>
  </si>
  <si>
    <t>القاهره</t>
  </si>
  <si>
    <t>الجيزه</t>
  </si>
  <si>
    <t xml:space="preserve">مدينه نصر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</si>
</sst>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family val="2"/>
      <scheme val="minor"/>
    </font>
    <font>
      <sz val="11"/>
      <color theme="1"/>
      <name val="JF Flat"/>
      <family val="3"/>
    </font>
    <font>
      <sz val="11"/>
      <color theme="0"/>
      <name val="JF Flat"/>
      <family val="3"/>
    </font>
    <font>
      <sz val="22"/>
      <color theme="1"/>
      <name val="JF Flat"/>
      <family val="3"/>
    </font>
    <font>
      <sz val="12"/>
      <color theme="1"/>
      <name val="JF Flat"/>
      <family val="3"/>
    </font>
    <font>
      <sz val="14"/>
      <color theme="1"/>
      <name val="Calibri"/>
      <family val="2"/>
      <scheme val="minor"/>
    </font>
    <font>
      <sz val="12"/>
      <color theme="1"/>
      <name val="JF Flat"/>
    </font>
    <font>
      <b/>
      <sz val="12"/>
      <color theme="0"/>
      <name val="JF Flat"/>
      <family val="3"/>
    </font>
    <font>
      <sz val="11"/>
      <color theme="1"/>
      <name val="Bernard MT Condensed"/>
      <family val="1"/>
    </font>
    <font>
      <sz val="22"/>
      <color theme="1"/>
      <name val="Bernard MT Condensed"/>
      <family val="1"/>
    </font>
  </fonts>
  <fills count="7">
    <fill>
      <patternFill patternType="none"/>
    </fill>
    <fill>
      <patternFill patternType="gray125"/>
    </fill>
    <fill>
      <patternFill patternType="solid">
        <fgColor rgb="FF008080"/>
        <bgColor indexed="64"/>
      </patternFill>
    </fill>
    <fill>
      <patternFill patternType="solid">
        <fgColor rgb="FF3366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9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vertical="center"/>
    </xf>
    <xf numFmtId="0" fontId="1" fillId="5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2" fillId="6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4" fillId="0" borderId="0" xfId="0" applyNumberFormat="1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17"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  <border outline="0">
        <left style="thin">
          <color auto="1"/>
        </left>
      </border>
    </dxf>
    <dxf>
      <font>
        <strike val="0"/>
        <outline val="0"/>
        <shadow val="0"/>
        <u val="none"/>
        <vertAlign val="baseline"/>
        <sz val="12"/>
        <color theme="0"/>
        <name val="JF Flat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JF Flat"/>
        <scheme val="none"/>
      </font>
      <fill>
        <patternFill patternType="solid">
          <fgColor indexed="64"/>
          <bgColor rgb="FF008080"/>
        </patternFill>
      </fill>
      <alignment horizontal="center" vertical="center" textRotation="0" wrapText="0" indent="0" justifyLastLine="0" shrinkToFit="0" readingOrder="0"/>
    </dxf>
    <dxf>
      <fill>
        <patternFill>
          <bgColor theme="5"/>
        </patternFill>
      </fill>
    </dxf>
    <dxf>
      <font>
        <color theme="0"/>
      </font>
      <fill>
        <patternFill>
          <bgColor theme="9"/>
        </patternFill>
      </fill>
    </dxf>
    <dxf>
      <font>
        <color theme="0"/>
      </font>
      <fill>
        <patternFill>
          <bgColor theme="7"/>
        </patternFill>
      </fill>
    </dxf>
    <dxf>
      <font>
        <color theme="0"/>
      </font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336699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E9CA-4DDB-81F5-2CF39395A53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E9CA-4DDB-81F5-2CF39395A53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E9CA-4DDB-81F5-2CF39395A53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bg1"/>
                    </a:solidFill>
                    <a:latin typeface="Impact" panose="020B080603090205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Sheet1!$K$2:$K$4</c:f>
              <c:strCache>
                <c:ptCount val="3"/>
                <c:pt idx="0">
                  <c:v>Experied</c:v>
                </c:pt>
                <c:pt idx="1">
                  <c:v>Neer to Expire</c:v>
                </c:pt>
                <c:pt idx="2">
                  <c:v>Valid</c:v>
                </c:pt>
              </c:strCache>
            </c:strRef>
          </c:cat>
          <c:val>
            <c:numRef>
              <c:f>Sheet1!$J$2:$J$4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9CA-4DDB-81F5-2CF39395A53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Sheet1!$K$2:$K$4</c:f>
              <c:strCache>
                <c:ptCount val="3"/>
                <c:pt idx="0">
                  <c:v>Experied</c:v>
                </c:pt>
                <c:pt idx="1">
                  <c:v>Neer to Expire</c:v>
                </c:pt>
                <c:pt idx="2">
                  <c:v>Valid</c:v>
                </c:pt>
              </c:strCache>
            </c:strRef>
          </c:cat>
          <c:val>
            <c:numRef>
              <c:f>Sheet1!$K$2:$K$4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9CA-4DDB-81F5-2CF39395A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7222272"/>
        <c:axId val="77223808"/>
      </c:barChart>
      <c:catAx>
        <c:axId val="7722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23808"/>
        <c:crosses val="autoZero"/>
        <c:auto val="1"/>
        <c:lblAlgn val="ctr"/>
        <c:lblOffset val="100"/>
        <c:noMultiLvlLbl val="0"/>
      </c:catAx>
      <c:valAx>
        <c:axId val="772238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7222272"/>
        <c:crosses val="autoZero"/>
        <c:crossBetween val="between"/>
      </c:valAx>
      <c:spPr>
        <a:solidFill>
          <a:schemeClr val="bg2">
            <a:lumMod val="75000"/>
          </a:schemeClr>
        </a:solidFill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289560</xdr:colOff>
      <xdr:row>0</xdr:row>
      <xdr:rowOff>30486</xdr:rowOff>
    </xdr:from>
    <xdr:to>
      <xdr:col>11</xdr:col>
      <xdr:colOff>3329940</xdr:colOff>
      <xdr:row>4</xdr:row>
      <xdr:rowOff>297180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CA129FFE-29D1-4519-A932-B762090DA6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B6:L9" totalsRowShown="0" headerRowDxfId="12" dataDxfId="11">
  <autoFilter ref="B6:L9"/>
  <tableColumns count="11">
    <tableColumn id="1" name="م" dataDxfId="10">
      <calculatedColumnFormula>ROW(A1)</calculatedColumnFormula>
    </tableColumn>
    <tableColumn id="2" name="النوع" dataDxfId="9"/>
    <tableColumn id="3" name="الرقم" dataDxfId="8"/>
    <tableColumn id="4" name="الفرع" dataDxfId="7"/>
    <tableColumn id="5" name="تاريخ الإصدار" dataDxfId="6"/>
    <tableColumn id="6" name="تاريخ الإنتهاء" dataDxfId="5"/>
    <tableColumn id="8" name="الحالة" dataDxfId="4">
      <calculatedColumnFormula>IF(G7="","",IF(G7&lt;=TODAY(),"Experied",IF(AND(G7&gt;TODAY(),G7&lt;(TODAY()+60)),"Neer to Expire","Valid")))</calculatedColumnFormula>
    </tableColumn>
    <tableColumn id="9" name="اليوم " dataDxfId="3">
      <calculatedColumnFormula>IFERROR(DATEDIF($G$4,G7,"MD"),0)</calculatedColumnFormula>
    </tableColumn>
    <tableColumn id="10" name="شهر" dataDxfId="2">
      <calculatedColumnFormula>IFERROR(DATEDIF($G$4,G7,"ym"),0)</calculatedColumnFormula>
    </tableColumn>
    <tableColumn id="11" name="سنه" dataDxfId="1">
      <calculatedColumnFormula>IFERROR(DATEDIF($G$4,G7,"y"),0)</calculatedColumnFormula>
    </tableColumn>
    <tableColumn id="7" name="ملاحظات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8"/>
  <sheetViews>
    <sheetView showGridLines="0" rightToLeft="1" tabSelected="1" topLeftCell="B1" zoomScale="90" zoomScaleNormal="90" workbookViewId="0">
      <pane ySplit="6" topLeftCell="A7" activePane="bottomLeft" state="frozen"/>
      <selection pane="bottomLeft" activeCell="D12" sqref="D12"/>
    </sheetView>
  </sheetViews>
  <sheetFormatPr defaultColWidth="8.85546875" defaultRowHeight="15"/>
  <cols>
    <col min="1" max="1" width="3" style="1" hidden="1" customWidth="1"/>
    <col min="2" max="2" width="8.85546875" style="1"/>
    <col min="3" max="3" width="15.7109375" style="1" customWidth="1"/>
    <col min="4" max="4" width="22.140625" style="1" customWidth="1"/>
    <col min="5" max="5" width="13" style="1" customWidth="1"/>
    <col min="6" max="6" width="16.85546875" style="1" customWidth="1"/>
    <col min="7" max="7" width="18.28515625" style="1" customWidth="1"/>
    <col min="8" max="8" width="18.28515625" style="1" bestFit="1" customWidth="1"/>
    <col min="9" max="11" width="8.85546875" style="8"/>
    <col min="12" max="12" width="30.42578125" style="1" customWidth="1"/>
    <col min="16" max="16384" width="8.85546875" style="1"/>
  </cols>
  <sheetData>
    <row r="1" spans="1:15" ht="26.45" customHeight="1">
      <c r="A1" s="5"/>
      <c r="B1" s="6"/>
      <c r="C1" s="5"/>
      <c r="D1" s="5"/>
      <c r="E1" s="5"/>
      <c r="F1" s="5"/>
      <c r="G1" s="5"/>
      <c r="H1" s="10"/>
      <c r="I1" s="11"/>
      <c r="J1" s="11"/>
      <c r="K1" s="11"/>
      <c r="L1" s="5"/>
      <c r="M1" s="1"/>
      <c r="N1" s="1"/>
      <c r="O1" s="1"/>
    </row>
    <row r="2" spans="1:15" ht="33" customHeight="1">
      <c r="A2" s="5"/>
      <c r="B2" s="20" t="s">
        <v>7</v>
      </c>
      <c r="C2" s="20"/>
      <c r="D2" s="19" t="s">
        <v>15</v>
      </c>
      <c r="E2" s="5"/>
      <c r="F2" s="5"/>
      <c r="G2" s="5"/>
      <c r="H2" s="10"/>
      <c r="I2" s="11"/>
      <c r="J2" s="11">
        <f ca="1">COUNTIF(Table1[الحالة],K2)</f>
        <v>0</v>
      </c>
      <c r="K2" s="11" t="s">
        <v>9</v>
      </c>
      <c r="L2" s="5"/>
      <c r="M2" s="1"/>
      <c r="N2" s="1"/>
      <c r="O2" s="1"/>
    </row>
    <row r="3" spans="1:15" ht="26.45" customHeight="1">
      <c r="A3" s="5"/>
      <c r="B3" s="21">
        <f ca="1">COUNTIF(Table1[الحالة],"Experied")</f>
        <v>0</v>
      </c>
      <c r="C3" s="21"/>
      <c r="D3" s="21">
        <f ca="1">COUNTIF(H7:H1048576,"neer to expire")</f>
        <v>0</v>
      </c>
      <c r="E3" s="5"/>
      <c r="F3" s="5"/>
      <c r="G3" s="5"/>
      <c r="H3" s="10"/>
      <c r="I3" s="11"/>
      <c r="J3" s="11">
        <f ca="1">COUNTIF(Table1[الحالة],K3)</f>
        <v>0</v>
      </c>
      <c r="K3" s="11" t="s">
        <v>10</v>
      </c>
      <c r="L3" s="5"/>
      <c r="M3" s="1"/>
      <c r="N3" s="1"/>
      <c r="O3" s="1"/>
    </row>
    <row r="4" spans="1:15" ht="26.45" customHeight="1">
      <c r="A4" s="5"/>
      <c r="B4" s="21"/>
      <c r="C4" s="21"/>
      <c r="D4" s="21"/>
      <c r="E4" s="5"/>
      <c r="F4" s="18" t="s">
        <v>16</v>
      </c>
      <c r="G4" s="9">
        <f ca="1">TODAY()</f>
        <v>44550</v>
      </c>
      <c r="H4" s="10"/>
      <c r="I4" s="11"/>
      <c r="J4" s="11">
        <f ca="1">COUNTIF(Table1[الحالة],K4)</f>
        <v>0</v>
      </c>
      <c r="K4" s="11" t="s">
        <v>11</v>
      </c>
      <c r="L4" s="5"/>
      <c r="M4" s="1"/>
      <c r="N4" s="1"/>
      <c r="O4" s="1"/>
    </row>
    <row r="5" spans="1:15" ht="26.45" customHeight="1">
      <c r="A5" s="5"/>
      <c r="B5" s="6"/>
      <c r="C5" s="5"/>
      <c r="D5" s="7"/>
      <c r="E5" s="5"/>
      <c r="F5" s="5"/>
      <c r="G5" s="5"/>
      <c r="H5" s="10"/>
      <c r="I5" s="11"/>
      <c r="J5" s="11"/>
      <c r="K5" s="11"/>
      <c r="L5" s="5"/>
      <c r="M5" s="1"/>
      <c r="N5" s="1"/>
      <c r="O5" s="1"/>
    </row>
    <row r="6" spans="1:15" s="12" customFormat="1" ht="28.15" customHeight="1">
      <c r="B6" s="13" t="s">
        <v>1</v>
      </c>
      <c r="C6" s="13" t="s">
        <v>2</v>
      </c>
      <c r="D6" s="13" t="s">
        <v>0</v>
      </c>
      <c r="E6" s="13" t="s">
        <v>3</v>
      </c>
      <c r="F6" s="13" t="s">
        <v>4</v>
      </c>
      <c r="G6" s="13" t="s">
        <v>5</v>
      </c>
      <c r="H6" s="13" t="s">
        <v>8</v>
      </c>
      <c r="I6" s="14" t="s">
        <v>12</v>
      </c>
      <c r="J6" s="14" t="s">
        <v>13</v>
      </c>
      <c r="K6" s="14" t="s">
        <v>14</v>
      </c>
      <c r="L6" s="13" t="s">
        <v>6</v>
      </c>
    </row>
    <row r="7" spans="1:15" ht="28.15" customHeight="1">
      <c r="B7" s="2">
        <f>ROW(A1)</f>
        <v>1</v>
      </c>
      <c r="C7" s="3" t="s">
        <v>17</v>
      </c>
      <c r="D7" s="3"/>
      <c r="E7" s="3"/>
      <c r="F7" s="4"/>
      <c r="G7" s="4"/>
      <c r="H7" s="2" t="str">
        <f t="shared" ref="H7:H9" ca="1" si="0">IF(G7="","",IF(G7&lt;=TODAY(),"Experied",IF(AND(G7&gt;TODAY(),G7&lt;(TODAY()+60)),"Neer to Expire","Valid")))</f>
        <v/>
      </c>
      <c r="I7" s="15">
        <f t="shared" ref="I7:I9" ca="1" si="1">IFERROR(DATEDIF($G$4,G7,"MD"),0)</f>
        <v>0</v>
      </c>
      <c r="J7" s="15">
        <f t="shared" ref="J7:J9" ca="1" si="2">IFERROR(DATEDIF($G$4,G7,"ym"),0)</f>
        <v>0</v>
      </c>
      <c r="K7" s="15">
        <f t="shared" ref="K7:K9" ca="1" si="3">IFERROR(DATEDIF($G$4,G7,"y"),0)</f>
        <v>0</v>
      </c>
      <c r="L7" s="3"/>
      <c r="M7" s="1"/>
      <c r="N7" s="1"/>
      <c r="O7" s="1"/>
    </row>
    <row r="8" spans="1:15" ht="28.15" customHeight="1">
      <c r="B8" s="2">
        <f t="shared" ref="B8:B9" si="4">ROW(A2)</f>
        <v>2</v>
      </c>
      <c r="C8" s="3" t="s">
        <v>18</v>
      </c>
      <c r="D8" s="3"/>
      <c r="E8" s="3"/>
      <c r="F8" s="4"/>
      <c r="G8" s="4"/>
      <c r="H8" s="2" t="str">
        <f t="shared" ca="1" si="0"/>
        <v/>
      </c>
      <c r="I8" s="15">
        <f t="shared" ca="1" si="1"/>
        <v>0</v>
      </c>
      <c r="J8" s="15">
        <f t="shared" ca="1" si="2"/>
        <v>0</v>
      </c>
      <c r="K8" s="15">
        <f t="shared" ca="1" si="3"/>
        <v>0</v>
      </c>
      <c r="L8" s="3"/>
      <c r="M8" s="1"/>
      <c r="N8" s="1"/>
      <c r="O8" s="1"/>
    </row>
    <row r="9" spans="1:15" ht="28.15" customHeight="1">
      <c r="B9" s="2">
        <f t="shared" si="4"/>
        <v>3</v>
      </c>
      <c r="C9" s="3" t="s">
        <v>19</v>
      </c>
      <c r="D9" s="3"/>
      <c r="E9" s="3"/>
      <c r="F9" s="4"/>
      <c r="G9" s="4"/>
      <c r="H9" s="17" t="str">
        <f t="shared" ca="1" si="0"/>
        <v/>
      </c>
      <c r="I9" s="15">
        <f t="shared" ca="1" si="1"/>
        <v>0</v>
      </c>
      <c r="J9" s="15">
        <f t="shared" ca="1" si="2"/>
        <v>0</v>
      </c>
      <c r="K9" s="15">
        <f t="shared" ca="1" si="3"/>
        <v>0</v>
      </c>
      <c r="L9" s="3"/>
      <c r="M9" s="1"/>
      <c r="N9" s="1"/>
      <c r="O9" s="1"/>
    </row>
    <row r="10" spans="1:15" ht="28.15" customHeight="1"/>
    <row r="11" spans="1:15" ht="28.15" customHeight="1"/>
    <row r="12" spans="1:15" ht="28.15" customHeight="1"/>
    <row r="13" spans="1:15" ht="28.15" customHeight="1"/>
    <row r="14" spans="1:15" ht="28.15" customHeight="1"/>
    <row r="15" spans="1:15" ht="28.15" customHeight="1"/>
    <row r="16" spans="1:15" ht="28.15" customHeight="1"/>
    <row r="17" ht="28.15" customHeight="1"/>
    <row r="18" ht="28.15" customHeight="1"/>
    <row r="19" ht="28.15" customHeight="1"/>
    <row r="20" ht="28.15" customHeight="1"/>
    <row r="21" ht="28.15" customHeight="1"/>
    <row r="22" ht="28.15" customHeight="1"/>
    <row r="23" ht="28.15" customHeight="1"/>
    <row r="24" ht="28.15" customHeight="1"/>
    <row r="25" ht="28.15" customHeight="1"/>
    <row r="26" ht="28.15" customHeight="1"/>
    <row r="27" ht="28.15" customHeight="1"/>
    <row r="28" ht="28.15" customHeight="1"/>
    <row r="29" ht="28.15" customHeight="1"/>
    <row r="30" ht="28.15" customHeight="1"/>
    <row r="31" ht="28.15" customHeight="1"/>
    <row r="32" ht="28.15" customHeight="1"/>
    <row r="33" ht="28.15" customHeight="1"/>
    <row r="34" ht="28.15" customHeight="1"/>
    <row r="35" ht="28.15" customHeight="1"/>
    <row r="36" ht="28.15" customHeight="1"/>
    <row r="37" ht="28.15" customHeight="1"/>
    <row r="38" ht="28.15" customHeight="1"/>
    <row r="39" ht="28.15" customHeight="1"/>
    <row r="40" ht="28.15" customHeight="1"/>
    <row r="41" ht="28.15" customHeight="1"/>
    <row r="42" ht="28.15" customHeight="1"/>
    <row r="43" ht="28.15" customHeight="1"/>
    <row r="44" ht="28.15" customHeight="1"/>
    <row r="45" ht="28.15" customHeight="1"/>
    <row r="46" ht="28.15" customHeight="1"/>
    <row r="47" ht="28.15" customHeight="1"/>
    <row r="48" ht="28.15" customHeight="1"/>
    <row r="49" ht="28.15" customHeight="1"/>
    <row r="50" ht="28.15" customHeight="1"/>
    <row r="51" ht="28.15" customHeight="1"/>
    <row r="52" ht="28.15" customHeight="1"/>
    <row r="53" ht="28.15" customHeight="1"/>
    <row r="54" ht="28.15" customHeight="1"/>
    <row r="55" ht="28.15" customHeight="1"/>
    <row r="56" ht="28.15" customHeight="1"/>
    <row r="57" ht="28.15" customHeight="1"/>
    <row r="58" ht="28.15" customHeight="1"/>
    <row r="59" ht="28.15" customHeight="1"/>
    <row r="60" ht="28.15" customHeight="1"/>
    <row r="61" ht="28.15" customHeight="1"/>
    <row r="62" ht="28.15" customHeight="1"/>
    <row r="63" ht="28.15" customHeight="1"/>
    <row r="64" ht="28.15" customHeight="1"/>
    <row r="65" ht="28.15" customHeight="1"/>
    <row r="66" ht="28.15" customHeight="1"/>
    <row r="67" ht="28.15" customHeight="1"/>
    <row r="68" ht="28.15" customHeight="1"/>
    <row r="69" ht="28.15" customHeight="1"/>
    <row r="70" ht="28.15" customHeight="1"/>
    <row r="71" ht="28.15" customHeight="1"/>
    <row r="72" ht="28.15" customHeight="1"/>
    <row r="73" ht="28.15" customHeight="1"/>
    <row r="74" ht="28.15" customHeight="1"/>
    <row r="75" ht="28.15" customHeight="1"/>
    <row r="76" ht="28.15" customHeight="1"/>
    <row r="77" ht="28.15" customHeight="1"/>
    <row r="78" ht="28.15" customHeight="1"/>
    <row r="79" ht="28.15" customHeight="1"/>
    <row r="80" ht="28.15" customHeight="1"/>
    <row r="81" ht="28.15" customHeight="1"/>
    <row r="82" ht="28.15" customHeight="1"/>
    <row r="83" ht="28.15" customHeight="1"/>
    <row r="84" ht="28.15" customHeight="1"/>
    <row r="85" ht="28.15" customHeight="1"/>
    <row r="86" ht="28.15" customHeight="1"/>
    <row r="87" ht="28.15" customHeight="1"/>
    <row r="88" ht="28.15" customHeight="1"/>
    <row r="89" ht="28.15" customHeight="1"/>
    <row r="90" ht="28.15" customHeight="1"/>
    <row r="91" ht="28.15" customHeight="1"/>
    <row r="92" ht="28.15" customHeight="1"/>
    <row r="93" ht="28.15" customHeight="1"/>
    <row r="94" ht="28.15" customHeight="1"/>
    <row r="95" ht="28.15" customHeight="1"/>
    <row r="96" ht="28.15" customHeight="1"/>
    <row r="97" ht="28.15" customHeight="1"/>
    <row r="98" ht="28.15" customHeight="1"/>
    <row r="99" ht="28.15" customHeight="1"/>
    <row r="100" ht="28.15" customHeight="1"/>
    <row r="101" ht="28.15" customHeight="1"/>
    <row r="102" ht="28.15" customHeight="1"/>
    <row r="103" ht="28.15" customHeight="1"/>
    <row r="104" ht="28.15" customHeight="1"/>
    <row r="105" ht="28.15" customHeight="1"/>
    <row r="106" ht="28.15" customHeight="1"/>
    <row r="107" ht="28.15" customHeight="1"/>
    <row r="108" ht="28.15" customHeight="1"/>
    <row r="109" ht="28.15" customHeight="1"/>
    <row r="110" ht="28.15" customHeight="1"/>
    <row r="111" ht="28.15" customHeight="1"/>
    <row r="112" ht="28.15" customHeight="1"/>
    <row r="113" ht="28.15" customHeight="1"/>
    <row r="114" ht="28.15" customHeight="1"/>
    <row r="115" ht="28.15" customHeight="1"/>
    <row r="116" ht="28.15" customHeight="1"/>
    <row r="117" ht="28.15" customHeight="1"/>
    <row r="118" ht="28.15" customHeight="1"/>
    <row r="119" ht="28.15" customHeight="1"/>
    <row r="120" ht="28.15" customHeight="1"/>
    <row r="121" ht="28.15" customHeight="1"/>
    <row r="122" ht="28.15" customHeight="1"/>
    <row r="123" ht="28.15" customHeight="1"/>
    <row r="124" ht="28.15" customHeight="1"/>
    <row r="125" ht="28.15" customHeight="1"/>
    <row r="126" ht="28.15" customHeight="1"/>
    <row r="127" ht="28.15" customHeight="1"/>
    <row r="128" ht="28.15" customHeight="1"/>
    <row r="129" ht="28.15" customHeight="1"/>
    <row r="130" ht="28.15" customHeight="1"/>
    <row r="131" ht="28.15" customHeight="1"/>
    <row r="132" ht="28.15" customHeight="1"/>
    <row r="133" ht="28.15" customHeight="1"/>
    <row r="134" ht="28.15" customHeight="1"/>
    <row r="135" ht="28.15" customHeight="1"/>
    <row r="136" ht="28.15" customHeight="1"/>
    <row r="137" ht="28.15" customHeight="1"/>
    <row r="138" ht="28.15" customHeight="1"/>
    <row r="139" ht="28.15" customHeight="1"/>
    <row r="140" ht="28.15" customHeight="1"/>
    <row r="141" ht="28.15" customHeight="1"/>
    <row r="142" ht="28.15" customHeight="1"/>
    <row r="143" ht="28.15" customHeight="1"/>
    <row r="144" ht="28.15" customHeight="1"/>
    <row r="145" ht="28.15" customHeight="1"/>
    <row r="146" ht="28.15" customHeight="1"/>
    <row r="147" ht="28.15" customHeight="1"/>
    <row r="148" ht="28.15" customHeight="1"/>
    <row r="149" ht="28.15" customHeight="1"/>
    <row r="150" ht="28.15" customHeight="1"/>
    <row r="151" ht="28.15" customHeight="1"/>
    <row r="152" ht="28.15" customHeight="1"/>
    <row r="153" ht="28.15" customHeight="1"/>
    <row r="154" ht="28.15" customHeight="1"/>
    <row r="155" ht="28.15" customHeight="1"/>
    <row r="156" ht="28.15" customHeight="1"/>
    <row r="157" ht="28.15" customHeight="1"/>
    <row r="158" ht="28.15" customHeight="1"/>
    <row r="159" ht="28.15" customHeight="1"/>
    <row r="160" ht="28.15" customHeight="1"/>
    <row r="161" ht="28.15" customHeight="1"/>
    <row r="162" ht="28.15" customHeight="1"/>
    <row r="163" ht="28.15" customHeight="1"/>
    <row r="164" ht="28.15" customHeight="1"/>
    <row r="165" ht="28.15" customHeight="1"/>
    <row r="166" ht="28.15" customHeight="1"/>
    <row r="167" ht="28.15" customHeight="1"/>
    <row r="168" ht="28.15" customHeight="1"/>
    <row r="169" ht="28.15" customHeight="1"/>
    <row r="170" ht="28.15" customHeight="1"/>
    <row r="171" ht="28.15" customHeight="1"/>
    <row r="172" ht="28.15" customHeight="1"/>
    <row r="173" ht="28.15" customHeight="1"/>
    <row r="174" ht="28.15" customHeight="1"/>
    <row r="175" ht="28.15" customHeight="1"/>
    <row r="176" ht="28.15" customHeight="1"/>
    <row r="177" ht="28.15" customHeight="1"/>
    <row r="178" ht="28.15" customHeight="1"/>
    <row r="179" ht="28.15" customHeight="1"/>
    <row r="180" ht="28.15" customHeight="1"/>
    <row r="181" ht="28.15" customHeight="1"/>
    <row r="182" ht="28.15" customHeight="1"/>
    <row r="183" ht="28.15" customHeight="1"/>
    <row r="184" ht="28.15" customHeight="1"/>
    <row r="185" ht="28.15" customHeight="1"/>
    <row r="186" ht="28.15" customHeight="1"/>
    <row r="187" ht="28.15" customHeight="1"/>
    <row r="188" ht="28.15" customHeight="1"/>
    <row r="189" ht="28.15" customHeight="1"/>
    <row r="190" ht="28.15" customHeight="1"/>
    <row r="191" ht="28.15" customHeight="1"/>
    <row r="192" ht="28.15" customHeight="1"/>
    <row r="193" ht="28.15" customHeight="1"/>
    <row r="194" ht="28.15" customHeight="1"/>
    <row r="195" ht="28.15" customHeight="1"/>
    <row r="196" ht="28.15" customHeight="1"/>
    <row r="197" ht="28.15" customHeight="1"/>
    <row r="198" ht="28.15" customHeight="1"/>
    <row r="199" ht="28.15" customHeight="1"/>
    <row r="200" ht="28.15" customHeight="1"/>
    <row r="201" ht="28.15" customHeight="1"/>
    <row r="202" ht="28.15" customHeight="1"/>
    <row r="203" ht="28.15" customHeight="1"/>
    <row r="204" ht="28.15" customHeight="1"/>
    <row r="205" ht="28.15" customHeight="1"/>
    <row r="206" ht="28.15" customHeight="1"/>
    <row r="207" ht="28.15" customHeight="1"/>
    <row r="208" ht="28.15" customHeight="1"/>
    <row r="209" ht="28.15" customHeight="1"/>
    <row r="210" ht="28.15" customHeight="1"/>
    <row r="211" ht="28.15" customHeight="1"/>
    <row r="212" ht="28.15" customHeight="1"/>
    <row r="213" ht="28.15" customHeight="1"/>
    <row r="214" ht="28.15" customHeight="1"/>
    <row r="215" ht="28.15" customHeight="1"/>
    <row r="216" ht="28.15" customHeight="1"/>
    <row r="217" ht="28.15" customHeight="1"/>
    <row r="218" ht="28.15" customHeight="1"/>
    <row r="219" ht="28.15" customHeight="1"/>
    <row r="220" ht="28.15" customHeight="1"/>
    <row r="221" ht="28.15" customHeight="1"/>
    <row r="222" ht="28.15" customHeight="1"/>
    <row r="223" ht="28.15" customHeight="1"/>
    <row r="224" ht="28.15" customHeight="1"/>
    <row r="225" ht="28.15" customHeight="1"/>
    <row r="226" ht="28.15" customHeight="1"/>
    <row r="227" ht="28.15" customHeight="1"/>
    <row r="228" ht="28.15" customHeight="1"/>
    <row r="229" ht="28.15" customHeight="1"/>
    <row r="230" ht="28.15" customHeight="1"/>
    <row r="231" ht="28.15" customHeight="1"/>
    <row r="232" ht="28.15" customHeight="1"/>
    <row r="233" ht="28.15" customHeight="1"/>
    <row r="234" ht="28.15" customHeight="1"/>
    <row r="235" ht="28.15" customHeight="1"/>
    <row r="236" ht="28.15" customHeight="1"/>
    <row r="237" ht="28.15" customHeight="1"/>
    <row r="238" ht="28.15" customHeight="1"/>
    <row r="239" ht="28.15" customHeight="1"/>
    <row r="240" ht="28.15" customHeight="1"/>
    <row r="241" ht="28.15" customHeight="1"/>
    <row r="242" ht="28.15" customHeight="1"/>
    <row r="243" ht="28.15" customHeight="1"/>
    <row r="244" ht="28.15" customHeight="1"/>
    <row r="245" ht="28.15" customHeight="1"/>
    <row r="246" ht="28.15" customHeight="1"/>
    <row r="247" ht="28.15" customHeight="1"/>
    <row r="248" ht="28.15" customHeight="1"/>
    <row r="249" ht="28.15" customHeight="1"/>
    <row r="250" ht="28.15" customHeight="1"/>
    <row r="251" ht="28.15" customHeight="1"/>
    <row r="252" ht="28.15" customHeight="1"/>
    <row r="253" ht="28.15" customHeight="1"/>
    <row r="254" ht="28.15" customHeight="1"/>
    <row r="255" ht="28.15" customHeight="1"/>
    <row r="256" ht="28.15" customHeight="1"/>
    <row r="257" ht="28.15" customHeight="1"/>
    <row r="258" ht="28.15" customHeight="1"/>
    <row r="259" ht="28.15" customHeight="1"/>
    <row r="260" ht="28.15" customHeight="1"/>
    <row r="261" ht="28.15" customHeight="1"/>
    <row r="262" ht="28.15" customHeight="1"/>
    <row r="263" ht="28.15" customHeight="1"/>
    <row r="264" ht="28.15" customHeight="1"/>
    <row r="265" ht="28.15" customHeight="1"/>
    <row r="266" ht="28.15" customHeight="1"/>
    <row r="267" ht="28.15" customHeight="1"/>
    <row r="268" ht="28.15" customHeight="1"/>
    <row r="269" ht="28.15" customHeight="1"/>
    <row r="270" ht="28.15" customHeight="1"/>
    <row r="271" ht="28.15" customHeight="1"/>
    <row r="272" ht="28.15" customHeight="1"/>
    <row r="273" ht="28.15" customHeight="1"/>
    <row r="274" ht="28.15" customHeight="1"/>
    <row r="275" ht="28.15" customHeight="1"/>
    <row r="276" ht="28.15" customHeight="1"/>
    <row r="277" ht="28.15" customHeight="1"/>
    <row r="278" ht="28.15" customHeight="1"/>
    <row r="279" ht="28.15" customHeight="1"/>
    <row r="280" ht="28.15" customHeight="1"/>
    <row r="281" ht="28.15" customHeight="1"/>
    <row r="282" ht="28.15" customHeight="1"/>
    <row r="283" ht="28.15" customHeight="1"/>
    <row r="284" ht="28.15" customHeight="1"/>
    <row r="285" ht="28.15" customHeight="1"/>
    <row r="286" ht="28.15" customHeight="1"/>
    <row r="287" ht="28.15" customHeight="1"/>
    <row r="288" ht="28.15" customHeight="1"/>
    <row r="289" ht="28.15" customHeight="1"/>
    <row r="290" ht="28.15" customHeight="1"/>
    <row r="291" ht="28.15" customHeight="1"/>
    <row r="292" ht="28.15" customHeight="1"/>
    <row r="293" ht="28.15" customHeight="1"/>
    <row r="294" ht="28.15" customHeight="1"/>
    <row r="295" ht="28.15" customHeight="1"/>
    <row r="296" ht="28.15" customHeight="1"/>
    <row r="297" ht="28.15" customHeight="1"/>
    <row r="298" ht="28.15" customHeight="1"/>
    <row r="299" ht="28.15" customHeight="1"/>
    <row r="300" ht="28.15" customHeight="1"/>
    <row r="301" ht="28.15" customHeight="1"/>
    <row r="302" ht="28.15" customHeight="1"/>
    <row r="303" ht="28.15" customHeight="1"/>
    <row r="304" ht="28.15" customHeight="1"/>
    <row r="305" ht="28.15" customHeight="1"/>
    <row r="306" ht="28.15" customHeight="1"/>
    <row r="307" ht="28.15" customHeight="1"/>
    <row r="308" ht="28.15" customHeight="1"/>
    <row r="309" ht="28.15" customHeight="1"/>
    <row r="310" ht="28.15" customHeight="1"/>
    <row r="311" ht="28.15" customHeight="1"/>
    <row r="312" ht="28.15" customHeight="1"/>
    <row r="313" ht="28.15" customHeight="1"/>
    <row r="314" ht="28.15" customHeight="1"/>
    <row r="315" ht="28.15" customHeight="1"/>
    <row r="316" ht="28.15" customHeight="1"/>
    <row r="317" ht="28.15" customHeight="1"/>
    <row r="318" ht="28.15" customHeight="1"/>
    <row r="319" ht="28.15" customHeight="1"/>
    <row r="320" ht="28.15" customHeight="1"/>
    <row r="321" ht="28.15" customHeight="1"/>
    <row r="322" ht="28.15" customHeight="1"/>
    <row r="323" ht="28.15" customHeight="1"/>
    <row r="324" ht="28.15" customHeight="1"/>
    <row r="325" ht="28.15" customHeight="1"/>
    <row r="326" ht="28.15" customHeight="1"/>
    <row r="327" ht="28.15" customHeight="1"/>
    <row r="328" ht="28.15" customHeight="1"/>
    <row r="329" ht="28.15" customHeight="1"/>
    <row r="330" ht="28.15" customHeight="1"/>
    <row r="331" ht="28.15" customHeight="1"/>
    <row r="332" ht="28.15" customHeight="1"/>
    <row r="333" ht="28.15" customHeight="1"/>
    <row r="334" ht="28.15" customHeight="1"/>
    <row r="335" ht="28.15" customHeight="1"/>
    <row r="336" ht="28.15" customHeight="1"/>
    <row r="337" ht="28.15" customHeight="1"/>
    <row r="338" ht="28.15" customHeight="1"/>
    <row r="339" ht="28.15" customHeight="1"/>
    <row r="340" ht="28.15" customHeight="1"/>
    <row r="341" ht="28.15" customHeight="1"/>
    <row r="342" ht="28.15" customHeight="1"/>
    <row r="343" ht="28.15" customHeight="1"/>
    <row r="344" ht="28.15" customHeight="1"/>
    <row r="345" ht="28.15" customHeight="1"/>
    <row r="346" ht="28.15" customHeight="1"/>
    <row r="347" ht="28.15" customHeight="1"/>
    <row r="348" ht="28.15" customHeight="1"/>
    <row r="349" ht="28.15" customHeight="1"/>
    <row r="350" ht="28.15" customHeight="1"/>
    <row r="351" ht="28.15" customHeight="1"/>
    <row r="352" ht="28.15" customHeight="1"/>
    <row r="353" ht="28.15" customHeight="1"/>
    <row r="354" ht="28.15" customHeight="1"/>
    <row r="355" ht="28.15" customHeight="1"/>
    <row r="356" ht="28.15" customHeight="1"/>
    <row r="357" ht="28.15" customHeight="1"/>
    <row r="358" ht="28.15" customHeight="1"/>
    <row r="359" ht="28.15" customHeight="1"/>
    <row r="360" ht="28.15" customHeight="1"/>
    <row r="361" ht="28.15" customHeight="1"/>
    <row r="362" ht="28.15" customHeight="1"/>
    <row r="363" ht="28.15" customHeight="1"/>
    <row r="364" ht="28.15" customHeight="1"/>
    <row r="365" ht="28.15" customHeight="1"/>
    <row r="366" ht="28.15" customHeight="1"/>
    <row r="367" ht="28.15" customHeight="1"/>
    <row r="368" ht="28.15" customHeight="1"/>
    <row r="369" ht="28.15" customHeight="1"/>
    <row r="370" ht="28.15" customHeight="1"/>
    <row r="371" ht="28.15" customHeight="1"/>
    <row r="372" ht="28.15" customHeight="1"/>
    <row r="373" ht="28.15" customHeight="1"/>
    <row r="374" ht="28.15" customHeight="1"/>
    <row r="375" ht="28.15" customHeight="1"/>
    <row r="376" ht="28.15" customHeight="1"/>
    <row r="377" ht="28.15" customHeight="1"/>
    <row r="378" ht="28.15" customHeight="1"/>
    <row r="379" ht="28.15" customHeight="1"/>
    <row r="380" ht="28.15" customHeight="1"/>
    <row r="381" ht="28.15" customHeight="1"/>
    <row r="382" ht="28.15" customHeight="1"/>
    <row r="383" ht="28.15" customHeight="1"/>
    <row r="384" ht="28.15" customHeight="1"/>
    <row r="385" ht="28.15" customHeight="1"/>
    <row r="386" ht="28.15" customHeight="1"/>
    <row r="387" ht="28.15" customHeight="1"/>
    <row r="388" ht="28.15" customHeight="1"/>
    <row r="389" ht="28.15" customHeight="1"/>
    <row r="390" ht="28.15" customHeight="1"/>
    <row r="391" ht="28.15" customHeight="1"/>
    <row r="392" ht="28.15" customHeight="1"/>
    <row r="393" ht="28.15" customHeight="1"/>
    <row r="394" ht="28.15" customHeight="1"/>
    <row r="395" ht="28.15" customHeight="1"/>
    <row r="396" ht="28.15" customHeight="1"/>
    <row r="397" ht="28.15" customHeight="1"/>
    <row r="398" ht="28.15" customHeight="1"/>
    <row r="399" ht="28.15" customHeight="1"/>
    <row r="400" ht="28.15" customHeight="1"/>
    <row r="401" ht="28.15" customHeight="1"/>
    <row r="402" ht="28.15" customHeight="1"/>
    <row r="403" ht="28.15" customHeight="1"/>
    <row r="404" ht="28.15" customHeight="1"/>
    <row r="405" ht="28.15" customHeight="1"/>
    <row r="406" ht="28.15" customHeight="1"/>
    <row r="407" ht="28.15" customHeight="1"/>
    <row r="408" ht="28.15" customHeight="1"/>
    <row r="409" ht="28.15" customHeight="1"/>
    <row r="410" ht="28.15" customHeight="1"/>
    <row r="411" ht="28.15" customHeight="1"/>
    <row r="412" ht="28.15" customHeight="1"/>
    <row r="413" ht="28.15" customHeight="1"/>
    <row r="414" ht="28.15" customHeight="1"/>
    <row r="415" ht="28.15" customHeight="1"/>
    <row r="416" ht="28.15" customHeight="1"/>
    <row r="417" ht="28.15" customHeight="1"/>
    <row r="418" ht="28.15" customHeight="1"/>
    <row r="419" ht="28.15" customHeight="1"/>
    <row r="420" ht="28.15" customHeight="1"/>
    <row r="421" ht="28.15" customHeight="1"/>
    <row r="422" ht="28.15" customHeight="1"/>
    <row r="423" ht="28.15" customHeight="1"/>
    <row r="424" ht="28.15" customHeight="1"/>
    <row r="425" ht="28.15" customHeight="1"/>
    <row r="426" ht="28.15" customHeight="1"/>
    <row r="427" ht="28.15" customHeight="1"/>
    <row r="428" ht="28.15" customHeight="1"/>
    <row r="429" ht="28.15" customHeight="1"/>
    <row r="430" ht="28.15" customHeight="1"/>
    <row r="431" ht="28.15" customHeight="1"/>
    <row r="432" ht="28.15" customHeight="1"/>
    <row r="433" ht="28.15" customHeight="1"/>
    <row r="434" ht="28.15" customHeight="1"/>
    <row r="435" ht="28.15" customHeight="1"/>
    <row r="436" ht="28.15" customHeight="1"/>
    <row r="437" ht="28.15" customHeight="1"/>
    <row r="438" ht="28.15" customHeight="1"/>
    <row r="439" ht="28.15" customHeight="1"/>
    <row r="440" ht="28.15" customHeight="1"/>
    <row r="441" ht="28.15" customHeight="1"/>
    <row r="442" ht="28.15" customHeight="1"/>
    <row r="443" ht="28.15" customHeight="1"/>
    <row r="444" ht="28.15" customHeight="1"/>
    <row r="445" ht="28.15" customHeight="1"/>
    <row r="446" ht="28.15" customHeight="1"/>
    <row r="447" ht="28.15" customHeight="1"/>
    <row r="448" ht="28.15" customHeight="1"/>
    <row r="449" ht="28.15" customHeight="1"/>
    <row r="450" ht="28.15" customHeight="1"/>
    <row r="451" ht="28.15" customHeight="1"/>
    <row r="452" ht="28.15" customHeight="1"/>
    <row r="453" ht="28.15" customHeight="1"/>
    <row r="454" ht="28.15" customHeight="1"/>
    <row r="455" ht="28.15" customHeight="1"/>
    <row r="456" ht="28.15" customHeight="1"/>
    <row r="457" ht="28.15" customHeight="1"/>
    <row r="458" ht="28.15" customHeight="1"/>
    <row r="459" ht="28.15" customHeight="1"/>
    <row r="460" ht="28.15" customHeight="1"/>
    <row r="461" ht="28.15" customHeight="1"/>
    <row r="462" ht="28.15" customHeight="1"/>
    <row r="463" ht="28.15" customHeight="1"/>
    <row r="464" ht="28.15" customHeight="1"/>
    <row r="465" ht="28.15" customHeight="1"/>
    <row r="466" ht="28.15" customHeight="1"/>
    <row r="467" ht="28.15" customHeight="1"/>
    <row r="468" ht="28.15" customHeight="1"/>
    <row r="469" ht="28.15" customHeight="1"/>
    <row r="470" ht="28.15" customHeight="1"/>
    <row r="471" ht="28.15" customHeight="1"/>
    <row r="472" ht="28.15" customHeight="1"/>
    <row r="473" ht="28.15" customHeight="1"/>
    <row r="474" ht="28.15" customHeight="1"/>
    <row r="475" ht="28.15" customHeight="1"/>
    <row r="476" ht="28.15" customHeight="1"/>
    <row r="477" ht="28.15" customHeight="1"/>
    <row r="478" ht="28.15" customHeight="1"/>
  </sheetData>
  <mergeCells count="3">
    <mergeCell ref="B2:C2"/>
    <mergeCell ref="B3:C4"/>
    <mergeCell ref="D3:D4"/>
  </mergeCells>
  <conditionalFormatting sqref="H7:H9">
    <cfRule type="cellIs" dxfId="16" priority="5" operator="equal">
      <formula>"Experied"</formula>
    </cfRule>
    <cfRule type="cellIs" dxfId="15" priority="6" operator="equal">
      <formula>"Neer to Expire"</formula>
    </cfRule>
    <cfRule type="cellIs" dxfId="14" priority="7" operator="equal">
      <formula>"Valid"</formula>
    </cfRule>
  </conditionalFormatting>
  <conditionalFormatting sqref="K7:K9">
    <cfRule type="cellIs" dxfId="13" priority="1" operator="equal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'النوع + الفرع '!$A$2:$A$54</xm:f>
          </x14:formula1>
          <xm:sqref>C7:C9</xm:sqref>
        </x14:dataValidation>
        <x14:dataValidation type="list" allowBlank="1" showInputMessage="1" showErrorMessage="1">
          <x14:formula1>
            <xm:f>'النوع + الفرع '!$B$2:$B$180</xm:f>
          </x14:formula1>
          <xm:sqref>E7:E9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rightToLeft="1" workbookViewId="0">
      <selection activeCell="B3" sqref="B3"/>
    </sheetView>
  </sheetViews>
  <sheetFormatPr defaultRowHeight="15"/>
  <cols>
    <col min="1" max="1" width="11.7109375" bestFit="1" customWidth="1"/>
  </cols>
  <sheetData>
    <row r="1" spans="1:2" ht="16.5">
      <c r="A1" s="16" t="s">
        <v>2</v>
      </c>
      <c r="B1" s="16" t="s">
        <v>3</v>
      </c>
    </row>
    <row r="2" spans="1:2">
      <c r="A2" t="s">
        <v>17</v>
      </c>
      <c r="B2" t="s">
        <v>20</v>
      </c>
    </row>
    <row r="3" spans="1:2">
      <c r="A3" t="s">
        <v>18</v>
      </c>
      <c r="B3" t="s">
        <v>21</v>
      </c>
    </row>
    <row r="4" spans="1:2">
      <c r="A4" t="s">
        <v>19</v>
      </c>
      <c r="B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النوع + الفرع 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pc7</cp:lastModifiedBy>
  <dcterms:created xsi:type="dcterms:W3CDTF">2020-03-22T20:18:35Z</dcterms:created>
  <dcterms:modified xsi:type="dcterms:W3CDTF">2021-12-20T09:01:36Z</dcterms:modified>
</cp:coreProperties>
</file>