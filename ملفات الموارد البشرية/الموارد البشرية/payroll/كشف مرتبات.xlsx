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Data C\Desktop\New folder (3)\payroll\"/>
    </mc:Choice>
  </mc:AlternateContent>
  <bookViews>
    <workbookView xWindow="510" yWindow="525" windowWidth="13095" windowHeight="6855" activeTab="3"/>
  </bookViews>
  <sheets>
    <sheet name="HOME" sheetId="1" r:id="rId1"/>
    <sheet name="القيود" sheetId="2" r:id="rId2"/>
    <sheet name="PAYRROLL- الشرائح" sheetId="3" r:id="rId3"/>
    <sheet name="طباعه الكشف للموظف" sheetId="4" r:id="rId4"/>
  </sheets>
  <calcPr calcId="162913"/>
  <extLst>
    <ext uri="GoogleSheetsCustomDataVersion1">
      <go:sheetsCustomData xmlns:go="http://customooxmlschemas.google.com/" r:id="" roundtripDataSignature="AMtx7mh8dWAlonSG7dqCFiqK6S5r93zZzQ=="/>
    </ext>
  </extLst>
</workbook>
</file>

<file path=xl/calcChain.xml><?xml version="1.0" encoding="utf-8"?>
<calcChain xmlns="http://schemas.openxmlformats.org/spreadsheetml/2006/main">
  <c r="E22" i="4" l="1" a="1"/>
  <c r="E22" i="4" s="1"/>
  <c r="E21" i="4" a="1"/>
  <c r="E21" i="4" s="1"/>
  <c r="E13" i="4" a="1"/>
  <c r="E13" i="4" s="1"/>
  <c r="E12" i="4" a="1"/>
  <c r="E12" i="4" s="1"/>
  <c r="E11" i="4" a="1"/>
  <c r="E11" i="4" s="1"/>
  <c r="E10" i="4" a="1"/>
  <c r="E10" i="4" s="1"/>
  <c r="C8" i="4"/>
  <c r="K56" i="3"/>
  <c r="J56" i="3"/>
  <c r="I56" i="3"/>
  <c r="H56" i="3"/>
  <c r="G56" i="3"/>
  <c r="F56" i="3"/>
  <c r="T55" i="3"/>
  <c r="O55" i="3"/>
  <c r="N55" i="3"/>
  <c r="M55" i="3"/>
  <c r="L55" i="3"/>
  <c r="T54" i="3"/>
  <c r="O54" i="3"/>
  <c r="N54" i="3"/>
  <c r="P54" i="3" s="1"/>
  <c r="M54" i="3"/>
  <c r="L54" i="3"/>
  <c r="T53" i="3"/>
  <c r="O53" i="3"/>
  <c r="N53" i="3"/>
  <c r="M53" i="3"/>
  <c r="L53" i="3"/>
  <c r="O52" i="3"/>
  <c r="N52" i="3"/>
  <c r="M52" i="3"/>
  <c r="L52" i="3"/>
  <c r="T51" i="3"/>
  <c r="O51" i="3"/>
  <c r="N51" i="3"/>
  <c r="P51" i="3" s="1"/>
  <c r="M51" i="3"/>
  <c r="L51" i="3"/>
  <c r="O50" i="3"/>
  <c r="N50" i="3"/>
  <c r="M50" i="3"/>
  <c r="Q50" i="3" s="1"/>
  <c r="L50" i="3"/>
  <c r="T49" i="3"/>
  <c r="O49" i="3"/>
  <c r="N49" i="3"/>
  <c r="P49" i="3" s="1"/>
  <c r="M49" i="3"/>
  <c r="L49" i="3"/>
  <c r="O48" i="3"/>
  <c r="N48" i="3"/>
  <c r="P48" i="3" s="1"/>
  <c r="M48" i="3"/>
  <c r="L48" i="3"/>
  <c r="T47" i="3"/>
  <c r="O47" i="3"/>
  <c r="N47" i="3"/>
  <c r="P47" i="3" s="1"/>
  <c r="M47" i="3"/>
  <c r="L47" i="3"/>
  <c r="T46" i="3"/>
  <c r="O46" i="3"/>
  <c r="N46" i="3"/>
  <c r="P46" i="3" s="1"/>
  <c r="M46" i="3"/>
  <c r="L46" i="3"/>
  <c r="T45" i="3"/>
  <c r="O45" i="3"/>
  <c r="N45" i="3"/>
  <c r="M45" i="3"/>
  <c r="L45" i="3"/>
  <c r="T44" i="3"/>
  <c r="O44" i="3"/>
  <c r="N44" i="3"/>
  <c r="P44" i="3" s="1"/>
  <c r="M44" i="3"/>
  <c r="L44" i="3"/>
  <c r="T43" i="3"/>
  <c r="O43" i="3"/>
  <c r="N43" i="3"/>
  <c r="P43" i="3" s="1"/>
  <c r="M43" i="3"/>
  <c r="L43" i="3"/>
  <c r="T42" i="3"/>
  <c r="O42" i="3"/>
  <c r="N42" i="3"/>
  <c r="P42" i="3" s="1"/>
  <c r="M42" i="3"/>
  <c r="L42" i="3"/>
  <c r="T41" i="3"/>
  <c r="O41" i="3"/>
  <c r="N41" i="3"/>
  <c r="M41" i="3"/>
  <c r="L41" i="3"/>
  <c r="T40" i="3"/>
  <c r="O40" i="3"/>
  <c r="N40" i="3"/>
  <c r="P40" i="3" s="1"/>
  <c r="M40" i="3"/>
  <c r="L40" i="3"/>
  <c r="T39" i="3"/>
  <c r="O39" i="3"/>
  <c r="N39" i="3"/>
  <c r="P39" i="3" s="1"/>
  <c r="M39" i="3"/>
  <c r="L39" i="3"/>
  <c r="T38" i="3"/>
  <c r="O38" i="3"/>
  <c r="N38" i="3"/>
  <c r="P38" i="3" s="1"/>
  <c r="M38" i="3"/>
  <c r="L38" i="3"/>
  <c r="T37" i="3"/>
  <c r="O37" i="3"/>
  <c r="N37" i="3"/>
  <c r="M37" i="3"/>
  <c r="L37" i="3"/>
  <c r="Q36" i="3"/>
  <c r="O36" i="3"/>
  <c r="N36" i="3"/>
  <c r="P36" i="3" s="1"/>
  <c r="M36" i="3"/>
  <c r="L36" i="3"/>
  <c r="T35" i="3"/>
  <c r="O35" i="3"/>
  <c r="N35" i="3"/>
  <c r="P35" i="3" s="1"/>
  <c r="M35" i="3"/>
  <c r="L35" i="3"/>
  <c r="T34" i="3"/>
  <c r="O34" i="3"/>
  <c r="N34" i="3"/>
  <c r="P34" i="3" s="1"/>
  <c r="M34" i="3"/>
  <c r="L34" i="3"/>
  <c r="T33" i="3"/>
  <c r="O33" i="3"/>
  <c r="N33" i="3"/>
  <c r="M33" i="3"/>
  <c r="L33" i="3"/>
  <c r="T32" i="3"/>
  <c r="O32" i="3"/>
  <c r="N32" i="3"/>
  <c r="P32" i="3" s="1"/>
  <c r="M32" i="3"/>
  <c r="L32" i="3"/>
  <c r="T31" i="3"/>
  <c r="O31" i="3"/>
  <c r="N31" i="3"/>
  <c r="P31" i="3" s="1"/>
  <c r="M31" i="3"/>
  <c r="L31" i="3"/>
  <c r="T30" i="3"/>
  <c r="O30" i="3"/>
  <c r="N30" i="3"/>
  <c r="P30" i="3" s="1"/>
  <c r="M30" i="3"/>
  <c r="L30" i="3"/>
  <c r="T29" i="3"/>
  <c r="O29" i="3"/>
  <c r="N29" i="3"/>
  <c r="P29" i="3" s="1"/>
  <c r="M29" i="3"/>
  <c r="L29" i="3"/>
  <c r="T28" i="3"/>
  <c r="O28" i="3"/>
  <c r="N28" i="3"/>
  <c r="M28" i="3"/>
  <c r="L28" i="3"/>
  <c r="T27" i="3"/>
  <c r="O27" i="3"/>
  <c r="N27" i="3"/>
  <c r="P27" i="3" s="1"/>
  <c r="M27" i="3"/>
  <c r="L27" i="3"/>
  <c r="T26" i="3"/>
  <c r="O26" i="3"/>
  <c r="N26" i="3"/>
  <c r="P26" i="3" s="1"/>
  <c r="M26" i="3"/>
  <c r="L26" i="3"/>
  <c r="T25" i="3"/>
  <c r="O25" i="3"/>
  <c r="N25" i="3"/>
  <c r="P25" i="3" s="1"/>
  <c r="M25" i="3"/>
  <c r="L25" i="3"/>
  <c r="T24" i="3"/>
  <c r="O24" i="3"/>
  <c r="N24" i="3"/>
  <c r="M24" i="3"/>
  <c r="L24" i="3"/>
  <c r="T23" i="3"/>
  <c r="O23" i="3"/>
  <c r="N23" i="3"/>
  <c r="P23" i="3" s="1"/>
  <c r="M23" i="3"/>
  <c r="L23" i="3"/>
  <c r="T22" i="3"/>
  <c r="O22" i="3"/>
  <c r="N22" i="3"/>
  <c r="P22" i="3" s="1"/>
  <c r="M22" i="3"/>
  <c r="L22" i="3"/>
  <c r="T21" i="3"/>
  <c r="O21" i="3"/>
  <c r="N21" i="3"/>
  <c r="P21" i="3" s="1"/>
  <c r="M21" i="3"/>
  <c r="L21" i="3"/>
  <c r="T20" i="3"/>
  <c r="O20" i="3"/>
  <c r="N20" i="3"/>
  <c r="M20" i="3"/>
  <c r="L20" i="3"/>
  <c r="T19" i="3"/>
  <c r="O19" i="3"/>
  <c r="N19" i="3"/>
  <c r="P19" i="3" s="1"/>
  <c r="M19" i="3"/>
  <c r="L19" i="3"/>
  <c r="T18" i="3"/>
  <c r="O18" i="3"/>
  <c r="N18" i="3"/>
  <c r="P18" i="3" s="1"/>
  <c r="M18" i="3"/>
  <c r="L18" i="3"/>
  <c r="T17" i="3"/>
  <c r="O17" i="3"/>
  <c r="N17" i="3"/>
  <c r="P17" i="3" s="1"/>
  <c r="M17" i="3"/>
  <c r="L17" i="3"/>
  <c r="T16" i="3"/>
  <c r="O16" i="3"/>
  <c r="N16" i="3"/>
  <c r="M16" i="3"/>
  <c r="L16" i="3"/>
  <c r="T15" i="3"/>
  <c r="O15" i="3"/>
  <c r="N15" i="3"/>
  <c r="M15" i="3"/>
  <c r="L15" i="3"/>
  <c r="T14" i="3"/>
  <c r="O14" i="3"/>
  <c r="N14" i="3"/>
  <c r="P14" i="3" s="1"/>
  <c r="M14" i="3"/>
  <c r="L14" i="3"/>
  <c r="T13" i="3"/>
  <c r="O13" i="3"/>
  <c r="N13" i="3"/>
  <c r="P13" i="3" s="1"/>
  <c r="M13" i="3"/>
  <c r="L13" i="3"/>
  <c r="T12" i="3"/>
  <c r="O12" i="3"/>
  <c r="N12" i="3"/>
  <c r="M12" i="3"/>
  <c r="Q12" i="3" s="1"/>
  <c r="L12" i="3"/>
  <c r="T11" i="3"/>
  <c r="O11" i="3"/>
  <c r="N11" i="3"/>
  <c r="P11" i="3" s="1"/>
  <c r="M11" i="3"/>
  <c r="L11" i="3"/>
  <c r="T10" i="3"/>
  <c r="O10" i="3"/>
  <c r="N10" i="3"/>
  <c r="P10" i="3" s="1"/>
  <c r="M10" i="3"/>
  <c r="L10" i="3"/>
  <c r="T9" i="3"/>
  <c r="O9" i="3"/>
  <c r="N9" i="3"/>
  <c r="P9" i="3" s="1"/>
  <c r="M9" i="3"/>
  <c r="L9" i="3"/>
  <c r="T8" i="3"/>
  <c r="O8" i="3"/>
  <c r="N8" i="3"/>
  <c r="M8" i="3"/>
  <c r="U8" i="3" s="1"/>
  <c r="V8" i="3" s="1"/>
  <c r="X8" i="3" s="1"/>
  <c r="L8" i="3"/>
  <c r="T7" i="3"/>
  <c r="O7" i="3"/>
  <c r="N7" i="3"/>
  <c r="P7" i="3" s="1"/>
  <c r="M7" i="3"/>
  <c r="L7" i="3"/>
  <c r="O6" i="3"/>
  <c r="N6" i="3"/>
  <c r="N56" i="3" s="1"/>
  <c r="M6" i="3"/>
  <c r="L6" i="3"/>
  <c r="L56" i="3" s="1"/>
  <c r="X65" i="2"/>
  <c r="Y65" i="2" s="1"/>
  <c r="AB59" i="2"/>
  <c r="AA59" i="2"/>
  <c r="AA61" i="2" s="1"/>
  <c r="J55" i="2"/>
  <c r="I55" i="2"/>
  <c r="D55" i="2"/>
  <c r="C55" i="2"/>
  <c r="J54" i="2"/>
  <c r="I54" i="2"/>
  <c r="G54" i="2"/>
  <c r="E54" i="2"/>
  <c r="D54" i="2"/>
  <c r="C54" i="2"/>
  <c r="J53" i="2"/>
  <c r="I53" i="2"/>
  <c r="D53" i="2"/>
  <c r="C53" i="2"/>
  <c r="J52" i="2"/>
  <c r="I52" i="2"/>
  <c r="D52" i="2"/>
  <c r="C52" i="2"/>
  <c r="J51" i="2"/>
  <c r="I51" i="2"/>
  <c r="G51" i="2"/>
  <c r="E51" i="2"/>
  <c r="D51" i="2"/>
  <c r="C51" i="2"/>
  <c r="J50" i="2"/>
  <c r="I50" i="2"/>
  <c r="D50" i="2"/>
  <c r="C50" i="2"/>
  <c r="J49" i="2"/>
  <c r="I49" i="2"/>
  <c r="G49" i="2"/>
  <c r="E49" i="2"/>
  <c r="D49" i="2"/>
  <c r="C49" i="2"/>
  <c r="J48" i="2"/>
  <c r="I48" i="2"/>
  <c r="E48" i="2"/>
  <c r="D48" i="2"/>
  <c r="C48" i="2"/>
  <c r="J47" i="2"/>
  <c r="I47" i="2"/>
  <c r="G47" i="2"/>
  <c r="E47" i="2"/>
  <c r="D47" i="2"/>
  <c r="C47" i="2"/>
  <c r="J46" i="2"/>
  <c r="I46" i="2"/>
  <c r="G46" i="2"/>
  <c r="E46" i="2"/>
  <c r="D46" i="2"/>
  <c r="C46" i="2"/>
  <c r="J45" i="2"/>
  <c r="I45" i="2"/>
  <c r="D45" i="2"/>
  <c r="C45" i="2"/>
  <c r="J44" i="2"/>
  <c r="I44" i="2"/>
  <c r="G44" i="2"/>
  <c r="E44" i="2"/>
  <c r="D44" i="2"/>
  <c r="C44" i="2"/>
  <c r="J43" i="2"/>
  <c r="I43" i="2"/>
  <c r="G43" i="2"/>
  <c r="E43" i="2"/>
  <c r="D43" i="2"/>
  <c r="C43" i="2"/>
  <c r="J42" i="2"/>
  <c r="I42" i="2"/>
  <c r="G42" i="2"/>
  <c r="E42" i="2"/>
  <c r="D42" i="2"/>
  <c r="C42" i="2"/>
  <c r="J41" i="2"/>
  <c r="I41" i="2"/>
  <c r="D41" i="2"/>
  <c r="C41" i="2"/>
  <c r="J40" i="2"/>
  <c r="I40" i="2"/>
  <c r="G40" i="2"/>
  <c r="E40" i="2"/>
  <c r="D40" i="2"/>
  <c r="C40" i="2"/>
  <c r="J39" i="2"/>
  <c r="I39" i="2"/>
  <c r="G39" i="2"/>
  <c r="E39" i="2"/>
  <c r="D39" i="2"/>
  <c r="C39" i="2"/>
  <c r="J38" i="2"/>
  <c r="I38" i="2"/>
  <c r="G38" i="2"/>
  <c r="E38" i="2"/>
  <c r="D38" i="2"/>
  <c r="C38" i="2"/>
  <c r="J37" i="2"/>
  <c r="I37" i="2"/>
  <c r="D37" i="2"/>
  <c r="C37" i="2"/>
  <c r="J36" i="2"/>
  <c r="I36" i="2"/>
  <c r="E36" i="2"/>
  <c r="D36" i="2"/>
  <c r="C36" i="2"/>
  <c r="J35" i="2"/>
  <c r="I35" i="2"/>
  <c r="G35" i="2"/>
  <c r="E35" i="2"/>
  <c r="D35" i="2"/>
  <c r="C35" i="2"/>
  <c r="J34" i="2"/>
  <c r="I34" i="2"/>
  <c r="G34" i="2"/>
  <c r="E34" i="2"/>
  <c r="D34" i="2"/>
  <c r="C34" i="2"/>
  <c r="J33" i="2"/>
  <c r="I33" i="2"/>
  <c r="D33" i="2"/>
  <c r="C33" i="2"/>
  <c r="J32" i="2"/>
  <c r="I32" i="2"/>
  <c r="G32" i="2"/>
  <c r="E32" i="2"/>
  <c r="D32" i="2"/>
  <c r="C32" i="2"/>
  <c r="J31" i="2"/>
  <c r="I31" i="2"/>
  <c r="G31" i="2"/>
  <c r="E31" i="2"/>
  <c r="D31" i="2"/>
  <c r="C31" i="2"/>
  <c r="J30" i="2"/>
  <c r="I30" i="2"/>
  <c r="G30" i="2"/>
  <c r="E30" i="2"/>
  <c r="D30" i="2"/>
  <c r="C30" i="2"/>
  <c r="J29" i="2"/>
  <c r="I29" i="2"/>
  <c r="G29" i="2"/>
  <c r="E29" i="2"/>
  <c r="D29" i="2"/>
  <c r="C29" i="2"/>
  <c r="J28" i="2"/>
  <c r="I28" i="2"/>
  <c r="D28" i="2"/>
  <c r="C28" i="2"/>
  <c r="J27" i="2"/>
  <c r="I27" i="2"/>
  <c r="G27" i="2"/>
  <c r="E27" i="2"/>
  <c r="D27" i="2"/>
  <c r="C27" i="2"/>
  <c r="J26" i="2"/>
  <c r="I26" i="2"/>
  <c r="G26" i="2"/>
  <c r="E26" i="2"/>
  <c r="D26" i="2"/>
  <c r="C26" i="2"/>
  <c r="J25" i="2"/>
  <c r="I25" i="2"/>
  <c r="G25" i="2"/>
  <c r="E25" i="2"/>
  <c r="D25" i="2"/>
  <c r="C25" i="2"/>
  <c r="J24" i="2"/>
  <c r="I24" i="2"/>
  <c r="D24" i="2"/>
  <c r="C24" i="2"/>
  <c r="J23" i="2"/>
  <c r="I23" i="2"/>
  <c r="G23" i="2"/>
  <c r="E23" i="2"/>
  <c r="D23" i="2"/>
  <c r="C23" i="2"/>
  <c r="J22" i="2"/>
  <c r="I22" i="2"/>
  <c r="G22" i="2"/>
  <c r="E22" i="2"/>
  <c r="D22" i="2"/>
  <c r="C22" i="2"/>
  <c r="J21" i="2"/>
  <c r="I21" i="2"/>
  <c r="G21" i="2"/>
  <c r="E21" i="2"/>
  <c r="D21" i="2"/>
  <c r="C21" i="2"/>
  <c r="J20" i="2"/>
  <c r="I20" i="2"/>
  <c r="D20" i="2"/>
  <c r="C20" i="2"/>
  <c r="J19" i="2"/>
  <c r="I19" i="2"/>
  <c r="G19" i="2"/>
  <c r="E19" i="2"/>
  <c r="D19" i="2"/>
  <c r="C19" i="2"/>
  <c r="J18" i="2"/>
  <c r="I18" i="2"/>
  <c r="G18" i="2"/>
  <c r="E18" i="2"/>
  <c r="D18" i="2"/>
  <c r="C18" i="2"/>
  <c r="J17" i="2"/>
  <c r="I17" i="2"/>
  <c r="G17" i="2"/>
  <c r="E17" i="2"/>
  <c r="D17" i="2"/>
  <c r="C17" i="2"/>
  <c r="J16" i="2"/>
  <c r="I16" i="2"/>
  <c r="D16" i="2"/>
  <c r="C16" i="2"/>
  <c r="J15" i="2"/>
  <c r="I15" i="2"/>
  <c r="D15" i="2"/>
  <c r="C15" i="2"/>
  <c r="J14" i="2"/>
  <c r="I14" i="2"/>
  <c r="G14" i="2"/>
  <c r="E14" i="2"/>
  <c r="D14" i="2"/>
  <c r="C14" i="2"/>
  <c r="J13" i="2"/>
  <c r="I13" i="2"/>
  <c r="G13" i="2"/>
  <c r="E13" i="2"/>
  <c r="D13" i="2"/>
  <c r="C13" i="2"/>
  <c r="J12" i="2"/>
  <c r="I12" i="2"/>
  <c r="D12" i="2"/>
  <c r="C12" i="2"/>
  <c r="J11" i="2"/>
  <c r="I11" i="2"/>
  <c r="D11" i="2"/>
  <c r="C11" i="2"/>
  <c r="J10" i="2"/>
  <c r="I10" i="2"/>
  <c r="D10" i="2"/>
  <c r="C10" i="2"/>
  <c r="J9" i="2"/>
  <c r="I9" i="2"/>
  <c r="D9" i="2"/>
  <c r="C9" i="2"/>
  <c r="J8" i="2"/>
  <c r="I8" i="2"/>
  <c r="D8" i="2"/>
  <c r="C8" i="2"/>
  <c r="J7" i="2"/>
  <c r="I7" i="2"/>
  <c r="D7" i="2"/>
  <c r="C7" i="2"/>
  <c r="J6" i="2"/>
  <c r="J56" i="2" s="1"/>
  <c r="I6" i="2"/>
  <c r="I56" i="2" s="1"/>
  <c r="D6" i="2"/>
  <c r="D56" i="2" s="1"/>
  <c r="C6" i="2"/>
  <c r="P33" i="3" l="1"/>
  <c r="P37" i="3"/>
  <c r="P41" i="3"/>
  <c r="P45" i="3"/>
  <c r="P50" i="3"/>
  <c r="E50" i="2" s="1"/>
  <c r="P55" i="3"/>
  <c r="P15" i="3"/>
  <c r="P52" i="3"/>
  <c r="E52" i="2" s="1"/>
  <c r="P53" i="3"/>
  <c r="P8" i="3"/>
  <c r="P16" i="3"/>
  <c r="P20" i="3"/>
  <c r="P24" i="3"/>
  <c r="P28" i="3"/>
  <c r="U13" i="3"/>
  <c r="V13" i="3" s="1"/>
  <c r="X13" i="3" s="1"/>
  <c r="U17" i="3"/>
  <c r="V17" i="3" s="1"/>
  <c r="X17" i="3" s="1"/>
  <c r="U21" i="3"/>
  <c r="V21" i="3" s="1"/>
  <c r="X21" i="3" s="1"/>
  <c r="U25" i="3"/>
  <c r="V25" i="3" s="1"/>
  <c r="X25" i="3" s="1"/>
  <c r="U29" i="3"/>
  <c r="V29" i="3" s="1"/>
  <c r="X29" i="3" s="1"/>
  <c r="U33" i="3"/>
  <c r="V33" i="3" s="1"/>
  <c r="X33" i="3" s="1"/>
  <c r="U37" i="3"/>
  <c r="V37" i="3" s="1"/>
  <c r="X37" i="3" s="1"/>
  <c r="U41" i="3"/>
  <c r="V41" i="3" s="1"/>
  <c r="X41" i="3" s="1"/>
  <c r="E23" i="4"/>
  <c r="U53" i="3"/>
  <c r="V53" i="3" s="1"/>
  <c r="X53" i="3" s="1"/>
  <c r="E14" i="4"/>
  <c r="G7" i="2"/>
  <c r="E7" i="2"/>
  <c r="U7" i="3"/>
  <c r="V7" i="3" s="1"/>
  <c r="X7" i="3" s="1"/>
  <c r="E8" i="2"/>
  <c r="G8" i="2"/>
  <c r="U9" i="3"/>
  <c r="V9" i="3" s="1"/>
  <c r="X9" i="3" s="1"/>
  <c r="U10" i="3"/>
  <c r="V10" i="3" s="1"/>
  <c r="X10" i="3" s="1"/>
  <c r="AA8" i="3"/>
  <c r="AB8" i="3" s="1"/>
  <c r="Z8" i="3"/>
  <c r="E9" i="2"/>
  <c r="G9" i="2"/>
  <c r="E10" i="2"/>
  <c r="G10" i="2"/>
  <c r="E11" i="2"/>
  <c r="G11" i="2"/>
  <c r="M56" i="3"/>
  <c r="O56" i="3"/>
  <c r="Q6" i="3"/>
  <c r="E18" i="4" a="1"/>
  <c r="E18" i="4" s="1"/>
  <c r="S56" i="3"/>
  <c r="W56" i="3"/>
  <c r="Q9" i="3"/>
  <c r="Q10" i="3"/>
  <c r="U11" i="3"/>
  <c r="V11" i="3" s="1"/>
  <c r="X11" i="3" s="1"/>
  <c r="Q11" i="3"/>
  <c r="P12" i="3"/>
  <c r="U15" i="3"/>
  <c r="V15" i="3" s="1"/>
  <c r="X15" i="3" s="1"/>
  <c r="U19" i="3"/>
  <c r="V19" i="3" s="1"/>
  <c r="X19" i="3" s="1"/>
  <c r="U23" i="3"/>
  <c r="V23" i="3" s="1"/>
  <c r="X23" i="3" s="1"/>
  <c r="U27" i="3"/>
  <c r="V27" i="3" s="1"/>
  <c r="X27" i="3" s="1"/>
  <c r="U31" i="3"/>
  <c r="V31" i="3" s="1"/>
  <c r="X31" i="3" s="1"/>
  <c r="P6" i="3"/>
  <c r="E17" i="4" a="1"/>
  <c r="E17" i="4" s="1"/>
  <c r="E19" i="4" s="1"/>
  <c r="R56" i="3"/>
  <c r="T6" i="3"/>
  <c r="Q7" i="3"/>
  <c r="Q8" i="3"/>
  <c r="U12" i="3"/>
  <c r="V12" i="3" s="1"/>
  <c r="X12" i="3" s="1"/>
  <c r="AA13" i="3"/>
  <c r="AB13" i="3" s="1"/>
  <c r="Z13" i="3"/>
  <c r="AA17" i="3"/>
  <c r="AB17" i="3" s="1"/>
  <c r="Z17" i="3"/>
  <c r="AA21" i="3"/>
  <c r="AB21" i="3" s="1"/>
  <c r="Z21" i="3"/>
  <c r="AA25" i="3"/>
  <c r="AB25" i="3" s="1"/>
  <c r="Z25" i="3"/>
  <c r="AA29" i="3"/>
  <c r="AB29" i="3" s="1"/>
  <c r="Z29" i="3"/>
  <c r="AA33" i="3"/>
  <c r="AB33" i="3" s="1"/>
  <c r="Z33" i="3"/>
  <c r="Q14" i="3"/>
  <c r="U14" i="3"/>
  <c r="V14" i="3" s="1"/>
  <c r="X14" i="3" s="1"/>
  <c r="Q16" i="3"/>
  <c r="U16" i="3"/>
  <c r="V16" i="3" s="1"/>
  <c r="X16" i="3" s="1"/>
  <c r="Q18" i="3"/>
  <c r="U18" i="3"/>
  <c r="V18" i="3" s="1"/>
  <c r="X18" i="3" s="1"/>
  <c r="Q20" i="3"/>
  <c r="U20" i="3"/>
  <c r="V20" i="3" s="1"/>
  <c r="X20" i="3" s="1"/>
  <c r="Q22" i="3"/>
  <c r="U22" i="3"/>
  <c r="V22" i="3" s="1"/>
  <c r="X22" i="3" s="1"/>
  <c r="Q24" i="3"/>
  <c r="U24" i="3"/>
  <c r="V24" i="3" s="1"/>
  <c r="X24" i="3" s="1"/>
  <c r="Q26" i="3"/>
  <c r="U26" i="3"/>
  <c r="V26" i="3" s="1"/>
  <c r="X26" i="3" s="1"/>
  <c r="Q28" i="3"/>
  <c r="U28" i="3"/>
  <c r="V28" i="3" s="1"/>
  <c r="X28" i="3" s="1"/>
  <c r="Q30" i="3"/>
  <c r="U30" i="3"/>
  <c r="V30" i="3" s="1"/>
  <c r="X30" i="3" s="1"/>
  <c r="Q32" i="3"/>
  <c r="U32" i="3"/>
  <c r="V32" i="3" s="1"/>
  <c r="X32" i="3" s="1"/>
  <c r="Q34" i="3"/>
  <c r="U34" i="3"/>
  <c r="V34" i="3" s="1"/>
  <c r="X34" i="3" s="1"/>
  <c r="AA37" i="3"/>
  <c r="AB37" i="3" s="1"/>
  <c r="Z37" i="3"/>
  <c r="AA41" i="3"/>
  <c r="AB41" i="3" s="1"/>
  <c r="Z41" i="3"/>
  <c r="U45" i="3"/>
  <c r="V45" i="3" s="1"/>
  <c r="X45" i="3" s="1"/>
  <c r="Q13" i="3"/>
  <c r="Q15" i="3"/>
  <c r="Q17" i="3"/>
  <c r="Q19" i="3"/>
  <c r="Q21" i="3"/>
  <c r="Q23" i="3"/>
  <c r="Q25" i="3"/>
  <c r="Q27" i="3"/>
  <c r="Q29" i="3"/>
  <c r="Q31" i="3"/>
  <c r="Q33" i="3"/>
  <c r="Q35" i="3"/>
  <c r="U35" i="3"/>
  <c r="V35" i="3" s="1"/>
  <c r="X35" i="3" s="1"/>
  <c r="T36" i="3"/>
  <c r="G36" i="2" s="1"/>
  <c r="U39" i="3"/>
  <c r="V39" i="3" s="1"/>
  <c r="X39" i="3" s="1"/>
  <c r="U43" i="3"/>
  <c r="V43" i="3" s="1"/>
  <c r="X43" i="3" s="1"/>
  <c r="Q38" i="3"/>
  <c r="U38" i="3"/>
  <c r="V38" i="3" s="1"/>
  <c r="X38" i="3" s="1"/>
  <c r="Q40" i="3"/>
  <c r="U40" i="3"/>
  <c r="V40" i="3" s="1"/>
  <c r="X40" i="3" s="1"/>
  <c r="Q42" i="3"/>
  <c r="U42" i="3"/>
  <c r="V42" i="3" s="1"/>
  <c r="X42" i="3" s="1"/>
  <c r="Q44" i="3"/>
  <c r="U44" i="3"/>
  <c r="V44" i="3" s="1"/>
  <c r="X44" i="3" s="1"/>
  <c r="Q46" i="3"/>
  <c r="U46" i="3"/>
  <c r="V46" i="3" s="1"/>
  <c r="X46" i="3" s="1"/>
  <c r="T48" i="3"/>
  <c r="G48" i="2" s="1"/>
  <c r="U49" i="3"/>
  <c r="V49" i="3" s="1"/>
  <c r="X49" i="3" s="1"/>
  <c r="T52" i="3"/>
  <c r="G52" i="2" s="1"/>
  <c r="U55" i="3"/>
  <c r="V55" i="3" s="1"/>
  <c r="X55" i="3" s="1"/>
  <c r="Q37" i="3"/>
  <c r="Q39" i="3"/>
  <c r="Q41" i="3"/>
  <c r="Q43" i="3"/>
  <c r="Q45" i="3"/>
  <c r="U47" i="3"/>
  <c r="V47" i="3" s="1"/>
  <c r="X47" i="3" s="1"/>
  <c r="Q48" i="3"/>
  <c r="T50" i="3"/>
  <c r="G50" i="2" s="1"/>
  <c r="U51" i="3"/>
  <c r="V51" i="3" s="1"/>
  <c r="X51" i="3" s="1"/>
  <c r="Q52" i="3"/>
  <c r="Q54" i="3"/>
  <c r="U54" i="3"/>
  <c r="V54" i="3" s="1"/>
  <c r="X54" i="3" s="1"/>
  <c r="Q47" i="3"/>
  <c r="Q49" i="3"/>
  <c r="Q51" i="3"/>
  <c r="Q53" i="3"/>
  <c r="Q55" i="3"/>
  <c r="G20" i="2" l="1"/>
  <c r="E20" i="2"/>
  <c r="E45" i="2"/>
  <c r="G45" i="2"/>
  <c r="G16" i="2"/>
  <c r="E16" i="2"/>
  <c r="G15" i="2"/>
  <c r="E15" i="2"/>
  <c r="E41" i="2"/>
  <c r="G41" i="2"/>
  <c r="G28" i="2"/>
  <c r="E28" i="2"/>
  <c r="G55" i="2"/>
  <c r="E55" i="2"/>
  <c r="E37" i="2"/>
  <c r="G37" i="2"/>
  <c r="G24" i="2"/>
  <c r="E24" i="2"/>
  <c r="G53" i="2"/>
  <c r="E53" i="2"/>
  <c r="G33" i="2"/>
  <c r="E33" i="2"/>
  <c r="AA51" i="3"/>
  <c r="AB51" i="3" s="1"/>
  <c r="Z51" i="3"/>
  <c r="AA49" i="3"/>
  <c r="AB49" i="3" s="1"/>
  <c r="Z49" i="3"/>
  <c r="Z46" i="3"/>
  <c r="AA46" i="3"/>
  <c r="AB46" i="3" s="1"/>
  <c r="AA40" i="3"/>
  <c r="AB40" i="3" s="1"/>
  <c r="Z40" i="3"/>
  <c r="AA34" i="3"/>
  <c r="AB34" i="3" s="1"/>
  <c r="Z34" i="3"/>
  <c r="AA30" i="3"/>
  <c r="AB30" i="3" s="1"/>
  <c r="Z30" i="3"/>
  <c r="AA26" i="3"/>
  <c r="AB26" i="3" s="1"/>
  <c r="Z26" i="3"/>
  <c r="AA22" i="3"/>
  <c r="AB22" i="3" s="1"/>
  <c r="Z22" i="3"/>
  <c r="AA16" i="3"/>
  <c r="AB16" i="3" s="1"/>
  <c r="Z16" i="3"/>
  <c r="AC29" i="3"/>
  <c r="AD29" i="3" s="1"/>
  <c r="F29" i="2" s="1"/>
  <c r="H29" i="2"/>
  <c r="AC21" i="3"/>
  <c r="AD21" i="3" s="1"/>
  <c r="F21" i="2" s="1"/>
  <c r="H21" i="2"/>
  <c r="AC13" i="3"/>
  <c r="AD13" i="3" s="1"/>
  <c r="F13" i="2" s="1"/>
  <c r="H13" i="2"/>
  <c r="Z12" i="3"/>
  <c r="AA12" i="3"/>
  <c r="AB12" i="3" s="1"/>
  <c r="T56" i="3"/>
  <c r="AA31" i="3"/>
  <c r="AB31" i="3" s="1"/>
  <c r="Z31" i="3"/>
  <c r="AA27" i="3"/>
  <c r="AB27" i="3" s="1"/>
  <c r="Z27" i="3"/>
  <c r="AA23" i="3"/>
  <c r="AB23" i="3" s="1"/>
  <c r="Z23" i="3"/>
  <c r="AA19" i="3"/>
  <c r="AB19" i="3" s="1"/>
  <c r="Z19" i="3"/>
  <c r="AA15" i="3"/>
  <c r="AB15" i="3" s="1"/>
  <c r="Z15" i="3"/>
  <c r="E15" i="4" a="1"/>
  <c r="E15" i="4" s="1"/>
  <c r="Q56" i="3"/>
  <c r="AA9" i="3"/>
  <c r="AB9" i="3" s="1"/>
  <c r="Z9" i="3"/>
  <c r="AA54" i="3"/>
  <c r="AB54" i="3" s="1"/>
  <c r="Z54" i="3"/>
  <c r="AA53" i="3"/>
  <c r="AB53" i="3" s="1"/>
  <c r="Z53" i="3"/>
  <c r="AA44" i="3"/>
  <c r="AB44" i="3" s="1"/>
  <c r="Z44" i="3"/>
  <c r="AA43" i="3"/>
  <c r="AB43" i="3" s="1"/>
  <c r="Z43" i="3"/>
  <c r="AA39" i="3"/>
  <c r="AB39" i="3" s="1"/>
  <c r="Z39" i="3"/>
  <c r="AA35" i="3"/>
  <c r="AB35" i="3" s="1"/>
  <c r="Z35" i="3"/>
  <c r="AC37" i="3"/>
  <c r="AD37" i="3" s="1"/>
  <c r="F37" i="2" s="1"/>
  <c r="H37" i="2"/>
  <c r="AA32" i="3"/>
  <c r="AB32" i="3" s="1"/>
  <c r="Z32" i="3"/>
  <c r="AA28" i="3"/>
  <c r="AB28" i="3" s="1"/>
  <c r="Z28" i="3"/>
  <c r="AA24" i="3"/>
  <c r="AB24" i="3" s="1"/>
  <c r="Z24" i="3"/>
  <c r="AA20" i="3"/>
  <c r="AB20" i="3" s="1"/>
  <c r="Z20" i="3"/>
  <c r="AA18" i="3"/>
  <c r="AB18" i="3" s="1"/>
  <c r="Z18" i="3"/>
  <c r="AA14" i="3"/>
  <c r="AB14" i="3" s="1"/>
  <c r="Z14" i="3"/>
  <c r="U50" i="3"/>
  <c r="V50" i="3" s="1"/>
  <c r="X50" i="3" s="1"/>
  <c r="AA47" i="3"/>
  <c r="AB47" i="3" s="1"/>
  <c r="Z47" i="3"/>
  <c r="AA55" i="3"/>
  <c r="AB55" i="3" s="1"/>
  <c r="Z55" i="3"/>
  <c r="U52" i="3"/>
  <c r="V52" i="3" s="1"/>
  <c r="X52" i="3" s="1"/>
  <c r="U48" i="3"/>
  <c r="V48" i="3" s="1"/>
  <c r="X48" i="3" s="1"/>
  <c r="AA42" i="3"/>
  <c r="AB42" i="3" s="1"/>
  <c r="Z42" i="3"/>
  <c r="AA38" i="3"/>
  <c r="AB38" i="3" s="1"/>
  <c r="Z38" i="3"/>
  <c r="U36" i="3"/>
  <c r="V36" i="3" s="1"/>
  <c r="X36" i="3" s="1"/>
  <c r="AA45" i="3"/>
  <c r="AB45" i="3" s="1"/>
  <c r="Z45" i="3"/>
  <c r="AC41" i="3"/>
  <c r="AD41" i="3" s="1"/>
  <c r="F41" i="2" s="1"/>
  <c r="H41" i="2"/>
  <c r="AC33" i="3"/>
  <c r="AD33" i="3" s="1"/>
  <c r="F33" i="2" s="1"/>
  <c r="H33" i="2"/>
  <c r="AC25" i="3"/>
  <c r="AD25" i="3" s="1"/>
  <c r="F25" i="2" s="1"/>
  <c r="H25" i="2"/>
  <c r="AC17" i="3"/>
  <c r="AD17" i="3" s="1"/>
  <c r="F17" i="2" s="1"/>
  <c r="H17" i="2"/>
  <c r="P56" i="3"/>
  <c r="G6" i="2"/>
  <c r="E6" i="2"/>
  <c r="E56" i="2" s="1"/>
  <c r="D57" i="2" s="1"/>
  <c r="E12" i="2"/>
  <c r="G12" i="2"/>
  <c r="AA11" i="3"/>
  <c r="AB11" i="3" s="1"/>
  <c r="Z11" i="3"/>
  <c r="U6" i="3"/>
  <c r="AM8" i="3"/>
  <c r="AC8" i="3"/>
  <c r="AD8" i="3" s="1"/>
  <c r="F8" i="2" s="1"/>
  <c r="AN8" i="3"/>
  <c r="H8" i="2"/>
  <c r="AA10" i="3"/>
  <c r="AB10" i="3" s="1"/>
  <c r="Z10" i="3"/>
  <c r="AA7" i="3"/>
  <c r="AB7" i="3" s="1"/>
  <c r="Z7" i="3"/>
  <c r="AC42" i="3" l="1"/>
  <c r="AD42" i="3" s="1"/>
  <c r="F42" i="2" s="1"/>
  <c r="H42" i="2"/>
  <c r="AC55" i="3"/>
  <c r="AD55" i="3" s="1"/>
  <c r="F55" i="2" s="1"/>
  <c r="H55" i="2"/>
  <c r="Z50" i="3"/>
  <c r="AA50" i="3"/>
  <c r="AB50" i="3" s="1"/>
  <c r="AN7" i="3"/>
  <c r="AC7" i="3"/>
  <c r="AD7" i="3" s="1"/>
  <c r="F7" i="2" s="1"/>
  <c r="H7" i="2"/>
  <c r="AN10" i="3"/>
  <c r="AC10" i="3"/>
  <c r="AD10" i="3" s="1"/>
  <c r="F10" i="2" s="1"/>
  <c r="H10" i="2"/>
  <c r="U56" i="3"/>
  <c r="V6" i="3"/>
  <c r="X6" i="3" s="1"/>
  <c r="G56" i="2"/>
  <c r="AC45" i="3"/>
  <c r="AD45" i="3" s="1"/>
  <c r="F45" i="2" s="1"/>
  <c r="H45" i="2"/>
  <c r="Z36" i="3"/>
  <c r="AA36" i="3"/>
  <c r="AB36" i="3" s="1"/>
  <c r="AA52" i="3"/>
  <c r="AB52" i="3" s="1"/>
  <c r="Z52" i="3"/>
  <c r="AC14" i="3"/>
  <c r="AD14" i="3" s="1"/>
  <c r="F14" i="2" s="1"/>
  <c r="H14" i="2"/>
  <c r="AC18" i="3"/>
  <c r="AD18" i="3" s="1"/>
  <c r="F18" i="2" s="1"/>
  <c r="H18" i="2"/>
  <c r="AC20" i="3"/>
  <c r="AD20" i="3" s="1"/>
  <c r="F20" i="2" s="1"/>
  <c r="H20" i="2"/>
  <c r="AC24" i="3"/>
  <c r="AD24" i="3" s="1"/>
  <c r="F24" i="2" s="1"/>
  <c r="H24" i="2"/>
  <c r="AC28" i="3"/>
  <c r="AD28" i="3" s="1"/>
  <c r="F28" i="2" s="1"/>
  <c r="H28" i="2"/>
  <c r="AC32" i="3"/>
  <c r="AD32" i="3" s="1"/>
  <c r="F32" i="2" s="1"/>
  <c r="H32" i="2"/>
  <c r="AC35" i="3"/>
  <c r="AD35" i="3" s="1"/>
  <c r="F35" i="2" s="1"/>
  <c r="H35" i="2"/>
  <c r="AC39" i="3"/>
  <c r="AD39" i="3" s="1"/>
  <c r="F39" i="2" s="1"/>
  <c r="H39" i="2"/>
  <c r="AC43" i="3"/>
  <c r="AD43" i="3" s="1"/>
  <c r="F43" i="2" s="1"/>
  <c r="H43" i="2"/>
  <c r="AC44" i="3"/>
  <c r="AD44" i="3" s="1"/>
  <c r="F44" i="2" s="1"/>
  <c r="H44" i="2"/>
  <c r="AC53" i="3"/>
  <c r="AD53" i="3" s="1"/>
  <c r="F53" i="2" s="1"/>
  <c r="H53" i="2"/>
  <c r="AC54" i="3"/>
  <c r="AD54" i="3" s="1"/>
  <c r="F54" i="2" s="1"/>
  <c r="H54" i="2"/>
  <c r="AN9" i="3"/>
  <c r="AC9" i="3"/>
  <c r="AD9" i="3" s="1"/>
  <c r="F9" i="2" s="1"/>
  <c r="AA3" i="3"/>
  <c r="H9" i="2"/>
  <c r="AC15" i="3"/>
  <c r="AD15" i="3" s="1"/>
  <c r="F15" i="2" s="1"/>
  <c r="H15" i="2"/>
  <c r="AC19" i="3"/>
  <c r="AD19" i="3" s="1"/>
  <c r="F19" i="2" s="1"/>
  <c r="H19" i="2"/>
  <c r="AC23" i="3"/>
  <c r="AD23" i="3" s="1"/>
  <c r="F23" i="2" s="1"/>
  <c r="H23" i="2"/>
  <c r="AC27" i="3"/>
  <c r="AD27" i="3" s="1"/>
  <c r="F27" i="2" s="1"/>
  <c r="H27" i="2"/>
  <c r="AC31" i="3"/>
  <c r="AD31" i="3" s="1"/>
  <c r="F31" i="2" s="1"/>
  <c r="H31" i="2"/>
  <c r="AC16" i="3"/>
  <c r="AD16" i="3" s="1"/>
  <c r="F16" i="2" s="1"/>
  <c r="H16" i="2"/>
  <c r="AC22" i="3"/>
  <c r="AD22" i="3" s="1"/>
  <c r="F22" i="2" s="1"/>
  <c r="H22" i="2"/>
  <c r="AC26" i="3"/>
  <c r="AD26" i="3" s="1"/>
  <c r="F26" i="2" s="1"/>
  <c r="H26" i="2"/>
  <c r="AC30" i="3"/>
  <c r="AD30" i="3" s="1"/>
  <c r="F30" i="2" s="1"/>
  <c r="H30" i="2"/>
  <c r="AC34" i="3"/>
  <c r="AD34" i="3" s="1"/>
  <c r="F34" i="2" s="1"/>
  <c r="H34" i="2"/>
  <c r="AC40" i="3"/>
  <c r="AD40" i="3" s="1"/>
  <c r="F40" i="2" s="1"/>
  <c r="H40" i="2"/>
  <c r="AC49" i="3"/>
  <c r="AD49" i="3" s="1"/>
  <c r="F49" i="2" s="1"/>
  <c r="H49" i="2"/>
  <c r="AC51" i="3"/>
  <c r="AD51" i="3" s="1"/>
  <c r="F51" i="2" s="1"/>
  <c r="H51" i="2"/>
  <c r="AC11" i="3"/>
  <c r="AD11" i="3" s="1"/>
  <c r="F11" i="2" s="1"/>
  <c r="H11" i="2"/>
  <c r="AC38" i="3"/>
  <c r="AD38" i="3" s="1"/>
  <c r="F38" i="2" s="1"/>
  <c r="H38" i="2"/>
  <c r="AA48" i="3"/>
  <c r="AB48" i="3" s="1"/>
  <c r="Z48" i="3"/>
  <c r="AC47" i="3"/>
  <c r="AD47" i="3" s="1"/>
  <c r="F47" i="2" s="1"/>
  <c r="H47" i="2"/>
  <c r="AC12" i="3"/>
  <c r="AD12" i="3" s="1"/>
  <c r="F12" i="2" s="1"/>
  <c r="H12" i="2"/>
  <c r="AC46" i="3"/>
  <c r="AD46" i="3" s="1"/>
  <c r="F46" i="2" s="1"/>
  <c r="H46" i="2"/>
  <c r="AC48" i="3" l="1"/>
  <c r="AD48" i="3" s="1"/>
  <c r="F48" i="2" s="1"/>
  <c r="H48" i="2"/>
  <c r="AC52" i="3"/>
  <c r="AD52" i="3" s="1"/>
  <c r="F52" i="2" s="1"/>
  <c r="H52" i="2"/>
  <c r="AC50" i="3"/>
  <c r="AD50" i="3" s="1"/>
  <c r="F50" i="2" s="1"/>
  <c r="H50" i="2"/>
  <c r="AC36" i="3"/>
  <c r="AD36" i="3" s="1"/>
  <c r="F36" i="2" s="1"/>
  <c r="H36" i="2"/>
  <c r="V56" i="3"/>
  <c r="X56" i="3" l="1"/>
  <c r="AA6" i="3"/>
  <c r="AB6" i="3" s="1"/>
  <c r="Y56" i="3" l="1"/>
  <c r="Z6" i="3"/>
  <c r="E25" i="4" l="1" a="1"/>
  <c r="E25" i="4" s="1"/>
  <c r="E27" i="4" s="1"/>
  <c r="E29" i="4" s="1"/>
  <c r="Z56" i="3"/>
  <c r="AN6" i="3"/>
  <c r="AN56" i="3" s="1"/>
  <c r="AM6" i="3"/>
  <c r="AM56" i="3" s="1"/>
  <c r="AC6" i="3"/>
  <c r="H6" i="2"/>
  <c r="H56" i="2" s="1"/>
  <c r="AC56" i="3" l="1"/>
  <c r="AD6" i="3"/>
  <c r="AD56" i="3" l="1"/>
  <c r="F6" i="2"/>
  <c r="F56" i="2" s="1"/>
  <c r="F57" i="2" s="1"/>
  <c r="D58" i="2" s="1"/>
</calcChain>
</file>

<file path=xl/sharedStrings.xml><?xml version="1.0" encoding="utf-8"?>
<sst xmlns="http://schemas.openxmlformats.org/spreadsheetml/2006/main" count="81" uniqueCount="67">
  <si>
    <t>HOME</t>
  </si>
  <si>
    <t>تحليل المرتبات .... لشهر فبراير 2019</t>
  </si>
  <si>
    <t>المدين</t>
  </si>
  <si>
    <t>الدائن</t>
  </si>
  <si>
    <t>الأسم</t>
  </si>
  <si>
    <t>الراتب</t>
  </si>
  <si>
    <t>مصروف التأمينات</t>
  </si>
  <si>
    <t>المستحق للموظف</t>
  </si>
  <si>
    <t>استحقاق التأمينات</t>
  </si>
  <si>
    <t>استحقاق الضرائب</t>
  </si>
  <si>
    <t>السلف</t>
  </si>
  <si>
    <t>الجزاءات</t>
  </si>
  <si>
    <t>التامينات دروسوس</t>
  </si>
  <si>
    <t>مرتبات دروسوس</t>
  </si>
  <si>
    <t>إجمالي الشرائح</t>
  </si>
  <si>
    <t>ض</t>
  </si>
  <si>
    <t>ص</t>
  </si>
  <si>
    <t>ت</t>
  </si>
  <si>
    <t>كشف حساب مرتبات العاملين  -  2019</t>
  </si>
  <si>
    <t xml:space="preserve">كود </t>
  </si>
  <si>
    <t>اسم الموظف</t>
  </si>
  <si>
    <t>الرقم التأميني</t>
  </si>
  <si>
    <t>الوظيفة</t>
  </si>
  <si>
    <t>عدد أيام العمل 
الشهرية</t>
  </si>
  <si>
    <t>الأستقطاعات</t>
  </si>
  <si>
    <t>الراتب الشهري</t>
  </si>
  <si>
    <t>المستحق خلال
الشهر</t>
  </si>
  <si>
    <t>حصة الشركة بالتأمينات</t>
  </si>
  <si>
    <t>أجمالي ما تتحملة الشركة</t>
  </si>
  <si>
    <t>التامينات - حصة العامل</t>
  </si>
  <si>
    <t>صافي الوعاء</t>
  </si>
  <si>
    <t>يحول لسنوي
 وخصم كسر 10ج</t>
  </si>
  <si>
    <t>الأعفاءات</t>
  </si>
  <si>
    <t>وعاء
 الضريبه السنوي</t>
  </si>
  <si>
    <t>ضريبة كسب 
العمل السنوية</t>
  </si>
  <si>
    <t>الضريبة الشهرية
 المستحقة</t>
  </si>
  <si>
    <t>الشريحه التى يقع
 فيها الموظف</t>
  </si>
  <si>
    <t>نسبة الخصم</t>
  </si>
  <si>
    <t>أجمالي المستقطع</t>
  </si>
  <si>
    <t>صافي الراتب</t>
  </si>
  <si>
    <t>جزاءات</t>
  </si>
  <si>
    <t>أضافي
(خارج مبلغ التأمين)
مبلغ بأجمالي الشهر</t>
  </si>
  <si>
    <t>بدلات
(خارج مبلغ التامين)</t>
  </si>
  <si>
    <t>أساسي</t>
  </si>
  <si>
    <t>متغير</t>
  </si>
  <si>
    <t>الأجمالي</t>
  </si>
  <si>
    <t>أجمالي التامينات</t>
  </si>
  <si>
    <t>موظف 1</t>
  </si>
  <si>
    <t xml:space="preserve">مدير </t>
  </si>
  <si>
    <t>موظف 2</t>
  </si>
  <si>
    <t>مشرف مواقع</t>
  </si>
  <si>
    <t>موظف 3</t>
  </si>
  <si>
    <t>أمين صندوق</t>
  </si>
  <si>
    <r>
      <rPr>
        <b/>
        <sz val="14"/>
        <color theme="1"/>
        <rFont val="Andalus"/>
      </rPr>
      <t xml:space="preserve">شركة ارابيان للمقاولات العامة
</t>
    </r>
    <r>
      <rPr>
        <sz val="16"/>
        <color theme="1"/>
        <rFont val="Andalus"/>
      </rPr>
      <t>الإدارة المالية</t>
    </r>
  </si>
  <si>
    <t xml:space="preserve">كشف الراتب لشهر فبراير - 2019  </t>
  </si>
  <si>
    <t>عدد ايام العمل</t>
  </si>
  <si>
    <t>الأساسي</t>
  </si>
  <si>
    <t>المتغير</t>
  </si>
  <si>
    <t>بدلات</t>
  </si>
  <si>
    <t>المستحق خلال الشهر</t>
  </si>
  <si>
    <t>التأمينات 
( حصة العامل )</t>
  </si>
  <si>
    <t>جزاءات وتأخيرات</t>
  </si>
  <si>
    <t>سلف</t>
  </si>
  <si>
    <t>الضريبة الشهرية</t>
  </si>
  <si>
    <t>صافي الراتب الشهري</t>
  </si>
  <si>
    <t>أستلمت انا / ................................... الراتب المستحق لشهر فبراير 2019</t>
  </si>
  <si>
    <t>التاريخ : ..../..../..........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</si>
</sst>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.00_);_(* \(#,##0.00\);_(* &quot;-&quot;??_);_(@_)"/>
    <numFmt numFmtId="165" formatCode="#"/>
    <numFmt numFmtId="166" formatCode="_-* #,##0.00_-;_-* #,##0.00\-;_-* &quot;-&quot;??_-;_-@"/>
    <numFmt numFmtId="167" formatCode="_-* #,##0_-;_-* #,##0\-;_-* &quot;-&quot;??_-;_-@"/>
    <numFmt numFmtId="168" formatCode="0.0%"/>
  </numFmts>
  <fonts count="15" x14ac:knownFonts="1">
    <font>
      <sz val="11"/>
      <color theme="1"/>
      <name val="Arial"/>
    </font>
    <font>
      <sz val="11"/>
      <color rgb="FF000000"/>
      <name val="Arial"/>
    </font>
    <font>
      <b/>
      <sz val="14"/>
      <color theme="1"/>
      <name val="Calibri"/>
    </font>
    <font>
      <sz val="11"/>
      <name val="Arial"/>
    </font>
    <font>
      <b/>
      <sz val="18"/>
      <color theme="1"/>
      <name val="Calibri"/>
    </font>
    <font>
      <b/>
      <sz val="11"/>
      <color theme="1"/>
      <name val="Calibri"/>
    </font>
    <font>
      <b/>
      <sz val="12"/>
      <color theme="1"/>
      <name val="Calibri"/>
    </font>
    <font>
      <sz val="11"/>
      <color theme="1"/>
      <name val="Calibri"/>
    </font>
    <font>
      <b/>
      <sz val="20"/>
      <color theme="1"/>
      <name val="Calibri"/>
    </font>
    <font>
      <sz val="11"/>
      <color theme="1"/>
      <name val="Calibri"/>
    </font>
    <font>
      <b/>
      <sz val="16"/>
      <color theme="1"/>
      <name val="Calibri"/>
    </font>
    <font>
      <b/>
      <sz val="9"/>
      <color theme="1"/>
      <name val="Calibri"/>
    </font>
    <font>
      <sz val="14"/>
      <color theme="1"/>
      <name val="Calibri"/>
    </font>
    <font>
      <b/>
      <sz val="14"/>
      <color theme="1"/>
      <name val="Andalus"/>
    </font>
    <font>
      <sz val="16"/>
      <color theme="1"/>
      <name val="Andalus"/>
    </font>
  </fonts>
  <fills count="13">
    <fill>
      <patternFill patternType="none"/>
    </fill>
    <fill>
      <patternFill patternType="gray125"/>
    </fill>
    <fill>
      <patternFill patternType="solid">
        <fgColor rgb="FFF4B083"/>
        <bgColor rgb="FFF4B083"/>
      </patternFill>
    </fill>
    <fill>
      <patternFill patternType="solid">
        <fgColor rgb="FFFFD965"/>
        <bgColor rgb="FFFFD965"/>
      </patternFill>
    </fill>
    <fill>
      <patternFill patternType="solid">
        <fgColor rgb="FFFBE4D5"/>
        <bgColor rgb="FFFBE4D5"/>
      </patternFill>
    </fill>
    <fill>
      <patternFill patternType="solid">
        <fgColor rgb="FFFFE598"/>
        <bgColor rgb="FFFFE598"/>
      </patternFill>
    </fill>
    <fill>
      <patternFill patternType="solid">
        <fgColor rgb="FFF7CAAC"/>
        <bgColor rgb="FFF7CAAC"/>
      </patternFill>
    </fill>
    <fill>
      <patternFill patternType="solid">
        <fgColor rgb="FF7B7B7B"/>
        <bgColor rgb="FF7B7B7B"/>
      </patternFill>
    </fill>
    <fill>
      <patternFill patternType="solid">
        <fgColor rgb="FFC5E0B3"/>
        <bgColor rgb="FFC5E0B3"/>
      </patternFill>
    </fill>
    <fill>
      <patternFill patternType="solid">
        <fgColor rgb="FFDADADA"/>
        <bgColor rgb="FFDADADA"/>
      </patternFill>
    </fill>
    <fill>
      <patternFill patternType="solid">
        <fgColor rgb="FF9CC2E5"/>
        <bgColor rgb="FF9CC2E5"/>
      </patternFill>
    </fill>
    <fill>
      <patternFill patternType="solid">
        <fgColor rgb="FFA8D08D"/>
        <bgColor rgb="FFA8D08D"/>
      </patternFill>
    </fill>
    <fill>
      <patternFill patternType="solid">
        <fgColor rgb="FFE2EFD9"/>
        <bgColor rgb="FFE2EFD9"/>
      </patternFill>
    </fill>
  </fills>
  <borders count="62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1E4E79"/>
      </left>
      <right style="thin">
        <color rgb="FF1E4E79"/>
      </right>
      <top/>
      <bottom style="thin">
        <color rgb="FF1E4E79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1E4E79"/>
      </left>
      <right style="thin">
        <color rgb="FF1E4E79"/>
      </right>
      <top style="thin">
        <color rgb="FF1E4E79"/>
      </top>
      <bottom/>
      <diagonal/>
    </border>
    <border>
      <left style="thin">
        <color rgb="FF1E4E79"/>
      </left>
      <right/>
      <top style="thin">
        <color rgb="FF1E4E79"/>
      </top>
      <bottom style="thin">
        <color rgb="FF1E4E79"/>
      </bottom>
      <diagonal/>
    </border>
    <border>
      <left/>
      <right style="thin">
        <color rgb="FF1E4E79"/>
      </right>
      <top style="thin">
        <color rgb="FF1E4E79"/>
      </top>
      <bottom style="thin">
        <color rgb="FF1E4E79"/>
      </bottom>
      <diagonal/>
    </border>
    <border>
      <left/>
      <right/>
      <top style="thin">
        <color rgb="FF1E4E79"/>
      </top>
      <bottom style="thin">
        <color rgb="FF1E4E79"/>
      </bottom>
      <diagonal/>
    </border>
    <border>
      <left/>
      <right/>
      <top style="thin">
        <color rgb="FF1E4E79"/>
      </top>
      <bottom style="thin">
        <color rgb="FF1E4E79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1E4E79"/>
      </left>
      <right style="thin">
        <color rgb="FF1E4E79"/>
      </right>
      <top style="thin">
        <color theme="4"/>
      </top>
      <bottom/>
      <diagonal/>
    </border>
    <border>
      <left style="thin">
        <color rgb="FF1E4E79"/>
      </left>
      <right/>
      <top style="thin">
        <color rgb="FF1E4E79"/>
      </top>
      <bottom/>
      <diagonal/>
    </border>
    <border>
      <left style="thin">
        <color theme="4"/>
      </left>
      <right style="thin">
        <color rgb="FF1E4E79"/>
      </right>
      <top style="thin">
        <color theme="4"/>
      </top>
      <bottom/>
      <diagonal/>
    </border>
    <border>
      <left style="thin">
        <color rgb="FF1E4E79"/>
      </left>
      <right style="thin">
        <color theme="4"/>
      </right>
      <top style="thin">
        <color theme="4"/>
      </top>
      <bottom/>
      <diagonal/>
    </border>
    <border>
      <left style="thin">
        <color rgb="FF1E4E79"/>
      </left>
      <right style="thin">
        <color rgb="FF1E4E79"/>
      </right>
      <top style="thin">
        <color rgb="FF1E4E79"/>
      </top>
      <bottom style="thin">
        <color rgb="FF1E4E79"/>
      </bottom>
      <diagonal/>
    </border>
    <border>
      <left style="thin">
        <color rgb="FF1E4E79"/>
      </left>
      <right style="thin">
        <color rgb="FF1E4E79"/>
      </right>
      <top style="thin">
        <color rgb="FF1E4E79"/>
      </top>
      <bottom/>
      <diagonal/>
    </border>
    <border>
      <left style="thin">
        <color rgb="FF1E4E79"/>
      </left>
      <right/>
      <top style="thin">
        <color rgb="FF1E4E79"/>
      </top>
      <bottom/>
      <diagonal/>
    </border>
    <border>
      <left style="thin">
        <color rgb="FF1E4E79"/>
      </left>
      <right/>
      <top style="thin">
        <color rgb="FF1E4E79"/>
      </top>
      <bottom style="thin">
        <color rgb="FF1E4E79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1E4E79"/>
      </left>
      <right style="thin">
        <color rgb="FF1E4E79"/>
      </right>
      <top/>
      <bottom style="thin">
        <color theme="4"/>
      </bottom>
      <diagonal/>
    </border>
    <border>
      <left style="thin">
        <color rgb="FF1E4E79"/>
      </left>
      <right/>
      <top/>
      <bottom style="thin">
        <color rgb="FF1E4E79"/>
      </bottom>
      <diagonal/>
    </border>
    <border>
      <left style="thin">
        <color theme="4"/>
      </left>
      <right style="thin">
        <color rgb="FF1E4E79"/>
      </right>
      <top/>
      <bottom style="thin">
        <color theme="4"/>
      </bottom>
      <diagonal/>
    </border>
    <border>
      <left style="thin">
        <color rgb="FF1E4E79"/>
      </left>
      <right style="thin">
        <color theme="4"/>
      </right>
      <top/>
      <bottom style="thin">
        <color theme="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1E4E79"/>
      </left>
      <right style="medium">
        <color rgb="FF1E4E79"/>
      </right>
      <top style="medium">
        <color rgb="FF1E4E79"/>
      </top>
      <bottom/>
      <diagonal/>
    </border>
    <border>
      <left style="medium">
        <color rgb="FF1E4E79"/>
      </left>
      <right style="medium">
        <color rgb="FF1E4E79"/>
      </right>
      <top style="medium">
        <color rgb="FF1E4E79"/>
      </top>
      <bottom style="medium">
        <color rgb="FF1E4E79"/>
      </bottom>
      <diagonal/>
    </border>
    <border>
      <left style="medium">
        <color rgb="FF1E4E79"/>
      </left>
      <right style="medium">
        <color rgb="FF1E4E79"/>
      </right>
      <top/>
      <bottom/>
      <diagonal/>
    </border>
    <border>
      <left style="medium">
        <color rgb="FF1E4E79"/>
      </left>
      <right style="medium">
        <color rgb="FF1E4E79"/>
      </right>
      <top/>
      <bottom/>
      <diagonal/>
    </border>
    <border>
      <left style="medium">
        <color rgb="FF1E4E79"/>
      </left>
      <right/>
      <top style="medium">
        <color rgb="FF1E4E79"/>
      </top>
      <bottom style="medium">
        <color rgb="FF1E4E79"/>
      </bottom>
      <diagonal/>
    </border>
    <border>
      <left/>
      <right style="medium">
        <color rgb="FF1E4E79"/>
      </right>
      <top style="medium">
        <color rgb="FF1E4E79"/>
      </top>
      <bottom style="medium">
        <color rgb="FF1E4E79"/>
      </bottom>
      <diagonal/>
    </border>
    <border>
      <left style="medium">
        <color rgb="FF1E4E79"/>
      </left>
      <right style="medium">
        <color rgb="FF1E4E79"/>
      </right>
      <top/>
      <bottom style="medium">
        <color rgb="FF1E4E7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7">
    <xf numFmtId="0" fontId="0" fillId="0" borderId="0" xfId="0" applyFont="1" applyAlignment="1"/>
    <xf numFmtId="0" fontId="1" fillId="0" borderId="0" xfId="0" applyFont="1"/>
    <xf numFmtId="0" fontId="2" fillId="0" borderId="0" xfId="0" applyFont="1" applyAlignment="1">
      <alignment horizontal="center"/>
    </xf>
    <xf numFmtId="165" fontId="5" fillId="3" borderId="4" xfId="0" applyNumberFormat="1" applyFont="1" applyFill="1" applyBorder="1" applyAlignment="1">
      <alignment horizontal="center" vertical="center"/>
    </xf>
    <xf numFmtId="165" fontId="5" fillId="3" borderId="4" xfId="0" applyNumberFormat="1" applyFont="1" applyFill="1" applyBorder="1" applyAlignment="1">
      <alignment horizontal="center" vertical="center"/>
    </xf>
    <xf numFmtId="166" fontId="6" fillId="2" borderId="4" xfId="0" applyNumberFormat="1" applyFont="1" applyFill="1" applyBorder="1" applyAlignment="1">
      <alignment horizontal="center" vertical="center"/>
    </xf>
    <xf numFmtId="166" fontId="7" fillId="0" borderId="0" xfId="0" applyNumberFormat="1" applyFont="1"/>
    <xf numFmtId="165" fontId="5" fillId="0" borderId="5" xfId="0" applyNumberFormat="1" applyFont="1" applyBorder="1" applyAlignment="1">
      <alignment horizontal="center" vertical="center"/>
    </xf>
    <xf numFmtId="166" fontId="5" fillId="4" borderId="6" xfId="0" applyNumberFormat="1" applyFont="1" applyFill="1" applyBorder="1" applyAlignment="1">
      <alignment horizontal="center" vertical="center"/>
    </xf>
    <xf numFmtId="166" fontId="5" fillId="4" borderId="7" xfId="0" applyNumberFormat="1" applyFont="1" applyFill="1" applyBorder="1" applyAlignment="1">
      <alignment horizontal="center" vertical="center"/>
    </xf>
    <xf numFmtId="166" fontId="5" fillId="5" borderId="6" xfId="0" applyNumberFormat="1" applyFont="1" applyFill="1" applyBorder="1" applyAlignment="1">
      <alignment horizontal="center" vertical="center"/>
    </xf>
    <xf numFmtId="166" fontId="5" fillId="5" borderId="8" xfId="0" applyNumberFormat="1" applyFont="1" applyFill="1" applyBorder="1" applyAlignment="1">
      <alignment horizontal="center" vertical="center"/>
    </xf>
    <xf numFmtId="167" fontId="5" fillId="0" borderId="11" xfId="0" applyNumberFormat="1" applyFont="1" applyBorder="1" applyAlignment="1">
      <alignment horizontal="center" vertical="center"/>
    </xf>
    <xf numFmtId="166" fontId="5" fillId="0" borderId="11" xfId="0" applyNumberFormat="1" applyFont="1" applyBorder="1" applyAlignment="1">
      <alignment horizontal="center" vertical="center"/>
    </xf>
    <xf numFmtId="166" fontId="2" fillId="2" borderId="4" xfId="0" applyNumberFormat="1" applyFont="1" applyFill="1" applyBorder="1"/>
    <xf numFmtId="166" fontId="2" fillId="3" borderId="4" xfId="0" applyNumberFormat="1" applyFont="1" applyFill="1" applyBorder="1"/>
    <xf numFmtId="166" fontId="8" fillId="7" borderId="19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9" fillId="0" borderId="0" xfId="0" applyFont="1" applyAlignment="1"/>
    <xf numFmtId="164" fontId="7" fillId="0" borderId="0" xfId="0" applyNumberFormat="1" applyFont="1"/>
    <xf numFmtId="164" fontId="5" fillId="3" borderId="19" xfId="0" applyNumberFormat="1" applyFont="1" applyFill="1" applyBorder="1"/>
    <xf numFmtId="0" fontId="5" fillId="3" borderId="19" xfId="0" applyFont="1" applyFill="1" applyBorder="1"/>
    <xf numFmtId="166" fontId="5" fillId="0" borderId="0" xfId="0" applyNumberFormat="1" applyFont="1"/>
    <xf numFmtId="166" fontId="10" fillId="3" borderId="19" xfId="0" applyNumberFormat="1" applyFont="1" applyFill="1" applyBorder="1"/>
    <xf numFmtId="0" fontId="7" fillId="0" borderId="0" xfId="0" applyFont="1" applyAlignment="1">
      <alignment horizontal="center" vertical="center"/>
    </xf>
    <xf numFmtId="166" fontId="7" fillId="0" borderId="0" xfId="0" applyNumberFormat="1" applyFont="1" applyAlignment="1">
      <alignment horizontal="center" vertical="center"/>
    </xf>
    <xf numFmtId="0" fontId="6" fillId="9" borderId="39" xfId="0" applyFont="1" applyFill="1" applyBorder="1" applyAlignment="1">
      <alignment horizontal="center" vertical="center"/>
    </xf>
    <xf numFmtId="0" fontId="5" fillId="9" borderId="40" xfId="0" applyFont="1" applyFill="1" applyBorder="1" applyAlignment="1">
      <alignment horizontal="center" vertical="center" wrapText="1"/>
    </xf>
    <xf numFmtId="166" fontId="5" fillId="9" borderId="40" xfId="0" applyNumberFormat="1" applyFont="1" applyFill="1" applyBorder="1" applyAlignment="1">
      <alignment horizontal="center" vertical="center" wrapText="1"/>
    </xf>
    <xf numFmtId="0" fontId="2" fillId="9" borderId="40" xfId="0" applyFont="1" applyFill="1" applyBorder="1" applyAlignment="1">
      <alignment horizontal="center" vertical="center"/>
    </xf>
    <xf numFmtId="0" fontId="2" fillId="9" borderId="41" xfId="0" applyFont="1" applyFill="1" applyBorder="1" applyAlignment="1">
      <alignment horizontal="center" vertical="center"/>
    </xf>
    <xf numFmtId="0" fontId="2" fillId="9" borderId="42" xfId="0" applyFont="1" applyFill="1" applyBorder="1" applyAlignment="1">
      <alignment horizontal="center" vertical="center"/>
    </xf>
    <xf numFmtId="0" fontId="2" fillId="9" borderId="43" xfId="0" applyFont="1" applyFill="1" applyBorder="1" applyAlignment="1">
      <alignment horizontal="center" vertical="center"/>
    </xf>
    <xf numFmtId="0" fontId="2" fillId="9" borderId="39" xfId="0" applyFont="1" applyFill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166" fontId="5" fillId="0" borderId="39" xfId="0" applyNumberFormat="1" applyFont="1" applyBorder="1" applyAlignment="1">
      <alignment horizontal="center" vertical="center"/>
    </xf>
    <xf numFmtId="168" fontId="5" fillId="0" borderId="11" xfId="0" applyNumberFormat="1" applyFont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6" fontId="2" fillId="10" borderId="19" xfId="0" applyNumberFormat="1" applyFont="1" applyFill="1" applyBorder="1" applyAlignment="1">
      <alignment horizontal="center" vertical="center"/>
    </xf>
    <xf numFmtId="0" fontId="12" fillId="0" borderId="0" xfId="0" applyFont="1"/>
    <xf numFmtId="0" fontId="2" fillId="5" borderId="51" xfId="0" applyFont="1" applyFill="1" applyBorder="1" applyAlignment="1">
      <alignment horizontal="center"/>
    </xf>
    <xf numFmtId="0" fontId="2" fillId="0" borderId="51" xfId="0" applyFont="1" applyBorder="1" applyAlignment="1">
      <alignment horizontal="center"/>
    </xf>
    <xf numFmtId="0" fontId="2" fillId="0" borderId="0" xfId="0" applyFont="1"/>
    <xf numFmtId="0" fontId="2" fillId="12" borderId="53" xfId="0" applyFont="1" applyFill="1" applyBorder="1" applyAlignment="1">
      <alignment horizontal="center" vertical="center"/>
    </xf>
    <xf numFmtId="0" fontId="2" fillId="12" borderId="53" xfId="0" applyFont="1" applyFill="1" applyBorder="1" applyAlignment="1">
      <alignment horizontal="center" vertical="center"/>
    </xf>
    <xf numFmtId="166" fontId="12" fillId="12" borderId="53" xfId="0" applyNumberFormat="1" applyFont="1" applyFill="1" applyBorder="1" applyAlignment="1">
      <alignment horizontal="center" vertical="center"/>
    </xf>
    <xf numFmtId="164" fontId="12" fillId="0" borderId="0" xfId="0" applyNumberFormat="1" applyFont="1" applyAlignment="1">
      <alignment horizontal="center"/>
    </xf>
    <xf numFmtId="166" fontId="12" fillId="0" borderId="0" xfId="0" applyNumberFormat="1" applyFont="1"/>
    <xf numFmtId="0" fontId="12" fillId="0" borderId="0" xfId="0" applyFont="1" applyAlignment="1">
      <alignment horizontal="center"/>
    </xf>
    <xf numFmtId="166" fontId="12" fillId="8" borderId="53" xfId="0" applyNumberFormat="1" applyFont="1" applyFill="1" applyBorder="1" applyAlignment="1">
      <alignment horizontal="center" vertical="center"/>
    </xf>
    <xf numFmtId="166" fontId="12" fillId="11" borderId="53" xfId="0" applyNumberFormat="1" applyFont="1" applyFill="1" applyBorder="1" applyAlignment="1">
      <alignment horizontal="center" vertical="center"/>
    </xf>
    <xf numFmtId="166" fontId="12" fillId="6" borderId="53" xfId="0" applyNumberFormat="1" applyFont="1" applyFill="1" applyBorder="1" applyAlignment="1">
      <alignment horizontal="center" vertical="center"/>
    </xf>
    <xf numFmtId="166" fontId="12" fillId="11" borderId="53" xfId="0" applyNumberFormat="1" applyFont="1" applyFill="1" applyBorder="1"/>
    <xf numFmtId="166" fontId="12" fillId="12" borderId="6" xfId="0" applyNumberFormat="1" applyFont="1" applyFill="1" applyBorder="1" applyAlignment="1">
      <alignment horizontal="center" vertical="center"/>
    </xf>
    <xf numFmtId="166" fontId="12" fillId="2" borderId="61" xfId="0" applyNumberFormat="1" applyFont="1" applyFill="1" applyBorder="1" applyAlignment="1">
      <alignment horizontal="center" vertical="center"/>
    </xf>
    <xf numFmtId="164" fontId="12" fillId="0" borderId="0" xfId="0" applyNumberFormat="1" applyFont="1"/>
    <xf numFmtId="167" fontId="10" fillId="11" borderId="6" xfId="0" applyNumberFormat="1" applyFont="1" applyFill="1" applyBorder="1" applyAlignment="1">
      <alignment horizontal="center" vertical="center"/>
    </xf>
    <xf numFmtId="0" fontId="12" fillId="0" borderId="0" xfId="0" applyFont="1" applyAlignment="1"/>
    <xf numFmtId="0" fontId="2" fillId="0" borderId="0" xfId="0" applyFont="1" applyAlignment="1">
      <alignment horizontal="center"/>
    </xf>
    <xf numFmtId="0" fontId="0" fillId="0" borderId="0" xfId="0" applyFont="1" applyAlignment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4" fillId="3" borderId="1" xfId="0" applyFont="1" applyFill="1" applyBorder="1" applyAlignment="1">
      <alignment horizontal="center"/>
    </xf>
    <xf numFmtId="0" fontId="3" fillId="0" borderId="3" xfId="0" applyFont="1" applyBorder="1"/>
    <xf numFmtId="0" fontId="5" fillId="6" borderId="9" xfId="0" applyFont="1" applyFill="1" applyBorder="1" applyAlignment="1">
      <alignment horizontal="center" vertical="center"/>
    </xf>
    <xf numFmtId="0" fontId="3" fillId="0" borderId="10" xfId="0" applyFont="1" applyBorder="1"/>
    <xf numFmtId="0" fontId="6" fillId="2" borderId="12" xfId="0" applyFont="1" applyFill="1" applyBorder="1" applyAlignment="1">
      <alignment horizontal="center" vertical="center"/>
    </xf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166" fontId="4" fillId="5" borderId="16" xfId="0" applyNumberFormat="1" applyFont="1" applyFill="1" applyBorder="1" applyAlignment="1">
      <alignment horizontal="center" vertical="center"/>
    </xf>
    <xf numFmtId="0" fontId="3" fillId="0" borderId="18" xfId="0" applyFont="1" applyBorder="1"/>
    <xf numFmtId="0" fontId="3" fillId="0" borderId="17" xfId="0" applyFont="1" applyBorder="1"/>
    <xf numFmtId="166" fontId="4" fillId="2" borderId="16" xfId="0" applyNumberFormat="1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3" fillId="0" borderId="20" xfId="0" applyFont="1" applyBorder="1"/>
    <xf numFmtId="0" fontId="5" fillId="9" borderId="27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2" fillId="8" borderId="21" xfId="0" applyFont="1" applyFill="1" applyBorder="1" applyAlignment="1">
      <alignment horizontal="center" vertical="center"/>
    </xf>
    <xf numFmtId="0" fontId="3" fillId="0" borderId="22" xfId="0" applyFont="1" applyBorder="1"/>
    <xf numFmtId="0" fontId="3" fillId="0" borderId="23" xfId="0" applyFont="1" applyBorder="1"/>
    <xf numFmtId="0" fontId="3" fillId="0" borderId="24" xfId="0" applyFont="1" applyBorder="1"/>
    <xf numFmtId="0" fontId="3" fillId="0" borderId="25" xfId="0" applyFont="1" applyBorder="1"/>
    <xf numFmtId="0" fontId="3" fillId="0" borderId="26" xfId="0" applyFont="1" applyBorder="1"/>
    <xf numFmtId="0" fontId="5" fillId="9" borderId="27" xfId="0" applyFont="1" applyFill="1" applyBorder="1" applyAlignment="1">
      <alignment horizontal="center" vertical="center"/>
    </xf>
    <xf numFmtId="0" fontId="5" fillId="9" borderId="28" xfId="0" applyFont="1" applyFill="1" applyBorder="1" applyAlignment="1">
      <alignment horizontal="center" vertical="center"/>
    </xf>
    <xf numFmtId="0" fontId="3" fillId="0" borderId="29" xfId="0" applyFont="1" applyBorder="1"/>
    <xf numFmtId="0" fontId="5" fillId="6" borderId="28" xfId="0" applyFont="1" applyFill="1" applyBorder="1" applyAlignment="1">
      <alignment horizontal="center" vertical="center"/>
    </xf>
    <xf numFmtId="0" fontId="3" fillId="0" borderId="30" xfId="0" applyFont="1" applyBorder="1"/>
    <xf numFmtId="0" fontId="3" fillId="0" borderId="31" xfId="0" applyFont="1" applyBorder="1"/>
    <xf numFmtId="0" fontId="5" fillId="9" borderId="9" xfId="0" applyFont="1" applyFill="1" applyBorder="1" applyAlignment="1">
      <alignment horizontal="center" vertical="center" wrapText="1"/>
    </xf>
    <xf numFmtId="0" fontId="5" fillId="6" borderId="32" xfId="0" applyFont="1" applyFill="1" applyBorder="1" applyAlignment="1">
      <alignment horizontal="center" vertical="center"/>
    </xf>
    <xf numFmtId="0" fontId="3" fillId="0" borderId="33" xfId="0" applyFont="1" applyBorder="1"/>
    <xf numFmtId="0" fontId="3" fillId="0" borderId="34" xfId="0" applyFont="1" applyBorder="1"/>
    <xf numFmtId="0" fontId="11" fillId="9" borderId="35" xfId="0" applyFont="1" applyFill="1" applyBorder="1" applyAlignment="1">
      <alignment horizontal="center" vertical="center"/>
    </xf>
    <xf numFmtId="0" fontId="3" fillId="0" borderId="44" xfId="0" applyFont="1" applyBorder="1"/>
    <xf numFmtId="0" fontId="6" fillId="9" borderId="38" xfId="0" applyFont="1" applyFill="1" applyBorder="1" applyAlignment="1">
      <alignment horizontal="center" vertical="center"/>
    </xf>
    <xf numFmtId="0" fontId="3" fillId="0" borderId="47" xfId="0" applyFont="1" applyBorder="1"/>
    <xf numFmtId="0" fontId="5" fillId="9" borderId="35" xfId="0" applyFont="1" applyFill="1" applyBorder="1" applyAlignment="1">
      <alignment horizontal="center" vertical="center" wrapText="1"/>
    </xf>
    <xf numFmtId="0" fontId="5" fillId="9" borderId="36" xfId="0" applyFont="1" applyFill="1" applyBorder="1" applyAlignment="1">
      <alignment horizontal="center" vertical="center" wrapText="1"/>
    </xf>
    <xf numFmtId="0" fontId="3" fillId="0" borderId="45" xfId="0" applyFont="1" applyBorder="1"/>
    <xf numFmtId="0" fontId="5" fillId="9" borderId="37" xfId="0" applyFont="1" applyFill="1" applyBorder="1" applyAlignment="1">
      <alignment horizontal="center" vertical="center" wrapText="1"/>
    </xf>
    <xf numFmtId="0" fontId="3" fillId="0" borderId="46" xfId="0" applyFont="1" applyBorder="1"/>
    <xf numFmtId="0" fontId="10" fillId="11" borderId="5" xfId="0" applyFont="1" applyFill="1" applyBorder="1" applyAlignment="1">
      <alignment horizontal="center" vertical="center"/>
    </xf>
    <xf numFmtId="0" fontId="3" fillId="0" borderId="59" xfId="0" applyFont="1" applyBorder="1"/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 vertical="center" wrapText="1"/>
    </xf>
    <xf numFmtId="0" fontId="2" fillId="11" borderId="48" xfId="0" applyFont="1" applyFill="1" applyBorder="1" applyAlignment="1">
      <alignment horizontal="center"/>
    </xf>
    <xf numFmtId="0" fontId="3" fillId="0" borderId="49" xfId="0" applyFont="1" applyBorder="1"/>
    <xf numFmtId="0" fontId="3" fillId="0" borderId="50" xfId="0" applyFont="1" applyBorder="1"/>
    <xf numFmtId="0" fontId="2" fillId="8" borderId="52" xfId="0" applyFont="1" applyFill="1" applyBorder="1" applyAlignment="1">
      <alignment horizontal="center" vertical="center"/>
    </xf>
    <xf numFmtId="0" fontId="3" fillId="0" borderId="54" xfId="0" applyFont="1" applyBorder="1"/>
    <xf numFmtId="0" fontId="3" fillId="0" borderId="55" xfId="0" applyFont="1" applyBorder="1"/>
    <xf numFmtId="0" fontId="2" fillId="8" borderId="56" xfId="0" applyFont="1" applyFill="1" applyBorder="1" applyAlignment="1">
      <alignment horizontal="center" vertical="center"/>
    </xf>
    <xf numFmtId="0" fontId="3" fillId="0" borderId="57" xfId="0" applyFont="1" applyBorder="1"/>
    <xf numFmtId="0" fontId="2" fillId="11" borderId="56" xfId="0" applyFont="1" applyFill="1" applyBorder="1" applyAlignment="1">
      <alignment horizontal="center" vertical="center"/>
    </xf>
    <xf numFmtId="0" fontId="2" fillId="12" borderId="52" xfId="0" applyFont="1" applyFill="1" applyBorder="1" applyAlignment="1">
      <alignment horizontal="center" vertical="center" wrapText="1"/>
    </xf>
    <xf numFmtId="0" fontId="3" fillId="0" borderId="58" xfId="0" applyFont="1" applyBorder="1"/>
    <xf numFmtId="0" fontId="2" fillId="6" borderId="56" xfId="0" applyFont="1" applyFill="1" applyBorder="1" applyAlignment="1">
      <alignment horizontal="center" vertical="center"/>
    </xf>
    <xf numFmtId="0" fontId="2" fillId="12" borderId="5" xfId="0" applyFont="1" applyFill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3" fillId="0" borderId="60" xfId="0" applyFont="1" applyBorder="1"/>
  </cellXfs>
  <cellStyles count="1">
    <cellStyle name="Normal" xfId="0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PAYRROLL- &#1575;&#1604;&#1588;&#1585;&#1575;&#1574;&#1581;'!A1"/><Relationship Id="rId2" Type="http://schemas.openxmlformats.org/officeDocument/2006/relationships/hyperlink" Target="#'&#1591;&#1576;&#1575;&#1593;&#1607; &#1575;&#1604;&#1603;&#1588;&#1601; &#1604;&#1604;&#1605;&#1608;&#1592;&#1601;'!A1"/><Relationship Id="rId1" Type="http://schemas.openxmlformats.org/officeDocument/2006/relationships/image" Target="../media/image1.jpg"/><Relationship Id="rId4" Type="http://schemas.openxmlformats.org/officeDocument/2006/relationships/hyperlink" Target="#&#1575;&#1604;&#1602;&#1610;&#1608;&#1583;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715375" cy="416242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5</xdr:row>
      <xdr:rowOff>133350</xdr:rowOff>
    </xdr:from>
    <xdr:ext cx="6962775" cy="1752600"/>
    <xdr:sp macro="" textlink="">
      <xdr:nvSpPr>
        <xdr:cNvPr id="3" name="Shape 3"/>
        <xdr:cNvSpPr/>
      </xdr:nvSpPr>
      <xdr:spPr>
        <a:xfrm>
          <a:off x="1874138" y="2913225"/>
          <a:ext cx="6943725" cy="1733550"/>
        </a:xfrm>
        <a:prstGeom prst="rect">
          <a:avLst/>
        </a:prstGeom>
        <a:solidFill>
          <a:schemeClr val="accent6"/>
        </a:solidFill>
        <a:ln w="1905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r" rtl="1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</xdr:col>
      <xdr:colOff>533400</xdr:colOff>
      <xdr:row>0</xdr:row>
      <xdr:rowOff>47625</xdr:rowOff>
    </xdr:from>
    <xdr:ext cx="3590925" cy="647700"/>
    <xdr:sp macro="" textlink="">
      <xdr:nvSpPr>
        <xdr:cNvPr id="4" name="Shape 4"/>
        <xdr:cNvSpPr/>
      </xdr:nvSpPr>
      <xdr:spPr>
        <a:xfrm>
          <a:off x="3555300" y="3460913"/>
          <a:ext cx="3581400" cy="638175"/>
        </a:xfrm>
        <a:prstGeom prst="foldedCorner">
          <a:avLst>
            <a:gd name="adj" fmla="val 16667"/>
          </a:avLst>
        </a:prstGeom>
        <a:gradFill>
          <a:gsLst>
            <a:gs pos="0">
              <a:srgbClr val="7FB75F"/>
            </a:gs>
            <a:gs pos="50000">
              <a:srgbClr val="6EB141"/>
            </a:gs>
            <a:gs pos="100000">
              <a:srgbClr val="5FA134"/>
            </a:gs>
          </a:gsLst>
          <a:lin ang="5400000" scaled="0"/>
        </a:gra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28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كشف مرتبات الشركة</a:t>
          </a:r>
          <a:endParaRPr sz="1400"/>
        </a:p>
      </xdr:txBody>
    </xdr:sp>
    <xdr:clientData fLocksWithSheet="0"/>
  </xdr:oneCellAnchor>
  <xdr:oneCellAnchor>
    <xdr:from>
      <xdr:col>7</xdr:col>
      <xdr:colOff>381000</xdr:colOff>
      <xdr:row>7</xdr:row>
      <xdr:rowOff>161925</xdr:rowOff>
    </xdr:from>
    <xdr:ext cx="2352675" cy="876300"/>
    <xdr:sp macro="" textlink="">
      <xdr:nvSpPr>
        <xdr:cNvPr id="5" name="Shape 5">
          <a:hlinkClick xmlns:r="http://schemas.openxmlformats.org/officeDocument/2006/relationships" r:id="rId2"/>
        </xdr:cNvPr>
        <xdr:cNvSpPr/>
      </xdr:nvSpPr>
      <xdr:spPr>
        <a:xfrm>
          <a:off x="4179188" y="3351375"/>
          <a:ext cx="2333625" cy="857250"/>
        </a:xfrm>
        <a:prstGeom prst="rect">
          <a:avLst/>
        </a:prstGeom>
        <a:solidFill>
          <a:schemeClr val="lt1"/>
        </a:solidFill>
        <a:ln w="12700" cap="flat" cmpd="sng">
          <a:solidFill>
            <a:schemeClr val="accent5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8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طباعة كشف الراتب للموظفين</a:t>
          </a:r>
          <a:endParaRPr sz="1800" b="1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</xdr:col>
      <xdr:colOff>266700</xdr:colOff>
      <xdr:row>8</xdr:row>
      <xdr:rowOff>9525</xdr:rowOff>
    </xdr:from>
    <xdr:ext cx="2019300" cy="847725"/>
    <xdr:sp macro="" textlink="">
      <xdr:nvSpPr>
        <xdr:cNvPr id="6" name="Shape 6">
          <a:hlinkClick xmlns:r="http://schemas.openxmlformats.org/officeDocument/2006/relationships" r:id="rId3"/>
        </xdr:cNvPr>
        <xdr:cNvSpPr/>
      </xdr:nvSpPr>
      <xdr:spPr>
        <a:xfrm>
          <a:off x="4345875" y="3360900"/>
          <a:ext cx="2000250" cy="838200"/>
        </a:xfrm>
        <a:prstGeom prst="rect">
          <a:avLst/>
        </a:prstGeom>
        <a:solidFill>
          <a:schemeClr val="lt1"/>
        </a:solidFill>
        <a:ln w="12700" cap="flat" cmpd="sng">
          <a:solidFill>
            <a:schemeClr val="accent5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أدخال مرتبات الموظفين</a:t>
          </a:r>
          <a:endParaRPr sz="1400"/>
        </a:p>
      </xdr:txBody>
    </xdr:sp>
    <xdr:clientData fLocksWithSheet="0"/>
  </xdr:oneCellAnchor>
  <xdr:oneCellAnchor>
    <xdr:from>
      <xdr:col>4</xdr:col>
      <xdr:colOff>295275</xdr:colOff>
      <xdr:row>8</xdr:row>
      <xdr:rowOff>0</xdr:rowOff>
    </xdr:from>
    <xdr:ext cx="1981200" cy="857250"/>
    <xdr:sp macro="" textlink="">
      <xdr:nvSpPr>
        <xdr:cNvPr id="7" name="Shape 7">
          <a:hlinkClick xmlns:r="http://schemas.openxmlformats.org/officeDocument/2006/relationships" r:id="rId4"/>
        </xdr:cNvPr>
        <xdr:cNvSpPr/>
      </xdr:nvSpPr>
      <xdr:spPr>
        <a:xfrm>
          <a:off x="4364925" y="3360900"/>
          <a:ext cx="1962150" cy="838200"/>
        </a:xfrm>
        <a:prstGeom prst="rect">
          <a:avLst/>
        </a:prstGeom>
        <a:solidFill>
          <a:schemeClr val="lt1"/>
        </a:solidFill>
        <a:ln w="12700" cap="flat" cmpd="sng">
          <a:solidFill>
            <a:schemeClr val="accent5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طباعة ورقة </a:t>
          </a:r>
          <a:r>
            <a:rPr lang="en-US" sz="18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قيد</a:t>
          </a: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المرتبات</a:t>
          </a:r>
          <a:endParaRPr sz="105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-9525</xdr:colOff>
      <xdr:row>0</xdr:row>
      <xdr:rowOff>-9525</xdr:rowOff>
    </xdr:from>
    <xdr:ext cx="1133475" cy="495300"/>
    <xdr:sp macro="" textlink="">
      <xdr:nvSpPr>
        <xdr:cNvPr id="9" name="Shape 9">
          <a:hlinkClick xmlns:r="http://schemas.openxmlformats.org/officeDocument/2006/relationships" r:id="rId1"/>
        </xdr:cNvPr>
        <xdr:cNvSpPr/>
      </xdr:nvSpPr>
      <xdr:spPr>
        <a:xfrm>
          <a:off x="4788788" y="3541875"/>
          <a:ext cx="1114425" cy="476250"/>
        </a:xfrm>
        <a:prstGeom prst="rect">
          <a:avLst/>
        </a:prstGeom>
        <a:solidFill>
          <a:schemeClr val="accent6"/>
        </a:solidFill>
        <a:ln w="1905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2000" b="1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HOME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28575</xdr:rowOff>
    </xdr:from>
    <xdr:ext cx="1114425" cy="476250"/>
    <xdr:sp macro="" textlink="">
      <xdr:nvSpPr>
        <xdr:cNvPr id="10" name="Shape 10">
          <a:hlinkClick xmlns:r="http://schemas.openxmlformats.org/officeDocument/2006/relationships" r:id="rId1"/>
        </xdr:cNvPr>
        <xdr:cNvSpPr/>
      </xdr:nvSpPr>
      <xdr:spPr>
        <a:xfrm>
          <a:off x="4798313" y="3551400"/>
          <a:ext cx="1095375" cy="457200"/>
        </a:xfrm>
        <a:prstGeom prst="rect">
          <a:avLst/>
        </a:prstGeom>
        <a:solidFill>
          <a:schemeClr val="accent6"/>
        </a:solidFill>
        <a:ln w="1905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2000" b="1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HOME</a:t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1028700</xdr:colOff>
      <xdr:row>0</xdr:row>
      <xdr:rowOff>-9525</xdr:rowOff>
    </xdr:from>
    <xdr:ext cx="1104900" cy="323850"/>
    <xdr:sp macro="" textlink="">
      <xdr:nvSpPr>
        <xdr:cNvPr id="11" name="Shape 11">
          <a:hlinkClick xmlns:r="http://schemas.openxmlformats.org/officeDocument/2006/relationships" r:id="rId1"/>
        </xdr:cNvPr>
        <xdr:cNvSpPr/>
      </xdr:nvSpPr>
      <xdr:spPr>
        <a:xfrm>
          <a:off x="4803075" y="3627600"/>
          <a:ext cx="1085850" cy="304800"/>
        </a:xfrm>
        <a:prstGeom prst="rect">
          <a:avLst/>
        </a:prstGeom>
        <a:solidFill>
          <a:schemeClr val="accent6"/>
        </a:solidFill>
        <a:ln w="19050" cap="flat" cmpd="sng">
          <a:solidFill>
            <a:schemeClr val="lt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1">
            <a:spcBef>
              <a:spcPts val="0"/>
            </a:spcBef>
            <a:spcAft>
              <a:spcPts val="0"/>
            </a:spcAft>
            <a:buNone/>
          </a:pPr>
          <a:r>
            <a:rPr lang="en-US" sz="1400" b="1" cap="non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HOME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0"/>
  <sheetViews>
    <sheetView rightToLeft="1" zoomScaleNormal="100" workbookViewId="0"/>
  </sheetViews>
  <sheetFormatPr defaultColWidth="12.625" defaultRowHeight="15" customHeight="1" x14ac:dyDescent="0.2"/>
  <cols>
    <col min="1" max="6" width="9.125" customWidth="1"/>
    <col min="7" max="26" width="8.625" customWidth="1"/>
  </cols>
  <sheetData>
    <row r="1" spans="1:1" ht="14.25" customHeight="1" x14ac:dyDescent="0.2">
      <c r="A1" s="1" t="s">
        <v>0</v>
      </c>
    </row>
    <row r="2" spans="1:1" ht="14.25" customHeight="1" x14ac:dyDescent="0.2"/>
    <row r="3" spans="1:1" ht="14.25" customHeight="1" x14ac:dyDescent="0.2"/>
    <row r="4" spans="1:1" ht="14.25" customHeight="1" x14ac:dyDescent="0.2"/>
    <row r="5" spans="1:1" ht="14.25" customHeight="1" x14ac:dyDescent="0.2"/>
    <row r="6" spans="1:1" ht="14.25" customHeight="1" x14ac:dyDescent="0.2"/>
    <row r="7" spans="1:1" ht="14.25" customHeight="1" x14ac:dyDescent="0.2"/>
    <row r="8" spans="1:1" ht="14.25" customHeight="1" x14ac:dyDescent="0.2"/>
    <row r="9" spans="1:1" ht="14.25" customHeight="1" x14ac:dyDescent="0.2"/>
    <row r="10" spans="1:1" ht="14.25" customHeight="1" x14ac:dyDescent="0.2"/>
    <row r="11" spans="1:1" ht="14.25" customHeight="1" x14ac:dyDescent="0.2"/>
    <row r="12" spans="1:1" ht="14.25" customHeight="1" x14ac:dyDescent="0.2"/>
    <row r="13" spans="1:1" ht="14.25" customHeight="1" x14ac:dyDescent="0.2"/>
    <row r="14" spans="1:1" ht="14.25" customHeight="1" x14ac:dyDescent="0.2"/>
    <row r="15" spans="1:1" ht="14.25" customHeight="1" x14ac:dyDescent="0.2"/>
    <row r="16" spans="1:1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E1000"/>
  <sheetViews>
    <sheetView rightToLeft="1" topLeftCell="A4" workbookViewId="0"/>
  </sheetViews>
  <sheetFormatPr defaultColWidth="12.625" defaultRowHeight="15" customHeight="1" x14ac:dyDescent="0.2"/>
  <cols>
    <col min="1" max="1" width="8.625" customWidth="1"/>
    <col min="2" max="2" width="7.25" customWidth="1"/>
    <col min="3" max="3" width="21.75" customWidth="1"/>
    <col min="4" max="4" width="14.625" customWidth="1"/>
    <col min="5" max="5" width="16.75" customWidth="1"/>
    <col min="6" max="6" width="15" customWidth="1"/>
    <col min="7" max="7" width="15.25" customWidth="1"/>
    <col min="8" max="10" width="14.875" customWidth="1"/>
    <col min="11" max="11" width="14.625" customWidth="1"/>
    <col min="12" max="12" width="3" customWidth="1"/>
    <col min="13" max="13" width="20" customWidth="1"/>
    <col min="14" max="14" width="14.125" customWidth="1"/>
    <col min="15" max="15" width="10.625" customWidth="1"/>
    <col min="16" max="16" width="11" customWidth="1"/>
    <col min="17" max="17" width="15" customWidth="1"/>
    <col min="18" max="18" width="14.625" customWidth="1"/>
    <col min="19" max="21" width="11" customWidth="1"/>
    <col min="22" max="23" width="8.625" customWidth="1"/>
    <col min="24" max="24" width="18.125" customWidth="1"/>
    <col min="25" max="25" width="20.125" customWidth="1"/>
    <col min="26" max="26" width="8.625" customWidth="1"/>
    <col min="27" max="27" width="10.625" customWidth="1"/>
    <col min="28" max="29" width="8.625" customWidth="1"/>
    <col min="30" max="30" width="18.125" customWidth="1"/>
    <col min="31" max="31" width="20.125" customWidth="1"/>
  </cols>
  <sheetData>
    <row r="1" spans="2:31" ht="14.25" customHeight="1" x14ac:dyDescent="0.2"/>
    <row r="2" spans="2:31" ht="14.25" customHeight="1" x14ac:dyDescent="0.2"/>
    <row r="3" spans="2:31" ht="14.25" customHeight="1" x14ac:dyDescent="0.3">
      <c r="B3" s="63" t="s">
        <v>1</v>
      </c>
      <c r="C3" s="64"/>
      <c r="D3" s="64"/>
      <c r="E3" s="64"/>
      <c r="F3" s="64"/>
      <c r="G3" s="64"/>
      <c r="H3" s="64"/>
      <c r="I3" s="2"/>
      <c r="J3" s="2"/>
    </row>
    <row r="4" spans="2:31" ht="14.25" customHeight="1" x14ac:dyDescent="0.35">
      <c r="D4" s="65" t="s">
        <v>2</v>
      </c>
      <c r="E4" s="66"/>
      <c r="F4" s="67" t="s">
        <v>3</v>
      </c>
      <c r="G4" s="68"/>
      <c r="H4" s="68"/>
      <c r="I4" s="68"/>
      <c r="J4" s="66"/>
    </row>
    <row r="5" spans="2:31" ht="14.25" customHeight="1" x14ac:dyDescent="0.25">
      <c r="B5" s="3"/>
      <c r="C5" s="4" t="s">
        <v>4</v>
      </c>
      <c r="D5" s="5" t="s">
        <v>5</v>
      </c>
      <c r="E5" s="5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AC5" s="6"/>
      <c r="AD5" s="6"/>
      <c r="AE5" s="6"/>
    </row>
    <row r="6" spans="2:31" ht="14.25" customHeight="1" x14ac:dyDescent="0.25">
      <c r="B6" s="7">
        <v>1</v>
      </c>
      <c r="C6" s="7" t="str">
        <f>'PAYRROLL- الشرائح'!$B6</f>
        <v>موظف 1</v>
      </c>
      <c r="D6" s="8">
        <f>'PAYRROLL- الشرائح'!M6</f>
        <v>5677</v>
      </c>
      <c r="E6" s="9">
        <f>'PAYRROLL- الشرائح'!P6</f>
        <v>182</v>
      </c>
      <c r="F6" s="10">
        <f>'PAYRROLL- الشرائح'!AD6</f>
        <v>5677</v>
      </c>
      <c r="G6" s="10">
        <f>('PAYRROLL- الشرائح'!P6+'PAYRROLL- الشرائح'!T6)</f>
        <v>182</v>
      </c>
      <c r="H6" s="11">
        <f>'PAYRROLL- الشرائح'!Z6</f>
        <v>0</v>
      </c>
      <c r="I6" s="11">
        <f>'PAYRROLL- الشرائح'!F6</f>
        <v>0</v>
      </c>
      <c r="J6" s="11">
        <f>'PAYRROLL- الشرائح'!G6</f>
        <v>0</v>
      </c>
      <c r="X6" s="69" t="s">
        <v>12</v>
      </c>
      <c r="Y6" s="69" t="s">
        <v>13</v>
      </c>
      <c r="AC6" s="6"/>
      <c r="AD6" s="6"/>
      <c r="AE6" s="6"/>
    </row>
    <row r="7" spans="2:31" ht="14.25" customHeight="1" x14ac:dyDescent="0.25">
      <c r="B7" s="7">
        <v>2</v>
      </c>
      <c r="C7" s="7" t="str">
        <f>'PAYRROLL- الشرائح'!$B7</f>
        <v>موظف 2</v>
      </c>
      <c r="D7" s="8">
        <f>'PAYRROLL- الشرائح'!M7</f>
        <v>4280</v>
      </c>
      <c r="E7" s="9">
        <f>'PAYRROLL- الشرائح'!P7</f>
        <v>162.5</v>
      </c>
      <c r="F7" s="10">
        <f>'PAYRROLL- الشرائح'!AD7</f>
        <v>4280</v>
      </c>
      <c r="G7" s="10">
        <f>('PAYRROLL- الشرائح'!P7+'PAYRROLL- الشرائح'!T7)</f>
        <v>162.5</v>
      </c>
      <c r="H7" s="11">
        <f>'PAYRROLL- الشرائح'!Z7</f>
        <v>0</v>
      </c>
      <c r="I7" s="11">
        <f>'PAYRROLL- الشرائح'!F7</f>
        <v>0</v>
      </c>
      <c r="J7" s="11">
        <f>'PAYRROLL- الشرائح'!G7</f>
        <v>0</v>
      </c>
      <c r="X7" s="70"/>
      <c r="Y7" s="70"/>
      <c r="AC7" s="6"/>
      <c r="AD7" s="12">
        <v>127.5</v>
      </c>
      <c r="AE7" s="12">
        <v>4500</v>
      </c>
    </row>
    <row r="8" spans="2:31" ht="14.25" customHeight="1" x14ac:dyDescent="0.25">
      <c r="B8" s="7">
        <v>3</v>
      </c>
      <c r="C8" s="7" t="str">
        <f>'PAYRROLL- الشرائح'!$B8</f>
        <v>موظف 3</v>
      </c>
      <c r="D8" s="8">
        <f>'PAYRROLL- الشرائح'!M8</f>
        <v>4280</v>
      </c>
      <c r="E8" s="9">
        <f>'PAYRROLL- الشرائح'!P8</f>
        <v>162.5</v>
      </c>
      <c r="F8" s="10">
        <f>'PAYRROLL- الشرائح'!AD8</f>
        <v>4280</v>
      </c>
      <c r="G8" s="10">
        <f>('PAYRROLL- الشرائح'!P8+'PAYRROLL- الشرائح'!T8)</f>
        <v>162.5</v>
      </c>
      <c r="H8" s="11">
        <f>'PAYRROLL- الشرائح'!Z8</f>
        <v>0</v>
      </c>
      <c r="I8" s="11">
        <f>'PAYRROLL- الشرائح'!F8</f>
        <v>0</v>
      </c>
      <c r="J8" s="11">
        <f>'PAYRROLL- الشرائح'!G8</f>
        <v>0</v>
      </c>
      <c r="X8" s="12">
        <v>127.5</v>
      </c>
      <c r="Y8" s="12">
        <v>4500</v>
      </c>
      <c r="AC8" s="6"/>
      <c r="AD8" s="13">
        <v>654</v>
      </c>
      <c r="AE8" s="13">
        <v>12038.09</v>
      </c>
    </row>
    <row r="9" spans="2:31" ht="14.25" customHeight="1" x14ac:dyDescent="0.25">
      <c r="B9" s="7">
        <v>4</v>
      </c>
      <c r="C9" s="7">
        <f>'PAYRROLL- الشرائح'!$B9</f>
        <v>0</v>
      </c>
      <c r="D9" s="8">
        <f>'PAYRROLL- الشرائح'!M9</f>
        <v>0</v>
      </c>
      <c r="E9" s="9">
        <f>'PAYRROLL- الشرائح'!P9</f>
        <v>0</v>
      </c>
      <c r="F9" s="10">
        <f>'PAYRROLL- الشرائح'!AD9</f>
        <v>0</v>
      </c>
      <c r="G9" s="10">
        <f>('PAYRROLL- الشرائح'!P9+'PAYRROLL- الشرائح'!T9)</f>
        <v>0</v>
      </c>
      <c r="H9" s="11">
        <f>'PAYRROLL- الشرائح'!Z9</f>
        <v>0</v>
      </c>
      <c r="I9" s="11">
        <f>'PAYRROLL- الشرائح'!F9</f>
        <v>0</v>
      </c>
      <c r="J9" s="11">
        <f>'PAYRROLL- الشرائح'!G9</f>
        <v>0</v>
      </c>
      <c r="X9" s="13">
        <v>654</v>
      </c>
      <c r="Y9" s="13">
        <v>12038.09</v>
      </c>
      <c r="AC9" s="6"/>
      <c r="AD9" s="13">
        <v>358.82</v>
      </c>
      <c r="AE9" s="13">
        <v>3500</v>
      </c>
    </row>
    <row r="10" spans="2:31" ht="14.25" customHeight="1" x14ac:dyDescent="0.25">
      <c r="B10" s="7">
        <v>5</v>
      </c>
      <c r="C10" s="7">
        <f>'PAYRROLL- الشرائح'!$B10</f>
        <v>0</v>
      </c>
      <c r="D10" s="8">
        <f>'PAYRROLL- الشرائح'!M10</f>
        <v>0</v>
      </c>
      <c r="E10" s="9">
        <f>'PAYRROLL- الشرائح'!P10</f>
        <v>0</v>
      </c>
      <c r="F10" s="10">
        <f>'PAYRROLL- الشرائح'!AD10</f>
        <v>0</v>
      </c>
      <c r="G10" s="10">
        <f>('PAYRROLL- الشرائح'!P10+'PAYRROLL- الشرائح'!T10)</f>
        <v>0</v>
      </c>
      <c r="H10" s="11">
        <f>'PAYRROLL- الشرائح'!Z10</f>
        <v>0</v>
      </c>
      <c r="I10" s="11">
        <f>'PAYRROLL- الشرائح'!F10</f>
        <v>0</v>
      </c>
      <c r="J10" s="11">
        <f>'PAYRROLL- الشرائح'!G10</f>
        <v>0</v>
      </c>
      <c r="X10" s="13">
        <v>357</v>
      </c>
      <c r="Y10" s="13">
        <v>3493</v>
      </c>
      <c r="AC10" s="6"/>
      <c r="AD10" s="13">
        <v>512.6</v>
      </c>
      <c r="AE10" s="13">
        <v>4200</v>
      </c>
    </row>
    <row r="11" spans="2:31" ht="14.25" customHeight="1" x14ac:dyDescent="0.25">
      <c r="B11" s="7">
        <v>6</v>
      </c>
      <c r="C11" s="7">
        <f>'PAYRROLL- الشرائح'!$B11</f>
        <v>0</v>
      </c>
      <c r="D11" s="8">
        <f>'PAYRROLL- الشرائح'!M11</f>
        <v>0</v>
      </c>
      <c r="E11" s="9">
        <f>'PAYRROLL- الشرائح'!P11</f>
        <v>0</v>
      </c>
      <c r="F11" s="10">
        <f>'PAYRROLL- الشرائح'!AD11</f>
        <v>0</v>
      </c>
      <c r="G11" s="10">
        <f>('PAYRROLL- الشرائح'!P11+'PAYRROLL- الشرائح'!T11)</f>
        <v>0</v>
      </c>
      <c r="H11" s="11">
        <f>'PAYRROLL- الشرائح'!Z11</f>
        <v>0</v>
      </c>
      <c r="I11" s="11">
        <f>'PAYRROLL- الشرائح'!F11</f>
        <v>0</v>
      </c>
      <c r="J11" s="11">
        <f>'PAYRROLL- الشرائح'!G11</f>
        <v>0</v>
      </c>
      <c r="X11" s="13">
        <v>510</v>
      </c>
      <c r="Y11" s="13">
        <v>4190.67</v>
      </c>
      <c r="AC11" s="6"/>
      <c r="AD11" s="13">
        <v>512.6</v>
      </c>
      <c r="AE11" s="13">
        <v>3663.56</v>
      </c>
    </row>
    <row r="12" spans="2:31" ht="14.25" customHeight="1" x14ac:dyDescent="0.25">
      <c r="B12" s="7">
        <v>7</v>
      </c>
      <c r="C12" s="7">
        <f>'PAYRROLL- الشرائح'!$B12</f>
        <v>0</v>
      </c>
      <c r="D12" s="8">
        <f>'PAYRROLL- الشرائح'!M12</f>
        <v>0</v>
      </c>
      <c r="E12" s="9">
        <f>'PAYRROLL- الشرائح'!P12</f>
        <v>0</v>
      </c>
      <c r="F12" s="10">
        <f>'PAYRROLL- الشرائح'!AD12</f>
        <v>0</v>
      </c>
      <c r="G12" s="10">
        <f>('PAYRROLL- الشرائح'!P12+'PAYRROLL- الشرائح'!T12)</f>
        <v>0</v>
      </c>
      <c r="H12" s="11">
        <f>'PAYRROLL- الشرائح'!Z12</f>
        <v>0</v>
      </c>
      <c r="I12" s="11">
        <f>'PAYRROLL- الشرائح'!F12</f>
        <v>0</v>
      </c>
      <c r="J12" s="11">
        <f>'PAYRROLL- الشرائح'!G12</f>
        <v>0</v>
      </c>
      <c r="X12" s="13">
        <v>510</v>
      </c>
      <c r="Y12" s="13">
        <v>3656.56</v>
      </c>
      <c r="AC12" s="6"/>
      <c r="AD12" s="13"/>
      <c r="AE12" s="13">
        <v>0</v>
      </c>
    </row>
    <row r="13" spans="2:31" ht="14.25" customHeight="1" x14ac:dyDescent="0.25">
      <c r="B13" s="7">
        <v>8</v>
      </c>
      <c r="C13" s="7">
        <f>'PAYRROLL- الشرائح'!$B13</f>
        <v>0</v>
      </c>
      <c r="D13" s="8">
        <f>'PAYRROLL- الشرائح'!M13</f>
        <v>0</v>
      </c>
      <c r="E13" s="9">
        <f>'PAYRROLL- الشرائح'!P13</f>
        <v>0</v>
      </c>
      <c r="F13" s="10">
        <f>'PAYRROLL- الشرائح'!AD13</f>
        <v>0</v>
      </c>
      <c r="G13" s="10">
        <f>('PAYRROLL- الشرائح'!P13+'PAYRROLL- الشرائح'!T13)</f>
        <v>0</v>
      </c>
      <c r="H13" s="11">
        <f>'PAYRROLL- الشرائح'!Z13</f>
        <v>0</v>
      </c>
      <c r="I13" s="11">
        <f>'PAYRROLL- الشرائح'!F13</f>
        <v>0</v>
      </c>
      <c r="J13" s="11">
        <f>'PAYRROLL- الشرائح'!G13</f>
        <v>0</v>
      </c>
      <c r="X13" s="13"/>
      <c r="Y13" s="13"/>
      <c r="AC13" s="6"/>
      <c r="AD13" s="13"/>
      <c r="AE13" s="13"/>
    </row>
    <row r="14" spans="2:31" ht="14.25" customHeight="1" x14ac:dyDescent="0.25">
      <c r="B14" s="7">
        <v>9</v>
      </c>
      <c r="C14" s="7">
        <f>'PAYRROLL- الشرائح'!$B14</f>
        <v>0</v>
      </c>
      <c r="D14" s="8">
        <f>'PAYRROLL- الشرائح'!M14</f>
        <v>0</v>
      </c>
      <c r="E14" s="9">
        <f>'PAYRROLL- الشرائح'!P14</f>
        <v>0</v>
      </c>
      <c r="F14" s="10">
        <f>'PAYRROLL- الشرائح'!AD14</f>
        <v>0</v>
      </c>
      <c r="G14" s="10">
        <f>('PAYRROLL- الشرائح'!P14+'PAYRROLL- الشرائح'!T14)</f>
        <v>0</v>
      </c>
      <c r="H14" s="11">
        <f>'PAYRROLL- الشرائح'!Z14</f>
        <v>0</v>
      </c>
      <c r="I14" s="11">
        <f>'PAYRROLL- الشرائح'!F14</f>
        <v>0</v>
      </c>
      <c r="J14" s="11">
        <f>'PAYRROLL- الشرائح'!G14</f>
        <v>0</v>
      </c>
      <c r="X14" s="13"/>
      <c r="Y14" s="13"/>
      <c r="AC14" s="6"/>
      <c r="AD14" s="13"/>
      <c r="AE14" s="13"/>
    </row>
    <row r="15" spans="2:31" ht="14.25" customHeight="1" x14ac:dyDescent="0.25">
      <c r="B15" s="7">
        <v>10</v>
      </c>
      <c r="C15" s="7">
        <f>'PAYRROLL- الشرائح'!$B15</f>
        <v>0</v>
      </c>
      <c r="D15" s="8">
        <f>'PAYRROLL- الشرائح'!M15</f>
        <v>0</v>
      </c>
      <c r="E15" s="9">
        <f>'PAYRROLL- الشرائح'!P15</f>
        <v>0</v>
      </c>
      <c r="F15" s="10">
        <f>'PAYRROLL- الشرائح'!AD15</f>
        <v>0</v>
      </c>
      <c r="G15" s="10">
        <f>('PAYRROLL- الشرائح'!P15+'PAYRROLL- الشرائح'!T15)</f>
        <v>0</v>
      </c>
      <c r="H15" s="11">
        <f>'PAYRROLL- الشرائح'!Z15</f>
        <v>0</v>
      </c>
      <c r="I15" s="11">
        <f>'PAYRROLL- الشرائح'!F15</f>
        <v>0</v>
      </c>
      <c r="J15" s="11">
        <f>'PAYRROLL- الشرائح'!G15</f>
        <v>0</v>
      </c>
      <c r="X15" s="13"/>
      <c r="Y15" s="13"/>
      <c r="AC15" s="6"/>
      <c r="AD15" s="13"/>
      <c r="AE15" s="13"/>
    </row>
    <row r="16" spans="2:31" ht="14.25" customHeight="1" x14ac:dyDescent="0.25">
      <c r="B16" s="7">
        <v>11</v>
      </c>
      <c r="C16" s="7">
        <f>'PAYRROLL- الشرائح'!$B16</f>
        <v>0</v>
      </c>
      <c r="D16" s="8">
        <f>'PAYRROLL- الشرائح'!M16</f>
        <v>0</v>
      </c>
      <c r="E16" s="9">
        <f>'PAYRROLL- الشرائح'!P16</f>
        <v>0</v>
      </c>
      <c r="F16" s="10">
        <f>'PAYRROLL- الشرائح'!AD16</f>
        <v>0</v>
      </c>
      <c r="G16" s="10">
        <f>('PAYRROLL- الشرائح'!P16+'PAYRROLL- الشرائح'!T16)</f>
        <v>0</v>
      </c>
      <c r="H16" s="11">
        <f>'PAYRROLL- الشرائح'!Z16</f>
        <v>0</v>
      </c>
      <c r="I16" s="11">
        <f>'PAYRROLL- الشرائح'!F16</f>
        <v>0</v>
      </c>
      <c r="J16" s="11">
        <f>'PAYRROLL- الشرائح'!G16</f>
        <v>0</v>
      </c>
      <c r="X16" s="13"/>
      <c r="Y16" s="13"/>
      <c r="AC16" s="6"/>
      <c r="AD16" s="13"/>
      <c r="AE16" s="13"/>
    </row>
    <row r="17" spans="2:31" ht="14.25" customHeight="1" x14ac:dyDescent="0.25">
      <c r="B17" s="7">
        <v>12</v>
      </c>
      <c r="C17" s="7">
        <f>'PAYRROLL- الشرائح'!$B17</f>
        <v>0</v>
      </c>
      <c r="D17" s="8">
        <f>'PAYRROLL- الشرائح'!M17</f>
        <v>0</v>
      </c>
      <c r="E17" s="9">
        <f>'PAYRROLL- الشرائح'!P17</f>
        <v>0</v>
      </c>
      <c r="F17" s="10">
        <f>'PAYRROLL- الشرائح'!AD17</f>
        <v>0</v>
      </c>
      <c r="G17" s="10">
        <f>('PAYRROLL- الشرائح'!P17+'PAYRROLL- الشرائح'!T17)</f>
        <v>0</v>
      </c>
      <c r="H17" s="11">
        <f>'PAYRROLL- الشرائح'!Z17</f>
        <v>0</v>
      </c>
      <c r="I17" s="11">
        <f>'PAYRROLL- الشرائح'!F17</f>
        <v>0</v>
      </c>
      <c r="J17" s="11">
        <f>'PAYRROLL- الشرائح'!G17</f>
        <v>0</v>
      </c>
      <c r="X17" s="13"/>
      <c r="Y17" s="13"/>
      <c r="AC17" s="6"/>
      <c r="AD17" s="13"/>
      <c r="AE17" s="13"/>
    </row>
    <row r="18" spans="2:31" ht="14.25" customHeight="1" x14ac:dyDescent="0.25">
      <c r="B18" s="7">
        <v>13</v>
      </c>
      <c r="C18" s="7">
        <f>'PAYRROLL- الشرائح'!$B18</f>
        <v>0</v>
      </c>
      <c r="D18" s="8">
        <f>'PAYRROLL- الشرائح'!M18</f>
        <v>0</v>
      </c>
      <c r="E18" s="9">
        <f>'PAYRROLL- الشرائح'!P18</f>
        <v>0</v>
      </c>
      <c r="F18" s="10">
        <f>'PAYRROLL- الشرائح'!AD18</f>
        <v>0</v>
      </c>
      <c r="G18" s="10">
        <f>('PAYRROLL- الشرائح'!P18+'PAYRROLL- الشرائح'!T18)</f>
        <v>0</v>
      </c>
      <c r="H18" s="11">
        <f>'PAYRROLL- الشرائح'!Z18</f>
        <v>0</v>
      </c>
      <c r="I18" s="11">
        <f>'PAYRROLL- الشرائح'!F18</f>
        <v>0</v>
      </c>
      <c r="J18" s="11">
        <f>'PAYRROLL- الشرائح'!G18</f>
        <v>0</v>
      </c>
      <c r="X18" s="13"/>
      <c r="Y18" s="13"/>
      <c r="AC18" s="6"/>
      <c r="AD18" s="13"/>
      <c r="AE18" s="13"/>
    </row>
    <row r="19" spans="2:31" ht="14.25" customHeight="1" x14ac:dyDescent="0.25">
      <c r="B19" s="7">
        <v>14</v>
      </c>
      <c r="C19" s="7">
        <f>'PAYRROLL- الشرائح'!$B19</f>
        <v>0</v>
      </c>
      <c r="D19" s="8">
        <f>'PAYRROLL- الشرائح'!M19</f>
        <v>0</v>
      </c>
      <c r="E19" s="9">
        <f>'PAYRROLL- الشرائح'!P19</f>
        <v>0</v>
      </c>
      <c r="F19" s="10">
        <f>'PAYRROLL- الشرائح'!AD19</f>
        <v>0</v>
      </c>
      <c r="G19" s="10">
        <f>('PAYRROLL- الشرائح'!P19+'PAYRROLL- الشرائح'!T19)</f>
        <v>0</v>
      </c>
      <c r="H19" s="11">
        <f>'PAYRROLL- الشرائح'!Z19</f>
        <v>0</v>
      </c>
      <c r="I19" s="11">
        <f>'PAYRROLL- الشرائح'!F19</f>
        <v>0</v>
      </c>
      <c r="J19" s="11">
        <f>'PAYRROLL- الشرائح'!G19</f>
        <v>0</v>
      </c>
      <c r="X19" s="13"/>
      <c r="Y19" s="13"/>
      <c r="AC19" s="6"/>
      <c r="AD19" s="13"/>
      <c r="AE19" s="13"/>
    </row>
    <row r="20" spans="2:31" ht="14.25" customHeight="1" x14ac:dyDescent="0.25">
      <c r="B20" s="7">
        <v>15</v>
      </c>
      <c r="C20" s="7">
        <f>'PAYRROLL- الشرائح'!$B20</f>
        <v>0</v>
      </c>
      <c r="D20" s="8">
        <f>'PAYRROLL- الشرائح'!M20</f>
        <v>0</v>
      </c>
      <c r="E20" s="9">
        <f>'PAYRROLL- الشرائح'!P20</f>
        <v>0</v>
      </c>
      <c r="F20" s="10">
        <f>'PAYRROLL- الشرائح'!AD20</f>
        <v>0</v>
      </c>
      <c r="G20" s="10">
        <f>('PAYRROLL- الشرائح'!P20+'PAYRROLL- الشرائح'!T20)</f>
        <v>0</v>
      </c>
      <c r="H20" s="11">
        <f>'PAYRROLL- الشرائح'!Z20</f>
        <v>0</v>
      </c>
      <c r="I20" s="11">
        <f>'PAYRROLL- الشرائح'!F20</f>
        <v>0</v>
      </c>
      <c r="J20" s="11">
        <f>'PAYRROLL- الشرائح'!G20</f>
        <v>0</v>
      </c>
      <c r="X20" s="13"/>
      <c r="Y20" s="13"/>
      <c r="AC20" s="6"/>
      <c r="AD20" s="13"/>
      <c r="AE20" s="13"/>
    </row>
    <row r="21" spans="2:31" ht="14.25" customHeight="1" x14ac:dyDescent="0.25">
      <c r="B21" s="7">
        <v>16</v>
      </c>
      <c r="C21" s="7">
        <f>'PAYRROLL- الشرائح'!$B21</f>
        <v>0</v>
      </c>
      <c r="D21" s="8">
        <f>'PAYRROLL- الشرائح'!M21</f>
        <v>0</v>
      </c>
      <c r="E21" s="9">
        <f>'PAYRROLL- الشرائح'!P21</f>
        <v>0</v>
      </c>
      <c r="F21" s="10">
        <f>'PAYRROLL- الشرائح'!AD21</f>
        <v>0</v>
      </c>
      <c r="G21" s="10">
        <f>('PAYRROLL- الشرائح'!P21+'PAYRROLL- الشرائح'!T21)</f>
        <v>0</v>
      </c>
      <c r="H21" s="11">
        <f>'PAYRROLL- الشرائح'!Z21</f>
        <v>0</v>
      </c>
      <c r="I21" s="11">
        <f>'PAYRROLL- الشرائح'!F21</f>
        <v>0</v>
      </c>
      <c r="J21" s="11">
        <f>'PAYRROLL- الشرائح'!G21</f>
        <v>0</v>
      </c>
      <c r="X21" s="13"/>
      <c r="Y21" s="13"/>
      <c r="AC21" s="6"/>
      <c r="AD21" s="13"/>
      <c r="AE21" s="13"/>
    </row>
    <row r="22" spans="2:31" ht="14.25" customHeight="1" x14ac:dyDescent="0.25">
      <c r="B22" s="7">
        <v>17</v>
      </c>
      <c r="C22" s="7">
        <f>'PAYRROLL- الشرائح'!$B22</f>
        <v>0</v>
      </c>
      <c r="D22" s="8">
        <f>'PAYRROLL- الشرائح'!M22</f>
        <v>0</v>
      </c>
      <c r="E22" s="9">
        <f>'PAYRROLL- الشرائح'!P22</f>
        <v>0</v>
      </c>
      <c r="F22" s="10">
        <f>'PAYRROLL- الشرائح'!AD22</f>
        <v>0</v>
      </c>
      <c r="G22" s="10">
        <f>('PAYRROLL- الشرائح'!P22+'PAYRROLL- الشرائح'!T22)</f>
        <v>0</v>
      </c>
      <c r="H22" s="11">
        <f>'PAYRROLL- الشرائح'!Z22</f>
        <v>0</v>
      </c>
      <c r="I22" s="11">
        <f>'PAYRROLL- الشرائح'!F22</f>
        <v>0</v>
      </c>
      <c r="J22" s="11">
        <f>'PAYRROLL- الشرائح'!G22</f>
        <v>0</v>
      </c>
      <c r="X22" s="13"/>
      <c r="Y22" s="13"/>
      <c r="AC22" s="6"/>
      <c r="AD22" s="13"/>
      <c r="AE22" s="13"/>
    </row>
    <row r="23" spans="2:31" ht="14.25" customHeight="1" x14ac:dyDescent="0.25">
      <c r="B23" s="7">
        <v>18</v>
      </c>
      <c r="C23" s="7">
        <f>'PAYRROLL- الشرائح'!$B23</f>
        <v>0</v>
      </c>
      <c r="D23" s="8">
        <f>'PAYRROLL- الشرائح'!M23</f>
        <v>0</v>
      </c>
      <c r="E23" s="9">
        <f>'PAYRROLL- الشرائح'!P23</f>
        <v>0</v>
      </c>
      <c r="F23" s="10">
        <f>'PAYRROLL- الشرائح'!AD23</f>
        <v>0</v>
      </c>
      <c r="G23" s="10">
        <f>('PAYRROLL- الشرائح'!P23+'PAYRROLL- الشرائح'!T23)</f>
        <v>0</v>
      </c>
      <c r="H23" s="11">
        <f>'PAYRROLL- الشرائح'!Z23</f>
        <v>0</v>
      </c>
      <c r="I23" s="11">
        <f>'PAYRROLL- الشرائح'!F23</f>
        <v>0</v>
      </c>
      <c r="J23" s="11">
        <f>'PAYRROLL- الشرائح'!G23</f>
        <v>0</v>
      </c>
      <c r="X23" s="13"/>
      <c r="Y23" s="13"/>
      <c r="AC23" s="6"/>
      <c r="AD23" s="13"/>
      <c r="AE23" s="13"/>
    </row>
    <row r="24" spans="2:31" ht="14.25" customHeight="1" x14ac:dyDescent="0.25">
      <c r="B24" s="7">
        <v>19</v>
      </c>
      <c r="C24" s="7">
        <f>'PAYRROLL- الشرائح'!$B24</f>
        <v>0</v>
      </c>
      <c r="D24" s="8">
        <f>'PAYRROLL- الشرائح'!M24</f>
        <v>0</v>
      </c>
      <c r="E24" s="9">
        <f>'PAYRROLL- الشرائح'!P24</f>
        <v>0</v>
      </c>
      <c r="F24" s="10">
        <f>'PAYRROLL- الشرائح'!AD24</f>
        <v>0</v>
      </c>
      <c r="G24" s="10">
        <f>('PAYRROLL- الشرائح'!P24+'PAYRROLL- الشرائح'!T24)</f>
        <v>0</v>
      </c>
      <c r="H24" s="11">
        <f>'PAYRROLL- الشرائح'!Z24</f>
        <v>0</v>
      </c>
      <c r="I24" s="11">
        <f>'PAYRROLL- الشرائح'!F24</f>
        <v>0</v>
      </c>
      <c r="J24" s="11">
        <f>'PAYRROLL- الشرائح'!G24</f>
        <v>0</v>
      </c>
      <c r="X24" s="13"/>
      <c r="Y24" s="13"/>
      <c r="AC24" s="6"/>
      <c r="AD24" s="13"/>
      <c r="AE24" s="13"/>
    </row>
    <row r="25" spans="2:31" ht="14.25" customHeight="1" x14ac:dyDescent="0.25">
      <c r="B25" s="7">
        <v>20</v>
      </c>
      <c r="C25" s="7">
        <f>'PAYRROLL- الشرائح'!$B25</f>
        <v>0</v>
      </c>
      <c r="D25" s="8">
        <f>'PAYRROLL- الشرائح'!M25</f>
        <v>0</v>
      </c>
      <c r="E25" s="9">
        <f>'PAYRROLL- الشرائح'!P25</f>
        <v>0</v>
      </c>
      <c r="F25" s="10">
        <f>'PAYRROLL- الشرائح'!AD25</f>
        <v>0</v>
      </c>
      <c r="G25" s="10">
        <f>('PAYRROLL- الشرائح'!P25+'PAYRROLL- الشرائح'!T25)</f>
        <v>0</v>
      </c>
      <c r="H25" s="11">
        <f>'PAYRROLL- الشرائح'!Z25</f>
        <v>0</v>
      </c>
      <c r="I25" s="11">
        <f>'PAYRROLL- الشرائح'!F25</f>
        <v>0</v>
      </c>
      <c r="J25" s="11">
        <f>'PAYRROLL- الشرائح'!G25</f>
        <v>0</v>
      </c>
      <c r="X25" s="13"/>
      <c r="Y25" s="13"/>
      <c r="AC25" s="6"/>
      <c r="AD25" s="13"/>
      <c r="AE25" s="13"/>
    </row>
    <row r="26" spans="2:31" ht="14.25" customHeight="1" x14ac:dyDescent="0.25">
      <c r="B26" s="7">
        <v>21</v>
      </c>
      <c r="C26" s="7">
        <f>'PAYRROLL- الشرائح'!$B26</f>
        <v>0</v>
      </c>
      <c r="D26" s="8">
        <f>'PAYRROLL- الشرائح'!M26</f>
        <v>0</v>
      </c>
      <c r="E26" s="9">
        <f>'PAYRROLL- الشرائح'!P26</f>
        <v>0</v>
      </c>
      <c r="F26" s="10">
        <f>'PAYRROLL- الشرائح'!AD26</f>
        <v>0</v>
      </c>
      <c r="G26" s="10">
        <f>('PAYRROLL- الشرائح'!P26+'PAYRROLL- الشرائح'!T26)</f>
        <v>0</v>
      </c>
      <c r="H26" s="11">
        <f>'PAYRROLL- الشرائح'!Z26</f>
        <v>0</v>
      </c>
      <c r="I26" s="11">
        <f>'PAYRROLL- الشرائح'!F26</f>
        <v>0</v>
      </c>
      <c r="J26" s="11">
        <f>'PAYRROLL- الشرائح'!G26</f>
        <v>0</v>
      </c>
      <c r="X26" s="13"/>
      <c r="Y26" s="13"/>
      <c r="AC26" s="6"/>
      <c r="AD26" s="13"/>
      <c r="AE26" s="13"/>
    </row>
    <row r="27" spans="2:31" ht="14.25" customHeight="1" x14ac:dyDescent="0.25">
      <c r="B27" s="7">
        <v>22</v>
      </c>
      <c r="C27" s="7">
        <f>'PAYRROLL- الشرائح'!$B27</f>
        <v>0</v>
      </c>
      <c r="D27" s="8">
        <f>'PAYRROLL- الشرائح'!M27</f>
        <v>0</v>
      </c>
      <c r="E27" s="9">
        <f>'PAYRROLL- الشرائح'!P27</f>
        <v>0</v>
      </c>
      <c r="F27" s="10">
        <f>'PAYRROLL- الشرائح'!AD27</f>
        <v>0</v>
      </c>
      <c r="G27" s="10">
        <f>('PAYRROLL- الشرائح'!P27+'PAYRROLL- الشرائح'!T27)</f>
        <v>0</v>
      </c>
      <c r="H27" s="11">
        <f>'PAYRROLL- الشرائح'!Z27</f>
        <v>0</v>
      </c>
      <c r="I27" s="11">
        <f>'PAYRROLL- الشرائح'!F27</f>
        <v>0</v>
      </c>
      <c r="J27" s="11">
        <f>'PAYRROLL- الشرائح'!G27</f>
        <v>0</v>
      </c>
      <c r="X27" s="13"/>
      <c r="Y27" s="13"/>
      <c r="AC27" s="6"/>
      <c r="AD27" s="13"/>
      <c r="AE27" s="13"/>
    </row>
    <row r="28" spans="2:31" ht="14.25" customHeight="1" x14ac:dyDescent="0.25">
      <c r="B28" s="7">
        <v>23</v>
      </c>
      <c r="C28" s="7">
        <f>'PAYRROLL- الشرائح'!$B28</f>
        <v>0</v>
      </c>
      <c r="D28" s="8">
        <f>'PAYRROLL- الشرائح'!M28</f>
        <v>0</v>
      </c>
      <c r="E28" s="9">
        <f>'PAYRROLL- الشرائح'!P28</f>
        <v>0</v>
      </c>
      <c r="F28" s="10">
        <f>'PAYRROLL- الشرائح'!AD28</f>
        <v>0</v>
      </c>
      <c r="G28" s="10">
        <f>('PAYRROLL- الشرائح'!P28+'PAYRROLL- الشرائح'!T28)</f>
        <v>0</v>
      </c>
      <c r="H28" s="11">
        <f>'PAYRROLL- الشرائح'!Z28</f>
        <v>0</v>
      </c>
      <c r="I28" s="11">
        <f>'PAYRROLL- الشرائح'!F28</f>
        <v>0</v>
      </c>
      <c r="J28" s="11">
        <f>'PAYRROLL- الشرائح'!G28</f>
        <v>0</v>
      </c>
      <c r="X28" s="13"/>
      <c r="Y28" s="13"/>
      <c r="AC28" s="6"/>
      <c r="AD28" s="13"/>
      <c r="AE28" s="13"/>
    </row>
    <row r="29" spans="2:31" ht="14.25" customHeight="1" x14ac:dyDescent="0.25">
      <c r="B29" s="7">
        <v>24</v>
      </c>
      <c r="C29" s="7">
        <f>'PAYRROLL- الشرائح'!$B29</f>
        <v>0</v>
      </c>
      <c r="D29" s="8">
        <f>'PAYRROLL- الشرائح'!M29</f>
        <v>0</v>
      </c>
      <c r="E29" s="9">
        <f>'PAYRROLL- الشرائح'!P29</f>
        <v>0</v>
      </c>
      <c r="F29" s="10">
        <f>'PAYRROLL- الشرائح'!AD29</f>
        <v>0</v>
      </c>
      <c r="G29" s="10">
        <f>('PAYRROLL- الشرائح'!P29+'PAYRROLL- الشرائح'!T29)</f>
        <v>0</v>
      </c>
      <c r="H29" s="11">
        <f>'PAYRROLL- الشرائح'!Z29</f>
        <v>0</v>
      </c>
      <c r="I29" s="11">
        <f>'PAYRROLL- الشرائح'!F29</f>
        <v>0</v>
      </c>
      <c r="J29" s="11">
        <f>'PAYRROLL- الشرائح'!G29</f>
        <v>0</v>
      </c>
      <c r="X29" s="13"/>
      <c r="Y29" s="13"/>
      <c r="AC29" s="6"/>
      <c r="AD29" s="13"/>
      <c r="AE29" s="13"/>
    </row>
    <row r="30" spans="2:31" ht="14.25" customHeight="1" x14ac:dyDescent="0.25">
      <c r="B30" s="7">
        <v>25</v>
      </c>
      <c r="C30" s="7">
        <f>'PAYRROLL- الشرائح'!$B30</f>
        <v>0</v>
      </c>
      <c r="D30" s="8">
        <f>'PAYRROLL- الشرائح'!M30</f>
        <v>0</v>
      </c>
      <c r="E30" s="9">
        <f>'PAYRROLL- الشرائح'!P30</f>
        <v>0</v>
      </c>
      <c r="F30" s="10">
        <f>'PAYRROLL- الشرائح'!AD30</f>
        <v>0</v>
      </c>
      <c r="G30" s="10">
        <f>('PAYRROLL- الشرائح'!P30+'PAYRROLL- الشرائح'!T30)</f>
        <v>0</v>
      </c>
      <c r="H30" s="11">
        <f>'PAYRROLL- الشرائح'!Z30</f>
        <v>0</v>
      </c>
      <c r="I30" s="11">
        <f>'PAYRROLL- الشرائح'!F30</f>
        <v>0</v>
      </c>
      <c r="J30" s="11">
        <f>'PAYRROLL- الشرائح'!G30</f>
        <v>0</v>
      </c>
      <c r="X30" s="13"/>
      <c r="Y30" s="13"/>
      <c r="AC30" s="6"/>
      <c r="AD30" s="13"/>
      <c r="AE30" s="13"/>
    </row>
    <row r="31" spans="2:31" ht="14.25" customHeight="1" x14ac:dyDescent="0.25">
      <c r="B31" s="7">
        <v>26</v>
      </c>
      <c r="C31" s="7">
        <f>'PAYRROLL- الشرائح'!$B31</f>
        <v>0</v>
      </c>
      <c r="D31" s="8">
        <f>'PAYRROLL- الشرائح'!M31</f>
        <v>0</v>
      </c>
      <c r="E31" s="9">
        <f>'PAYRROLL- الشرائح'!P31</f>
        <v>0</v>
      </c>
      <c r="F31" s="10">
        <f>'PAYRROLL- الشرائح'!AD31</f>
        <v>0</v>
      </c>
      <c r="G31" s="10">
        <f>('PAYRROLL- الشرائح'!P31+'PAYRROLL- الشرائح'!T31)</f>
        <v>0</v>
      </c>
      <c r="H31" s="11">
        <f>'PAYRROLL- الشرائح'!Z31</f>
        <v>0</v>
      </c>
      <c r="I31" s="11">
        <f>'PAYRROLL- الشرائح'!F31</f>
        <v>0</v>
      </c>
      <c r="J31" s="11">
        <f>'PAYRROLL- الشرائح'!G31</f>
        <v>0</v>
      </c>
      <c r="X31" s="13"/>
      <c r="Y31" s="13"/>
      <c r="AC31" s="6"/>
      <c r="AD31" s="13"/>
      <c r="AE31" s="13"/>
    </row>
    <row r="32" spans="2:31" ht="14.25" customHeight="1" x14ac:dyDescent="0.25">
      <c r="B32" s="7">
        <v>27</v>
      </c>
      <c r="C32" s="7">
        <f>'PAYRROLL- الشرائح'!$B32</f>
        <v>0</v>
      </c>
      <c r="D32" s="8">
        <f>'PAYRROLL- الشرائح'!M32</f>
        <v>0</v>
      </c>
      <c r="E32" s="9">
        <f>'PAYRROLL- الشرائح'!P32</f>
        <v>0</v>
      </c>
      <c r="F32" s="10">
        <f>'PAYRROLL- الشرائح'!AD32</f>
        <v>0</v>
      </c>
      <c r="G32" s="10">
        <f>('PAYRROLL- الشرائح'!P32+'PAYRROLL- الشرائح'!T32)</f>
        <v>0</v>
      </c>
      <c r="H32" s="11">
        <f>'PAYRROLL- الشرائح'!Z32</f>
        <v>0</v>
      </c>
      <c r="I32" s="11">
        <f>'PAYRROLL- الشرائح'!F32</f>
        <v>0</v>
      </c>
      <c r="J32" s="11">
        <f>'PAYRROLL- الشرائح'!G32</f>
        <v>0</v>
      </c>
      <c r="X32" s="13"/>
      <c r="Y32" s="13"/>
      <c r="AC32" s="6"/>
      <c r="AD32" s="13"/>
      <c r="AE32" s="13"/>
    </row>
    <row r="33" spans="2:31" ht="14.25" customHeight="1" x14ac:dyDescent="0.25">
      <c r="B33" s="7">
        <v>28</v>
      </c>
      <c r="C33" s="7">
        <f>'PAYRROLL- الشرائح'!$B33</f>
        <v>0</v>
      </c>
      <c r="D33" s="8">
        <f>'PAYRROLL- الشرائح'!M33</f>
        <v>0</v>
      </c>
      <c r="E33" s="9">
        <f>'PAYRROLL- الشرائح'!P33</f>
        <v>0</v>
      </c>
      <c r="F33" s="10">
        <f>'PAYRROLL- الشرائح'!AD33</f>
        <v>0</v>
      </c>
      <c r="G33" s="10">
        <f>('PAYRROLL- الشرائح'!P33+'PAYRROLL- الشرائح'!T33)</f>
        <v>0</v>
      </c>
      <c r="H33" s="11">
        <f>'PAYRROLL- الشرائح'!Z33</f>
        <v>0</v>
      </c>
      <c r="I33" s="11">
        <f>'PAYRROLL- الشرائح'!F33</f>
        <v>0</v>
      </c>
      <c r="J33" s="11">
        <f>'PAYRROLL- الشرائح'!G33</f>
        <v>0</v>
      </c>
      <c r="X33" s="13"/>
      <c r="Y33" s="13"/>
      <c r="AC33" s="6"/>
      <c r="AD33" s="13"/>
      <c r="AE33" s="13"/>
    </row>
    <row r="34" spans="2:31" ht="14.25" customHeight="1" x14ac:dyDescent="0.25">
      <c r="B34" s="7">
        <v>29</v>
      </c>
      <c r="C34" s="7">
        <f>'PAYRROLL- الشرائح'!$B34</f>
        <v>0</v>
      </c>
      <c r="D34" s="8">
        <f>'PAYRROLL- الشرائح'!M34</f>
        <v>0</v>
      </c>
      <c r="E34" s="9">
        <f>'PAYRROLL- الشرائح'!P34</f>
        <v>0</v>
      </c>
      <c r="F34" s="10">
        <f>'PAYRROLL- الشرائح'!AD34</f>
        <v>0</v>
      </c>
      <c r="G34" s="10">
        <f>('PAYRROLL- الشرائح'!P34+'PAYRROLL- الشرائح'!T34)</f>
        <v>0</v>
      </c>
      <c r="H34" s="11">
        <f>'PAYRROLL- الشرائح'!Z34</f>
        <v>0</v>
      </c>
      <c r="I34" s="11">
        <f>'PAYRROLL- الشرائح'!F34</f>
        <v>0</v>
      </c>
      <c r="J34" s="11">
        <f>'PAYRROLL- الشرائح'!G34</f>
        <v>0</v>
      </c>
      <c r="X34" s="13"/>
      <c r="Y34" s="13"/>
      <c r="AC34" s="6"/>
      <c r="AD34" s="13"/>
      <c r="AE34" s="13"/>
    </row>
    <row r="35" spans="2:31" ht="14.25" customHeight="1" x14ac:dyDescent="0.25">
      <c r="B35" s="7">
        <v>30</v>
      </c>
      <c r="C35" s="7">
        <f>'PAYRROLL- الشرائح'!$B35</f>
        <v>0</v>
      </c>
      <c r="D35" s="8">
        <f>'PAYRROLL- الشرائح'!M35</f>
        <v>0</v>
      </c>
      <c r="E35" s="9">
        <f>'PAYRROLL- الشرائح'!P35</f>
        <v>0</v>
      </c>
      <c r="F35" s="10">
        <f>'PAYRROLL- الشرائح'!AD35</f>
        <v>0</v>
      </c>
      <c r="G35" s="10">
        <f>('PAYRROLL- الشرائح'!P35+'PAYRROLL- الشرائح'!T35)</f>
        <v>0</v>
      </c>
      <c r="H35" s="11">
        <f>'PAYRROLL- الشرائح'!Z35</f>
        <v>0</v>
      </c>
      <c r="I35" s="11">
        <f>'PAYRROLL- الشرائح'!F35</f>
        <v>0</v>
      </c>
      <c r="J35" s="11">
        <f>'PAYRROLL- الشرائح'!G35</f>
        <v>0</v>
      </c>
      <c r="X35" s="13"/>
      <c r="Y35" s="13"/>
      <c r="AC35" s="6"/>
      <c r="AD35" s="13"/>
      <c r="AE35" s="13"/>
    </row>
    <row r="36" spans="2:31" ht="14.25" customHeight="1" x14ac:dyDescent="0.25">
      <c r="B36" s="7">
        <v>31</v>
      </c>
      <c r="C36" s="7">
        <f>'PAYRROLL- الشرائح'!$B36</f>
        <v>0</v>
      </c>
      <c r="D36" s="8">
        <f>'PAYRROLL- الشرائح'!M36</f>
        <v>0</v>
      </c>
      <c r="E36" s="9">
        <f>'PAYRROLL- الشرائح'!P36</f>
        <v>0</v>
      </c>
      <c r="F36" s="10">
        <f>'PAYRROLL- الشرائح'!AD36</f>
        <v>0</v>
      </c>
      <c r="G36" s="10">
        <f>('PAYRROLL- الشرائح'!P36+'PAYRROLL- الشرائح'!T36)</f>
        <v>0</v>
      </c>
      <c r="H36" s="11">
        <f>'PAYRROLL- الشرائح'!Z36</f>
        <v>0</v>
      </c>
      <c r="I36" s="11">
        <f>'PAYRROLL- الشرائح'!F36</f>
        <v>0</v>
      </c>
      <c r="J36" s="11">
        <f>'PAYRROLL- الشرائح'!G36</f>
        <v>0</v>
      </c>
      <c r="X36" s="13"/>
      <c r="Y36" s="13"/>
      <c r="AC36" s="6"/>
      <c r="AD36" s="13"/>
      <c r="AE36" s="13"/>
    </row>
    <row r="37" spans="2:31" ht="14.25" customHeight="1" x14ac:dyDescent="0.25">
      <c r="B37" s="7">
        <v>32</v>
      </c>
      <c r="C37" s="7">
        <f>'PAYRROLL- الشرائح'!$B37</f>
        <v>0</v>
      </c>
      <c r="D37" s="8">
        <f>'PAYRROLL- الشرائح'!M37</f>
        <v>0</v>
      </c>
      <c r="E37" s="9">
        <f>'PAYRROLL- الشرائح'!P37</f>
        <v>0</v>
      </c>
      <c r="F37" s="10">
        <f>'PAYRROLL- الشرائح'!AD37</f>
        <v>0</v>
      </c>
      <c r="G37" s="10">
        <f>('PAYRROLL- الشرائح'!P37+'PAYRROLL- الشرائح'!T37)</f>
        <v>0</v>
      </c>
      <c r="H37" s="11">
        <f>'PAYRROLL- الشرائح'!Z37</f>
        <v>0</v>
      </c>
      <c r="I37" s="11">
        <f>'PAYRROLL- الشرائح'!F37</f>
        <v>0</v>
      </c>
      <c r="J37" s="11">
        <f>'PAYRROLL- الشرائح'!G37</f>
        <v>0</v>
      </c>
      <c r="X37" s="13"/>
      <c r="Y37" s="13"/>
      <c r="AC37" s="6"/>
      <c r="AD37" s="13"/>
      <c r="AE37" s="13"/>
    </row>
    <row r="38" spans="2:31" ht="14.25" customHeight="1" x14ac:dyDescent="0.25">
      <c r="B38" s="7">
        <v>33</v>
      </c>
      <c r="C38" s="7">
        <f>'PAYRROLL- الشرائح'!$B38</f>
        <v>0</v>
      </c>
      <c r="D38" s="8">
        <f>'PAYRROLL- الشرائح'!M38</f>
        <v>0</v>
      </c>
      <c r="E38" s="9">
        <f>'PAYRROLL- الشرائح'!P38</f>
        <v>0</v>
      </c>
      <c r="F38" s="10">
        <f>'PAYRROLL- الشرائح'!AD38</f>
        <v>0</v>
      </c>
      <c r="G38" s="10">
        <f>('PAYRROLL- الشرائح'!P38+'PAYRROLL- الشرائح'!T38)</f>
        <v>0</v>
      </c>
      <c r="H38" s="11">
        <f>'PAYRROLL- الشرائح'!Z38</f>
        <v>0</v>
      </c>
      <c r="I38" s="11">
        <f>'PAYRROLL- الشرائح'!F38</f>
        <v>0</v>
      </c>
      <c r="J38" s="11">
        <f>'PAYRROLL- الشرائح'!G38</f>
        <v>0</v>
      </c>
      <c r="X38" s="13"/>
      <c r="Y38" s="13"/>
      <c r="AC38" s="6"/>
      <c r="AD38" s="13"/>
      <c r="AE38" s="13"/>
    </row>
    <row r="39" spans="2:31" ht="14.25" customHeight="1" x14ac:dyDescent="0.25">
      <c r="B39" s="7">
        <v>34</v>
      </c>
      <c r="C39" s="7">
        <f>'PAYRROLL- الشرائح'!$B39</f>
        <v>0</v>
      </c>
      <c r="D39" s="8">
        <f>'PAYRROLL- الشرائح'!M39</f>
        <v>0</v>
      </c>
      <c r="E39" s="9">
        <f>'PAYRROLL- الشرائح'!P39</f>
        <v>0</v>
      </c>
      <c r="F39" s="10">
        <f>'PAYRROLL- الشرائح'!AD39</f>
        <v>0</v>
      </c>
      <c r="G39" s="10">
        <f>('PAYRROLL- الشرائح'!P39+'PAYRROLL- الشرائح'!T39)</f>
        <v>0</v>
      </c>
      <c r="H39" s="11">
        <f>'PAYRROLL- الشرائح'!Z39</f>
        <v>0</v>
      </c>
      <c r="I39" s="11">
        <f>'PAYRROLL- الشرائح'!F39</f>
        <v>0</v>
      </c>
      <c r="J39" s="11">
        <f>'PAYRROLL- الشرائح'!G39</f>
        <v>0</v>
      </c>
      <c r="X39" s="13"/>
      <c r="Y39" s="13"/>
      <c r="AC39" s="6"/>
      <c r="AD39" s="13"/>
      <c r="AE39" s="13"/>
    </row>
    <row r="40" spans="2:31" ht="14.25" customHeight="1" x14ac:dyDescent="0.25">
      <c r="B40" s="7">
        <v>35</v>
      </c>
      <c r="C40" s="7">
        <f>'PAYRROLL- الشرائح'!$B40</f>
        <v>0</v>
      </c>
      <c r="D40" s="8">
        <f>'PAYRROLL- الشرائح'!M40</f>
        <v>0</v>
      </c>
      <c r="E40" s="9">
        <f>'PAYRROLL- الشرائح'!P40</f>
        <v>0</v>
      </c>
      <c r="F40" s="10">
        <f>'PAYRROLL- الشرائح'!AD40</f>
        <v>0</v>
      </c>
      <c r="G40" s="10">
        <f>('PAYRROLL- الشرائح'!P40+'PAYRROLL- الشرائح'!T40)</f>
        <v>0</v>
      </c>
      <c r="H40" s="11">
        <f>'PAYRROLL- الشرائح'!Z40</f>
        <v>0</v>
      </c>
      <c r="I40" s="11">
        <f>'PAYRROLL- الشرائح'!F40</f>
        <v>0</v>
      </c>
      <c r="J40" s="11">
        <f>'PAYRROLL- الشرائح'!G40</f>
        <v>0</v>
      </c>
      <c r="X40" s="13"/>
      <c r="Y40" s="13"/>
      <c r="AC40" s="6"/>
      <c r="AD40" s="13"/>
      <c r="AE40" s="13">
        <v>0</v>
      </c>
    </row>
    <row r="41" spans="2:31" ht="14.25" customHeight="1" x14ac:dyDescent="0.25">
      <c r="B41" s="7">
        <v>36</v>
      </c>
      <c r="C41" s="7">
        <f>'PAYRROLL- الشرائح'!$B41</f>
        <v>0</v>
      </c>
      <c r="D41" s="8">
        <f>'PAYRROLL- الشرائح'!M41</f>
        <v>0</v>
      </c>
      <c r="E41" s="9">
        <f>'PAYRROLL- الشرائح'!P41</f>
        <v>0</v>
      </c>
      <c r="F41" s="10">
        <f>'PAYRROLL- الشرائح'!AD41</f>
        <v>0</v>
      </c>
      <c r="G41" s="10">
        <f>('PAYRROLL- الشرائح'!P41+'PAYRROLL- الشرائح'!T41)</f>
        <v>0</v>
      </c>
      <c r="H41" s="11">
        <f>'PAYRROLL- الشرائح'!Z41</f>
        <v>0</v>
      </c>
      <c r="I41" s="11">
        <f>'PAYRROLL- الشرائح'!F41</f>
        <v>0</v>
      </c>
      <c r="J41" s="11">
        <f>'PAYRROLL- الشرائح'!G41</f>
        <v>0</v>
      </c>
      <c r="X41" s="13"/>
      <c r="Y41" s="13"/>
      <c r="AC41" s="6"/>
      <c r="AD41" s="13"/>
      <c r="AE41" s="13"/>
    </row>
    <row r="42" spans="2:31" ht="14.25" customHeight="1" x14ac:dyDescent="0.25">
      <c r="B42" s="7">
        <v>37</v>
      </c>
      <c r="C42" s="7">
        <f>'PAYRROLL- الشرائح'!$B42</f>
        <v>0</v>
      </c>
      <c r="D42" s="8">
        <f>'PAYRROLL- الشرائح'!M42</f>
        <v>0</v>
      </c>
      <c r="E42" s="9">
        <f>'PAYRROLL- الشرائح'!P42</f>
        <v>0</v>
      </c>
      <c r="F42" s="10">
        <f>'PAYRROLL- الشرائح'!AD42</f>
        <v>0</v>
      </c>
      <c r="G42" s="10">
        <f>('PAYRROLL- الشرائح'!P42+'PAYRROLL- الشرائح'!T42)</f>
        <v>0</v>
      </c>
      <c r="H42" s="11">
        <f>'PAYRROLL- الشرائح'!Z42</f>
        <v>0</v>
      </c>
      <c r="I42" s="11">
        <f>'PAYRROLL- الشرائح'!F42</f>
        <v>0</v>
      </c>
      <c r="J42" s="11">
        <f>'PAYRROLL- الشرائح'!G42</f>
        <v>0</v>
      </c>
      <c r="X42" s="13"/>
      <c r="Y42" s="13"/>
      <c r="AC42" s="6"/>
      <c r="AD42" s="13"/>
      <c r="AE42" s="13"/>
    </row>
    <row r="43" spans="2:31" ht="14.25" customHeight="1" x14ac:dyDescent="0.25">
      <c r="B43" s="7">
        <v>38</v>
      </c>
      <c r="C43" s="7">
        <f>'PAYRROLL- الشرائح'!$B43</f>
        <v>0</v>
      </c>
      <c r="D43" s="8">
        <f>'PAYRROLL- الشرائح'!M43</f>
        <v>0</v>
      </c>
      <c r="E43" s="9">
        <f>'PAYRROLL- الشرائح'!P43</f>
        <v>0</v>
      </c>
      <c r="F43" s="10">
        <f>'PAYRROLL- الشرائح'!AD43</f>
        <v>0</v>
      </c>
      <c r="G43" s="10">
        <f>('PAYRROLL- الشرائح'!P43+'PAYRROLL- الشرائح'!T43)</f>
        <v>0</v>
      </c>
      <c r="H43" s="11">
        <f>'PAYRROLL- الشرائح'!Z43</f>
        <v>0</v>
      </c>
      <c r="I43" s="11">
        <f>'PAYRROLL- الشرائح'!F43</f>
        <v>0</v>
      </c>
      <c r="J43" s="11">
        <f>'PAYRROLL- الشرائح'!G43</f>
        <v>0</v>
      </c>
      <c r="X43" s="13"/>
      <c r="Y43" s="13"/>
      <c r="AC43" s="6"/>
      <c r="AD43" s="13"/>
      <c r="AE43" s="13"/>
    </row>
    <row r="44" spans="2:31" ht="14.25" customHeight="1" x14ac:dyDescent="0.25">
      <c r="B44" s="7">
        <v>39</v>
      </c>
      <c r="C44" s="7">
        <f>'PAYRROLL- الشرائح'!$B44</f>
        <v>0</v>
      </c>
      <c r="D44" s="8">
        <f>'PAYRROLL- الشرائح'!M44</f>
        <v>0</v>
      </c>
      <c r="E44" s="9">
        <f>'PAYRROLL- الشرائح'!P44</f>
        <v>0</v>
      </c>
      <c r="F44" s="10">
        <f>'PAYRROLL- الشرائح'!AD44</f>
        <v>0</v>
      </c>
      <c r="G44" s="10">
        <f>('PAYRROLL- الشرائح'!P44+'PAYRROLL- الشرائح'!T44)</f>
        <v>0</v>
      </c>
      <c r="H44" s="11">
        <f>'PAYRROLL- الشرائح'!Z44</f>
        <v>0</v>
      </c>
      <c r="I44" s="11">
        <f>'PAYRROLL- الشرائح'!F44</f>
        <v>0</v>
      </c>
      <c r="J44" s="11">
        <f>'PAYRROLL- الشرائح'!G44</f>
        <v>0</v>
      </c>
      <c r="X44" s="13"/>
      <c r="Y44" s="13"/>
      <c r="AC44" s="6"/>
      <c r="AD44" s="13"/>
      <c r="AE44" s="13"/>
    </row>
    <row r="45" spans="2:31" ht="14.25" customHeight="1" x14ac:dyDescent="0.25">
      <c r="B45" s="7">
        <v>40</v>
      </c>
      <c r="C45" s="7">
        <f>'PAYRROLL- الشرائح'!$B45</f>
        <v>0</v>
      </c>
      <c r="D45" s="8">
        <f>'PAYRROLL- الشرائح'!M45</f>
        <v>0</v>
      </c>
      <c r="E45" s="9">
        <f>'PAYRROLL- الشرائح'!P45</f>
        <v>0</v>
      </c>
      <c r="F45" s="10">
        <f>'PAYRROLL- الشرائح'!AD45</f>
        <v>0</v>
      </c>
      <c r="G45" s="10">
        <f>('PAYRROLL- الشرائح'!P45+'PAYRROLL- الشرائح'!T45)</f>
        <v>0</v>
      </c>
      <c r="H45" s="11">
        <f>'PAYRROLL- الشرائح'!Z45</f>
        <v>0</v>
      </c>
      <c r="I45" s="11">
        <f>'PAYRROLL- الشرائح'!F45</f>
        <v>0</v>
      </c>
      <c r="J45" s="11">
        <f>'PAYRROLL- الشرائح'!G45</f>
        <v>0</v>
      </c>
      <c r="X45" s="13"/>
      <c r="Y45" s="13"/>
      <c r="AC45" s="6"/>
      <c r="AD45" s="13"/>
      <c r="AE45" s="13"/>
    </row>
    <row r="46" spans="2:31" ht="14.25" customHeight="1" x14ac:dyDescent="0.25">
      <c r="B46" s="7">
        <v>41</v>
      </c>
      <c r="C46" s="7">
        <f>'PAYRROLL- الشرائح'!$B46</f>
        <v>0</v>
      </c>
      <c r="D46" s="8">
        <f>'PAYRROLL- الشرائح'!M46</f>
        <v>0</v>
      </c>
      <c r="E46" s="9">
        <f>'PAYRROLL- الشرائح'!P46</f>
        <v>0</v>
      </c>
      <c r="F46" s="10">
        <f>'PAYRROLL- الشرائح'!AD46</f>
        <v>0</v>
      </c>
      <c r="G46" s="10">
        <f>('PAYRROLL- الشرائح'!P46+'PAYRROLL- الشرائح'!T46)</f>
        <v>0</v>
      </c>
      <c r="H46" s="11">
        <f>'PAYRROLL- الشرائح'!Z46</f>
        <v>0</v>
      </c>
      <c r="I46" s="11">
        <f>'PAYRROLL- الشرائح'!F46</f>
        <v>0</v>
      </c>
      <c r="J46" s="11">
        <f>'PAYRROLL- الشرائح'!G46</f>
        <v>0</v>
      </c>
      <c r="X46" s="13"/>
      <c r="Y46" s="13"/>
      <c r="AC46" s="6"/>
      <c r="AD46" s="13"/>
      <c r="AE46" s="13"/>
    </row>
    <row r="47" spans="2:31" ht="14.25" customHeight="1" x14ac:dyDescent="0.25">
      <c r="B47" s="7">
        <v>42</v>
      </c>
      <c r="C47" s="7">
        <f>'PAYRROLL- الشرائح'!$B47</f>
        <v>0</v>
      </c>
      <c r="D47" s="8">
        <f>'PAYRROLL- الشرائح'!M47</f>
        <v>0</v>
      </c>
      <c r="E47" s="9">
        <f>'PAYRROLL- الشرائح'!P47</f>
        <v>0</v>
      </c>
      <c r="F47" s="10">
        <f>'PAYRROLL- الشرائح'!AD47</f>
        <v>0</v>
      </c>
      <c r="G47" s="10">
        <f>('PAYRROLL- الشرائح'!P47+'PAYRROLL- الشرائح'!T47)</f>
        <v>0</v>
      </c>
      <c r="H47" s="11">
        <f>'PAYRROLL- الشرائح'!Z47</f>
        <v>0</v>
      </c>
      <c r="I47" s="11">
        <f>'PAYRROLL- الشرائح'!F47</f>
        <v>0</v>
      </c>
      <c r="J47" s="11">
        <f>'PAYRROLL- الشرائح'!G47</f>
        <v>0</v>
      </c>
      <c r="X47" s="13"/>
      <c r="Y47" s="13"/>
      <c r="AC47" s="6"/>
      <c r="AD47" s="13"/>
      <c r="AE47" s="13"/>
    </row>
    <row r="48" spans="2:31" ht="14.25" customHeight="1" x14ac:dyDescent="0.25">
      <c r="B48" s="7">
        <v>43</v>
      </c>
      <c r="C48" s="7">
        <f>'PAYRROLL- الشرائح'!$B48</f>
        <v>0</v>
      </c>
      <c r="D48" s="8">
        <f>'PAYRROLL- الشرائح'!M48</f>
        <v>0</v>
      </c>
      <c r="E48" s="9">
        <f>'PAYRROLL- الشرائح'!P48</f>
        <v>0</v>
      </c>
      <c r="F48" s="10">
        <f>'PAYRROLL- الشرائح'!AD48</f>
        <v>0</v>
      </c>
      <c r="G48" s="10">
        <f>('PAYRROLL- الشرائح'!P48+'PAYRROLL- الشرائح'!T48)</f>
        <v>0</v>
      </c>
      <c r="H48" s="11">
        <f>'PAYRROLL- الشرائح'!Z48</f>
        <v>0</v>
      </c>
      <c r="I48" s="11">
        <f>'PAYRROLL- الشرائح'!F48</f>
        <v>0</v>
      </c>
      <c r="J48" s="11">
        <f>'PAYRROLL- الشرائح'!G48</f>
        <v>0</v>
      </c>
      <c r="X48" s="13"/>
      <c r="Y48" s="13"/>
      <c r="AC48" s="6"/>
      <c r="AD48" s="13"/>
      <c r="AE48" s="13"/>
    </row>
    <row r="49" spans="2:31" ht="14.25" customHeight="1" x14ac:dyDescent="0.25">
      <c r="B49" s="7">
        <v>44</v>
      </c>
      <c r="C49" s="7">
        <f>'PAYRROLL- الشرائح'!$B49</f>
        <v>0</v>
      </c>
      <c r="D49" s="8">
        <f>'PAYRROLL- الشرائح'!M49</f>
        <v>0</v>
      </c>
      <c r="E49" s="9">
        <f>'PAYRROLL- الشرائح'!P49</f>
        <v>0</v>
      </c>
      <c r="F49" s="10">
        <f>'PAYRROLL- الشرائح'!AD49</f>
        <v>0</v>
      </c>
      <c r="G49" s="10">
        <f>('PAYRROLL- الشرائح'!P49+'PAYRROLL- الشرائح'!T49)</f>
        <v>0</v>
      </c>
      <c r="H49" s="11">
        <f>'PAYRROLL- الشرائح'!Z49</f>
        <v>0</v>
      </c>
      <c r="I49" s="11">
        <f>'PAYRROLL- الشرائح'!F49</f>
        <v>0</v>
      </c>
      <c r="J49" s="11">
        <f>'PAYRROLL- الشرائح'!G49</f>
        <v>0</v>
      </c>
      <c r="X49" s="13"/>
      <c r="Y49" s="13"/>
      <c r="AC49" s="6"/>
      <c r="AD49" s="13"/>
      <c r="AE49" s="13"/>
    </row>
    <row r="50" spans="2:31" ht="14.25" customHeight="1" x14ac:dyDescent="0.25">
      <c r="B50" s="7">
        <v>45</v>
      </c>
      <c r="C50" s="7">
        <f>'PAYRROLL- الشرائح'!$B50</f>
        <v>0</v>
      </c>
      <c r="D50" s="8">
        <f>'PAYRROLL- الشرائح'!M50</f>
        <v>0</v>
      </c>
      <c r="E50" s="9">
        <f>'PAYRROLL- الشرائح'!P50</f>
        <v>0</v>
      </c>
      <c r="F50" s="10">
        <f>'PAYRROLL- الشرائح'!AD50</f>
        <v>0</v>
      </c>
      <c r="G50" s="10">
        <f>('PAYRROLL- الشرائح'!P50+'PAYRROLL- الشرائح'!T50)</f>
        <v>0</v>
      </c>
      <c r="H50" s="11">
        <f>'PAYRROLL- الشرائح'!Z50</f>
        <v>0</v>
      </c>
      <c r="I50" s="11">
        <f>'PAYRROLL- الشرائح'!F50</f>
        <v>0</v>
      </c>
      <c r="J50" s="11">
        <f>'PAYRROLL- الشرائح'!G50</f>
        <v>0</v>
      </c>
      <c r="X50" s="13"/>
      <c r="Y50" s="13"/>
      <c r="AC50" s="6"/>
      <c r="AD50" s="13"/>
      <c r="AE50" s="13"/>
    </row>
    <row r="51" spans="2:31" ht="14.25" customHeight="1" x14ac:dyDescent="0.25">
      <c r="B51" s="7">
        <v>46</v>
      </c>
      <c r="C51" s="7">
        <f>'PAYRROLL- الشرائح'!$B51</f>
        <v>0</v>
      </c>
      <c r="D51" s="8">
        <f>'PAYRROLL- الشرائح'!M51</f>
        <v>0</v>
      </c>
      <c r="E51" s="9">
        <f>'PAYRROLL- الشرائح'!P51</f>
        <v>0</v>
      </c>
      <c r="F51" s="10">
        <f>'PAYRROLL- الشرائح'!AD51</f>
        <v>0</v>
      </c>
      <c r="G51" s="10">
        <f>('PAYRROLL- الشرائح'!P51+'PAYRROLL- الشرائح'!T51)</f>
        <v>0</v>
      </c>
      <c r="H51" s="11">
        <f>'PAYRROLL- الشرائح'!Z51</f>
        <v>0</v>
      </c>
      <c r="I51" s="11">
        <f>'PAYRROLL- الشرائح'!F51</f>
        <v>0</v>
      </c>
      <c r="J51" s="11">
        <f>'PAYRROLL- الشرائح'!G51</f>
        <v>0</v>
      </c>
      <c r="X51" s="13"/>
      <c r="Y51" s="13"/>
      <c r="AC51" s="6"/>
      <c r="AD51" s="13"/>
      <c r="AE51" s="13"/>
    </row>
    <row r="52" spans="2:31" ht="14.25" customHeight="1" x14ac:dyDescent="0.25">
      <c r="B52" s="7">
        <v>47</v>
      </c>
      <c r="C52" s="7">
        <f>'PAYRROLL- الشرائح'!$B52</f>
        <v>0</v>
      </c>
      <c r="D52" s="8">
        <f>'PAYRROLL- الشرائح'!M52</f>
        <v>0</v>
      </c>
      <c r="E52" s="9">
        <f>'PAYRROLL- الشرائح'!P52</f>
        <v>0</v>
      </c>
      <c r="F52" s="10">
        <f>'PAYRROLL- الشرائح'!AD52</f>
        <v>0</v>
      </c>
      <c r="G52" s="10">
        <f>('PAYRROLL- الشرائح'!P52+'PAYRROLL- الشرائح'!T52)</f>
        <v>0</v>
      </c>
      <c r="H52" s="11">
        <f>'PAYRROLL- الشرائح'!Z52</f>
        <v>0</v>
      </c>
      <c r="I52" s="11">
        <f>'PAYRROLL- الشرائح'!F52</f>
        <v>0</v>
      </c>
      <c r="J52" s="11">
        <f>'PAYRROLL- الشرائح'!G52</f>
        <v>0</v>
      </c>
      <c r="X52" s="13"/>
      <c r="Y52" s="13"/>
      <c r="AC52" s="6"/>
      <c r="AD52" s="13"/>
      <c r="AE52" s="13"/>
    </row>
    <row r="53" spans="2:31" ht="14.25" customHeight="1" x14ac:dyDescent="0.25">
      <c r="B53" s="7">
        <v>48</v>
      </c>
      <c r="C53" s="7">
        <f>'PAYRROLL- الشرائح'!$B53</f>
        <v>0</v>
      </c>
      <c r="D53" s="8">
        <f>'PAYRROLL- الشرائح'!M53</f>
        <v>0</v>
      </c>
      <c r="E53" s="9">
        <f>'PAYRROLL- الشرائح'!P53</f>
        <v>0</v>
      </c>
      <c r="F53" s="10">
        <f>'PAYRROLL- الشرائح'!AD53</f>
        <v>0</v>
      </c>
      <c r="G53" s="10">
        <f>('PAYRROLL- الشرائح'!P53+'PAYRROLL- الشرائح'!T53)</f>
        <v>0</v>
      </c>
      <c r="H53" s="11">
        <f>'PAYRROLL- الشرائح'!Z53</f>
        <v>0</v>
      </c>
      <c r="I53" s="11">
        <f>'PAYRROLL- الشرائح'!F53</f>
        <v>0</v>
      </c>
      <c r="J53" s="11">
        <f>'PAYRROLL- الشرائح'!G53</f>
        <v>0</v>
      </c>
      <c r="X53" s="13"/>
      <c r="Y53" s="13"/>
      <c r="AC53" s="6"/>
      <c r="AD53" s="13"/>
      <c r="AE53" s="13"/>
    </row>
    <row r="54" spans="2:31" ht="14.25" customHeight="1" x14ac:dyDescent="0.25">
      <c r="B54" s="7">
        <v>49</v>
      </c>
      <c r="C54" s="7">
        <f>'PAYRROLL- الشرائح'!$B54</f>
        <v>0</v>
      </c>
      <c r="D54" s="8">
        <f>'PAYRROLL- الشرائح'!M54</f>
        <v>0</v>
      </c>
      <c r="E54" s="9">
        <f>'PAYRROLL- الشرائح'!P54</f>
        <v>0</v>
      </c>
      <c r="F54" s="10">
        <f>'PAYRROLL- الشرائح'!AD54</f>
        <v>0</v>
      </c>
      <c r="G54" s="10">
        <f>('PAYRROLL- الشرائح'!P54+'PAYRROLL- الشرائح'!T54)</f>
        <v>0</v>
      </c>
      <c r="H54" s="11">
        <f>'PAYRROLL- الشرائح'!Z54</f>
        <v>0</v>
      </c>
      <c r="I54" s="11">
        <f>'PAYRROLL- الشرائح'!F54</f>
        <v>0</v>
      </c>
      <c r="J54" s="11">
        <f>'PAYRROLL- الشرائح'!G54</f>
        <v>0</v>
      </c>
      <c r="X54" s="13"/>
      <c r="Y54" s="13"/>
      <c r="AC54" s="6"/>
      <c r="AD54" s="13"/>
      <c r="AE54" s="13">
        <v>0</v>
      </c>
    </row>
    <row r="55" spans="2:31" ht="14.25" customHeight="1" x14ac:dyDescent="0.25">
      <c r="B55" s="7">
        <v>50</v>
      </c>
      <c r="C55" s="7">
        <f>'PAYRROLL- الشرائح'!$B55</f>
        <v>0</v>
      </c>
      <c r="D55" s="8">
        <f>'PAYRROLL- الشرائح'!M55</f>
        <v>0</v>
      </c>
      <c r="E55" s="9">
        <f>'PAYRROLL- الشرائح'!P55</f>
        <v>0</v>
      </c>
      <c r="F55" s="10">
        <f>'PAYRROLL- الشرائح'!AD55</f>
        <v>0</v>
      </c>
      <c r="G55" s="10">
        <f>('PAYRROLL- الشرائح'!P55+'PAYRROLL- الشرائح'!T55)</f>
        <v>0</v>
      </c>
      <c r="H55" s="11">
        <f>'PAYRROLL- الشرائح'!Z55</f>
        <v>0</v>
      </c>
      <c r="I55" s="11">
        <f>'PAYRROLL- الشرائح'!F55</f>
        <v>0</v>
      </c>
      <c r="J55" s="11">
        <f>'PAYRROLL- الشرائح'!G55</f>
        <v>0</v>
      </c>
      <c r="X55" s="13"/>
      <c r="Y55" s="13"/>
      <c r="AC55" s="6"/>
      <c r="AD55" s="13"/>
      <c r="AE55" s="13">
        <v>0</v>
      </c>
    </row>
    <row r="56" spans="2:31" ht="14.25" customHeight="1" x14ac:dyDescent="0.3">
      <c r="B56" s="71" t="s">
        <v>14</v>
      </c>
      <c r="C56" s="72"/>
      <c r="D56" s="14">
        <f t="shared" ref="D56:J56" si="0">SUM(D6:D55)</f>
        <v>14237</v>
      </c>
      <c r="E56" s="14">
        <f t="shared" si="0"/>
        <v>507</v>
      </c>
      <c r="F56" s="15">
        <f t="shared" si="0"/>
        <v>14237</v>
      </c>
      <c r="G56" s="15">
        <f t="shared" si="0"/>
        <v>507</v>
      </c>
      <c r="H56" s="15">
        <f t="shared" si="0"/>
        <v>0</v>
      </c>
      <c r="I56" s="15">
        <f t="shared" si="0"/>
        <v>0</v>
      </c>
      <c r="J56" s="15">
        <f t="shared" si="0"/>
        <v>0</v>
      </c>
      <c r="X56" s="13"/>
      <c r="Y56" s="13"/>
      <c r="AC56" s="6"/>
      <c r="AD56" s="13"/>
      <c r="AE56" s="13">
        <v>0</v>
      </c>
    </row>
    <row r="57" spans="2:31" ht="14.25" customHeight="1" x14ac:dyDescent="0.25">
      <c r="B57" s="73"/>
      <c r="C57" s="74"/>
      <c r="D57" s="78">
        <f>E56+D56</f>
        <v>14744</v>
      </c>
      <c r="E57" s="77"/>
      <c r="F57" s="75">
        <f>F56+G56+H56+I56+J56</f>
        <v>14744</v>
      </c>
      <c r="G57" s="76"/>
      <c r="H57" s="76"/>
      <c r="I57" s="76"/>
      <c r="J57" s="77"/>
      <c r="X57" s="13"/>
      <c r="Y57" s="13"/>
      <c r="AC57" s="6"/>
      <c r="AD57" s="16">
        <v>2165.52</v>
      </c>
      <c r="AE57" s="16">
        <v>27901.65</v>
      </c>
    </row>
    <row r="58" spans="2:31" ht="14.25" customHeight="1" x14ac:dyDescent="0.25">
      <c r="D58" s="79" t="b">
        <f>D57=F57</f>
        <v>1</v>
      </c>
      <c r="E58" s="80"/>
      <c r="F58" s="80"/>
      <c r="G58" s="80"/>
      <c r="H58" s="80"/>
      <c r="I58" s="17"/>
      <c r="J58" s="17"/>
      <c r="AA58" s="18">
        <v>2978.18</v>
      </c>
      <c r="AB58" s="19" t="s">
        <v>15</v>
      </c>
    </row>
    <row r="59" spans="2:31" ht="14.25" customHeight="1" x14ac:dyDescent="0.25">
      <c r="F59" s="20"/>
      <c r="AA59" s="21" t="e">
        <f>#REF!-AA58</f>
        <v>#REF!</v>
      </c>
      <c r="AB59" s="22">
        <f>23673.5</f>
        <v>23673.5</v>
      </c>
    </row>
    <row r="60" spans="2:31" ht="14.25" customHeight="1" x14ac:dyDescent="0.2"/>
    <row r="61" spans="2:31" ht="14.25" customHeight="1" x14ac:dyDescent="0.25">
      <c r="G61" s="23"/>
      <c r="H61" s="23"/>
      <c r="I61" s="23"/>
      <c r="J61" s="23"/>
      <c r="AA61" s="20" t="e">
        <f>AA59-AB59</f>
        <v>#REF!</v>
      </c>
    </row>
    <row r="62" spans="2:31" ht="14.25" customHeight="1" x14ac:dyDescent="0.25">
      <c r="X62" s="23">
        <v>23673.5</v>
      </c>
      <c r="Y62" s="19" t="s">
        <v>16</v>
      </c>
    </row>
    <row r="63" spans="2:31" ht="14.25" customHeight="1" x14ac:dyDescent="0.25">
      <c r="X63" s="23">
        <v>3060.21875</v>
      </c>
      <c r="Y63" s="19" t="s">
        <v>15</v>
      </c>
    </row>
    <row r="64" spans="2:31" ht="14.25" customHeight="1" x14ac:dyDescent="0.25">
      <c r="X64" s="23">
        <v>3271.25</v>
      </c>
      <c r="Y64" s="19" t="s">
        <v>17</v>
      </c>
    </row>
    <row r="65" spans="24:25" ht="14.25" customHeight="1" x14ac:dyDescent="0.35">
      <c r="X65" s="24">
        <f>SUM(X62:X64)</f>
        <v>30004.96875</v>
      </c>
      <c r="Y65" s="24" t="e">
        <f>X65-#REF!</f>
        <v>#REF!</v>
      </c>
    </row>
    <row r="66" spans="24:25" ht="14.25" customHeight="1" x14ac:dyDescent="0.2"/>
    <row r="67" spans="24:25" ht="14.25" customHeight="1" x14ac:dyDescent="0.2"/>
    <row r="68" spans="24:25" ht="14.25" customHeight="1" x14ac:dyDescent="0.2"/>
    <row r="69" spans="24:25" ht="14.25" customHeight="1" x14ac:dyDescent="0.2"/>
    <row r="70" spans="24:25" ht="14.25" customHeight="1" x14ac:dyDescent="0.2"/>
    <row r="71" spans="24:25" ht="14.25" customHeight="1" x14ac:dyDescent="0.2"/>
    <row r="72" spans="24:25" ht="14.25" customHeight="1" x14ac:dyDescent="0.2"/>
    <row r="73" spans="24:25" ht="14.25" customHeight="1" x14ac:dyDescent="0.2"/>
    <row r="74" spans="24:25" ht="14.25" customHeight="1" x14ac:dyDescent="0.2"/>
    <row r="75" spans="24:25" ht="14.25" customHeight="1" x14ac:dyDescent="0.2"/>
    <row r="76" spans="24:25" ht="14.25" customHeight="1" x14ac:dyDescent="0.2"/>
    <row r="77" spans="24:25" ht="14.25" customHeight="1" x14ac:dyDescent="0.2"/>
    <row r="78" spans="24:25" ht="14.25" customHeight="1" x14ac:dyDescent="0.2"/>
    <row r="79" spans="24:25" ht="14.25" customHeight="1" x14ac:dyDescent="0.2"/>
    <row r="80" spans="24:25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9">
    <mergeCell ref="B56:C57"/>
    <mergeCell ref="F57:J57"/>
    <mergeCell ref="D57:E57"/>
    <mergeCell ref="D58:H58"/>
    <mergeCell ref="B3:H3"/>
    <mergeCell ref="D4:E4"/>
    <mergeCell ref="F4:J4"/>
    <mergeCell ref="X6:X7"/>
    <mergeCell ref="Y6:Y7"/>
  </mergeCells>
  <pageMargins left="0.7" right="0.7" top="0.75" bottom="0.75" header="0" footer="0"/>
  <pageSetup paperSize="9"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N1000"/>
  <sheetViews>
    <sheetView showGridLines="0" rightToLeft="1" workbookViewId="0"/>
  </sheetViews>
  <sheetFormatPr defaultColWidth="12.625" defaultRowHeight="15" customHeight="1" x14ac:dyDescent="0.2"/>
  <cols>
    <col min="1" max="1" width="3.375" customWidth="1"/>
    <col min="2" max="2" width="18.75" customWidth="1"/>
    <col min="3" max="3" width="12.625" customWidth="1"/>
    <col min="4" max="4" width="14.25" customWidth="1"/>
    <col min="5" max="5" width="12.125" customWidth="1"/>
    <col min="6" max="7" width="10.625" hidden="1" customWidth="1"/>
    <col min="8" max="8" width="14.25" customWidth="1"/>
    <col min="9" max="9" width="20.125" customWidth="1"/>
    <col min="10" max="10" width="14.625" customWidth="1"/>
    <col min="11" max="11" width="13.625" customWidth="1"/>
    <col min="12" max="13" width="15.375" customWidth="1"/>
    <col min="14" max="14" width="14.625" customWidth="1"/>
    <col min="15" max="15" width="12.875" customWidth="1"/>
    <col min="16" max="16" width="16.25" customWidth="1"/>
    <col min="17" max="17" width="18.625" customWidth="1"/>
    <col min="18" max="18" width="13" customWidth="1"/>
    <col min="19" max="19" width="11.75" customWidth="1"/>
    <col min="20" max="20" width="13" customWidth="1"/>
    <col min="21" max="21" width="15.375" customWidth="1"/>
    <col min="22" max="22" width="18.875" customWidth="1"/>
    <col min="23" max="23" width="16" customWidth="1"/>
    <col min="24" max="24" width="17.75" customWidth="1"/>
    <col min="25" max="25" width="15.875" customWidth="1"/>
    <col min="26" max="26" width="14.375" customWidth="1"/>
    <col min="27" max="27" width="22.125" customWidth="1"/>
    <col min="28" max="28" width="12.875" customWidth="1"/>
    <col min="29" max="29" width="14.375" customWidth="1"/>
    <col min="30" max="31" width="14.625" customWidth="1"/>
    <col min="32" max="33" width="9" customWidth="1"/>
    <col min="34" max="34" width="9.625" customWidth="1"/>
    <col min="35" max="35" width="10.625" customWidth="1"/>
    <col min="36" max="36" width="9.625" customWidth="1"/>
    <col min="37" max="38" width="9" customWidth="1"/>
    <col min="39" max="40" width="9.625" customWidth="1"/>
  </cols>
  <sheetData>
    <row r="1" spans="1:40" ht="14.25" customHeight="1" x14ac:dyDescent="0.2">
      <c r="A1" s="25"/>
      <c r="B1" s="25"/>
      <c r="C1" s="26"/>
      <c r="D1" s="26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6"/>
      <c r="X1" s="25"/>
      <c r="Y1" s="25"/>
      <c r="Z1" s="25"/>
      <c r="AA1" s="25"/>
      <c r="AB1" s="25"/>
      <c r="AC1" s="25"/>
      <c r="AD1" s="25"/>
      <c r="AK1" s="25"/>
      <c r="AL1" s="25"/>
      <c r="AM1" s="25"/>
      <c r="AN1" s="25"/>
    </row>
    <row r="2" spans="1:40" ht="14.25" customHeight="1" x14ac:dyDescent="0.2">
      <c r="A2" s="25"/>
      <c r="B2" s="25"/>
      <c r="C2" s="26"/>
      <c r="D2" s="26"/>
      <c r="E2" s="25"/>
      <c r="F2" s="25"/>
      <c r="G2" s="25"/>
      <c r="H2" s="25"/>
      <c r="I2" s="25"/>
      <c r="J2" s="83" t="s">
        <v>18</v>
      </c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5"/>
      <c r="AD2" s="25"/>
      <c r="AN2" s="25"/>
    </row>
    <row r="3" spans="1:40" ht="14.25" customHeight="1" x14ac:dyDescent="0.25">
      <c r="A3" s="25"/>
      <c r="B3" s="25"/>
      <c r="C3" s="25"/>
      <c r="D3" s="25"/>
      <c r="E3" s="26"/>
      <c r="F3" s="25"/>
      <c r="G3" s="25"/>
      <c r="H3" s="25"/>
      <c r="I3" s="25"/>
      <c r="J3" s="86"/>
      <c r="K3" s="87"/>
      <c r="L3" s="87"/>
      <c r="M3" s="87"/>
      <c r="N3" s="87"/>
      <c r="O3" s="87"/>
      <c r="P3" s="87"/>
      <c r="Q3" s="87"/>
      <c r="R3" s="87"/>
      <c r="S3" s="87"/>
      <c r="T3" s="87"/>
      <c r="U3" s="87"/>
      <c r="V3" s="87"/>
      <c r="W3" s="88"/>
      <c r="AA3" s="20">
        <f>Z9*0.3</f>
        <v>0</v>
      </c>
      <c r="AD3" s="25"/>
      <c r="AN3" s="25"/>
    </row>
    <row r="4" spans="1:40" ht="27.75" customHeight="1" x14ac:dyDescent="0.2">
      <c r="A4" s="89" t="s">
        <v>19</v>
      </c>
      <c r="B4" s="89" t="s">
        <v>20</v>
      </c>
      <c r="C4" s="89" t="s">
        <v>21</v>
      </c>
      <c r="D4" s="89" t="s">
        <v>22</v>
      </c>
      <c r="E4" s="81" t="s">
        <v>23</v>
      </c>
      <c r="F4" s="90" t="s">
        <v>24</v>
      </c>
      <c r="G4" s="91"/>
      <c r="H4" s="92" t="s">
        <v>25</v>
      </c>
      <c r="I4" s="93"/>
      <c r="J4" s="93"/>
      <c r="K4" s="93"/>
      <c r="L4" s="94"/>
      <c r="M4" s="95" t="s">
        <v>26</v>
      </c>
      <c r="N4" s="96" t="s">
        <v>27</v>
      </c>
      <c r="O4" s="97"/>
      <c r="P4" s="98"/>
      <c r="Q4" s="69" t="s">
        <v>28</v>
      </c>
      <c r="R4" s="90" t="s">
        <v>29</v>
      </c>
      <c r="S4" s="93"/>
      <c r="T4" s="91"/>
      <c r="U4" s="81" t="s">
        <v>30</v>
      </c>
      <c r="V4" s="81" t="s">
        <v>31</v>
      </c>
      <c r="W4" s="81" t="s">
        <v>32</v>
      </c>
      <c r="X4" s="81" t="s">
        <v>33</v>
      </c>
      <c r="Y4" s="81" t="s">
        <v>34</v>
      </c>
      <c r="Z4" s="103" t="s">
        <v>35</v>
      </c>
      <c r="AA4" s="104" t="s">
        <v>36</v>
      </c>
      <c r="AB4" s="106" t="s">
        <v>37</v>
      </c>
      <c r="AC4" s="99" t="s">
        <v>38</v>
      </c>
      <c r="AD4" s="101" t="s">
        <v>39</v>
      </c>
      <c r="AK4" s="25"/>
      <c r="AL4" s="25"/>
      <c r="AM4" s="25"/>
      <c r="AN4" s="25"/>
    </row>
    <row r="5" spans="1:40" ht="68.25" customHeight="1" x14ac:dyDescent="0.2">
      <c r="A5" s="82"/>
      <c r="B5" s="82"/>
      <c r="C5" s="82"/>
      <c r="D5" s="82"/>
      <c r="E5" s="82"/>
      <c r="F5" s="27" t="s">
        <v>10</v>
      </c>
      <c r="G5" s="27" t="s">
        <v>40</v>
      </c>
      <c r="H5" s="28" t="s">
        <v>41</v>
      </c>
      <c r="I5" s="29" t="s">
        <v>42</v>
      </c>
      <c r="J5" s="30" t="s">
        <v>43</v>
      </c>
      <c r="K5" s="31" t="s">
        <v>44</v>
      </c>
      <c r="L5" s="32" t="s">
        <v>45</v>
      </c>
      <c r="M5" s="70"/>
      <c r="N5" s="33" t="s">
        <v>43</v>
      </c>
      <c r="O5" s="33" t="s">
        <v>44</v>
      </c>
      <c r="P5" s="33" t="s">
        <v>46</v>
      </c>
      <c r="Q5" s="70"/>
      <c r="R5" s="34"/>
      <c r="S5" s="34"/>
      <c r="T5" s="34" t="s">
        <v>45</v>
      </c>
      <c r="U5" s="82"/>
      <c r="V5" s="82"/>
      <c r="W5" s="82"/>
      <c r="X5" s="82"/>
      <c r="Y5" s="82"/>
      <c r="Z5" s="100"/>
      <c r="AA5" s="105"/>
      <c r="AB5" s="107"/>
      <c r="AC5" s="100"/>
      <c r="AD5" s="102"/>
      <c r="AK5" s="25"/>
      <c r="AL5" s="25"/>
      <c r="AM5" s="25"/>
      <c r="AN5" s="25"/>
    </row>
    <row r="6" spans="1:40" ht="15" customHeight="1" x14ac:dyDescent="0.2">
      <c r="A6" s="35">
        <v>1</v>
      </c>
      <c r="B6" s="36" t="s">
        <v>47</v>
      </c>
      <c r="C6" s="35">
        <v>123</v>
      </c>
      <c r="D6" s="37" t="s">
        <v>48</v>
      </c>
      <c r="E6" s="38">
        <v>30</v>
      </c>
      <c r="F6" s="12"/>
      <c r="G6" s="12"/>
      <c r="H6" s="12"/>
      <c r="I6" s="12">
        <v>4977</v>
      </c>
      <c r="J6" s="39">
        <v>700</v>
      </c>
      <c r="K6" s="12"/>
      <c r="L6" s="12">
        <f t="shared" ref="L6:L55" si="0">K6+J6+I6+H6</f>
        <v>5677</v>
      </c>
      <c r="M6" s="12">
        <f t="shared" ref="M6:M55" si="1">ROUND((((K6+J6+I6)/30)*E6)+H6,2)</f>
        <v>5677</v>
      </c>
      <c r="N6" s="12">
        <f t="shared" ref="N6:N55" si="2">J6*0.26</f>
        <v>182</v>
      </c>
      <c r="O6" s="12">
        <f t="shared" ref="O6:O55" si="3">K6*0.24</f>
        <v>0</v>
      </c>
      <c r="P6" s="12">
        <f t="shared" ref="P6:P55" si="4">N6+O6</f>
        <v>182</v>
      </c>
      <c r="Q6" s="12">
        <f t="shared" ref="Q6:Q55" si="5">M6</f>
        <v>5677</v>
      </c>
      <c r="R6" s="12"/>
      <c r="S6" s="12"/>
      <c r="T6" s="12">
        <f t="shared" ref="T6:T55" si="6">R6+S6</f>
        <v>0</v>
      </c>
      <c r="U6" s="13">
        <f t="shared" ref="U6:U55" si="7">ROUND(M6-T6,2)</f>
        <v>5677</v>
      </c>
      <c r="V6" s="13">
        <f t="shared" ref="V6:V55" si="8">(U6*12)-MOD((U6*12),10)</f>
        <v>68120</v>
      </c>
      <c r="W6" s="13"/>
      <c r="X6" s="13">
        <f t="shared" ref="X6:X55" si="9">IF(V6-W6&lt;=0,0,V6-W6)</f>
        <v>68120</v>
      </c>
      <c r="Y6" s="13"/>
      <c r="Z6" s="13">
        <f t="shared" ref="Z6:Z55" si="10">IFERROR(Y6/12,0)</f>
        <v>0</v>
      </c>
      <c r="AA6" s="13" t="str">
        <f t="shared" ref="AA6:AA55" si="11">IF(AND(X6=0,M6&gt;0),"الأولى",IF(AND(V6&gt;0,(V6-7000)&lt;=22000),"الثانية",IF(AND((V6-7000)&gt;22000,(V6-7000)&lt;=37000),"الثالثة",IF(AND(V6&gt;37000,(V6-7000)&lt;=192000),"الرابعة",IF(AND((V6-7000)&gt;192000),"الخامسة",0)))))</f>
        <v>الرابعة</v>
      </c>
      <c r="AB6" s="40">
        <f t="shared" ref="AB6:AB55" si="12">IF(AA6="الثانية",85%,IF(AA6="الثالثة",45%,IF(AA6="الرابعة",7.5%,IF(AA6="الخامسة",0%,IF(AA6="الأولى",0%,"")))))</f>
        <v>7.4999999999999997E-2</v>
      </c>
      <c r="AC6" s="13">
        <f t="shared" ref="AC6:AC55" si="13">SUM(Z6,T6,G6,F6)</f>
        <v>0</v>
      </c>
      <c r="AD6" s="13">
        <f t="shared" ref="AD6:AD55" si="14">M6-AC6</f>
        <v>5677</v>
      </c>
      <c r="AK6" s="25"/>
      <c r="AL6" s="25"/>
      <c r="AM6" s="41">
        <f>Z6*0.75</f>
        <v>0</v>
      </c>
      <c r="AN6" s="41">
        <f>Z6*0.25</f>
        <v>0</v>
      </c>
    </row>
    <row r="7" spans="1:40" ht="15" customHeight="1" x14ac:dyDescent="0.2">
      <c r="A7" s="35">
        <v>2</v>
      </c>
      <c r="B7" s="36" t="s">
        <v>49</v>
      </c>
      <c r="C7" s="35">
        <v>456</v>
      </c>
      <c r="D7" s="36" t="s">
        <v>50</v>
      </c>
      <c r="E7" s="35">
        <v>30</v>
      </c>
      <c r="F7" s="39"/>
      <c r="G7" s="39"/>
      <c r="H7" s="39"/>
      <c r="I7" s="39">
        <v>3655</v>
      </c>
      <c r="J7" s="39">
        <v>625</v>
      </c>
      <c r="K7" s="39"/>
      <c r="L7" s="39">
        <f t="shared" si="0"/>
        <v>4280</v>
      </c>
      <c r="M7" s="39">
        <f t="shared" si="1"/>
        <v>4280</v>
      </c>
      <c r="N7" s="13">
        <f t="shared" si="2"/>
        <v>162.5</v>
      </c>
      <c r="O7" s="13">
        <f t="shared" si="3"/>
        <v>0</v>
      </c>
      <c r="P7" s="13">
        <f t="shared" si="4"/>
        <v>162.5</v>
      </c>
      <c r="Q7" s="12">
        <f t="shared" si="5"/>
        <v>4280</v>
      </c>
      <c r="R7" s="39"/>
      <c r="S7" s="39"/>
      <c r="T7" s="39">
        <f t="shared" si="6"/>
        <v>0</v>
      </c>
      <c r="U7" s="39">
        <f t="shared" si="7"/>
        <v>4280</v>
      </c>
      <c r="V7" s="39">
        <f t="shared" si="8"/>
        <v>51360</v>
      </c>
      <c r="W7" s="39"/>
      <c r="X7" s="39">
        <f t="shared" si="9"/>
        <v>51360</v>
      </c>
      <c r="Y7" s="39"/>
      <c r="Z7" s="13">
        <f t="shared" si="10"/>
        <v>0</v>
      </c>
      <c r="AA7" s="39" t="str">
        <f t="shared" si="11"/>
        <v>الرابعة</v>
      </c>
      <c r="AB7" s="40">
        <f t="shared" si="12"/>
        <v>7.4999999999999997E-2</v>
      </c>
      <c r="AC7" s="13">
        <f t="shared" si="13"/>
        <v>0</v>
      </c>
      <c r="AD7" s="12">
        <f t="shared" si="14"/>
        <v>4280</v>
      </c>
      <c r="AK7" s="25"/>
      <c r="AL7" s="25"/>
      <c r="AM7" s="25"/>
      <c r="AN7" s="26">
        <f>Z7</f>
        <v>0</v>
      </c>
    </row>
    <row r="8" spans="1:40" ht="15" customHeight="1" x14ac:dyDescent="0.2">
      <c r="A8" s="35">
        <v>3</v>
      </c>
      <c r="B8" s="36" t="s">
        <v>51</v>
      </c>
      <c r="C8" s="35">
        <v>789</v>
      </c>
      <c r="D8" s="37" t="s">
        <v>52</v>
      </c>
      <c r="E8" s="38">
        <v>30</v>
      </c>
      <c r="F8" s="39"/>
      <c r="G8" s="39"/>
      <c r="H8" s="39"/>
      <c r="I8" s="39">
        <v>3655</v>
      </c>
      <c r="J8" s="39">
        <v>625</v>
      </c>
      <c r="K8" s="39"/>
      <c r="L8" s="39">
        <f t="shared" si="0"/>
        <v>4280</v>
      </c>
      <c r="M8" s="39">
        <f t="shared" si="1"/>
        <v>4280</v>
      </c>
      <c r="N8" s="13">
        <f t="shared" si="2"/>
        <v>162.5</v>
      </c>
      <c r="O8" s="13">
        <f t="shared" si="3"/>
        <v>0</v>
      </c>
      <c r="P8" s="13">
        <f t="shared" si="4"/>
        <v>162.5</v>
      </c>
      <c r="Q8" s="12">
        <f t="shared" si="5"/>
        <v>4280</v>
      </c>
      <c r="R8" s="39"/>
      <c r="S8" s="39"/>
      <c r="T8" s="39">
        <f t="shared" si="6"/>
        <v>0</v>
      </c>
      <c r="U8" s="39">
        <f t="shared" si="7"/>
        <v>4280</v>
      </c>
      <c r="V8" s="39">
        <f t="shared" si="8"/>
        <v>51360</v>
      </c>
      <c r="W8" s="39"/>
      <c r="X8" s="39">
        <f t="shared" si="9"/>
        <v>51360</v>
      </c>
      <c r="Y8" s="39"/>
      <c r="Z8" s="13">
        <f t="shared" si="10"/>
        <v>0</v>
      </c>
      <c r="AA8" s="39" t="str">
        <f t="shared" si="11"/>
        <v>الرابعة</v>
      </c>
      <c r="AB8" s="40">
        <f t="shared" si="12"/>
        <v>7.4999999999999997E-2</v>
      </c>
      <c r="AC8" s="13">
        <f t="shared" si="13"/>
        <v>0</v>
      </c>
      <c r="AD8" s="13">
        <f t="shared" si="14"/>
        <v>4280</v>
      </c>
      <c r="AK8" s="25"/>
      <c r="AL8" s="25"/>
      <c r="AM8" s="41">
        <f>Z8*0.3</f>
        <v>0</v>
      </c>
      <c r="AN8" s="41">
        <f>Z8*0.7</f>
        <v>0</v>
      </c>
    </row>
    <row r="9" spans="1:40" ht="15" hidden="1" customHeight="1" x14ac:dyDescent="0.2">
      <c r="A9" s="35">
        <v>4</v>
      </c>
      <c r="B9" s="35"/>
      <c r="C9" s="35"/>
      <c r="D9" s="35"/>
      <c r="E9" s="35"/>
      <c r="F9" s="39"/>
      <c r="G9" s="39"/>
      <c r="H9" s="39"/>
      <c r="I9" s="39"/>
      <c r="J9" s="39"/>
      <c r="K9" s="39"/>
      <c r="L9" s="39">
        <f t="shared" si="0"/>
        <v>0</v>
      </c>
      <c r="M9" s="39">
        <f t="shared" si="1"/>
        <v>0</v>
      </c>
      <c r="N9" s="13">
        <f t="shared" si="2"/>
        <v>0</v>
      </c>
      <c r="O9" s="13">
        <f t="shared" si="3"/>
        <v>0</v>
      </c>
      <c r="P9" s="13">
        <f t="shared" si="4"/>
        <v>0</v>
      </c>
      <c r="Q9" s="12">
        <f t="shared" si="5"/>
        <v>0</v>
      </c>
      <c r="R9" s="39"/>
      <c r="S9" s="39"/>
      <c r="T9" s="39">
        <f t="shared" si="6"/>
        <v>0</v>
      </c>
      <c r="U9" s="39">
        <f t="shared" si="7"/>
        <v>0</v>
      </c>
      <c r="V9" s="39">
        <f t="shared" si="8"/>
        <v>0</v>
      </c>
      <c r="W9" s="39"/>
      <c r="X9" s="39">
        <f t="shared" si="9"/>
        <v>0</v>
      </c>
      <c r="Y9" s="39"/>
      <c r="Z9" s="13">
        <f t="shared" si="10"/>
        <v>0</v>
      </c>
      <c r="AA9" s="39">
        <f t="shared" si="11"/>
        <v>0</v>
      </c>
      <c r="AB9" s="40" t="str">
        <f t="shared" si="12"/>
        <v/>
      </c>
      <c r="AC9" s="13">
        <f t="shared" si="13"/>
        <v>0</v>
      </c>
      <c r="AD9" s="13">
        <f t="shared" si="14"/>
        <v>0</v>
      </c>
      <c r="AK9" s="25"/>
      <c r="AL9" s="25"/>
      <c r="AM9" s="25"/>
      <c r="AN9" s="26">
        <f t="shared" ref="AN9:AN10" si="15">Z9</f>
        <v>0</v>
      </c>
    </row>
    <row r="10" spans="1:40" ht="15" hidden="1" customHeight="1" x14ac:dyDescent="0.2">
      <c r="A10" s="35">
        <v>5</v>
      </c>
      <c r="B10" s="35"/>
      <c r="C10" s="35"/>
      <c r="D10" s="35"/>
      <c r="E10" s="35"/>
      <c r="F10" s="39"/>
      <c r="G10" s="39"/>
      <c r="H10" s="39"/>
      <c r="I10" s="39"/>
      <c r="J10" s="39"/>
      <c r="K10" s="39"/>
      <c r="L10" s="39">
        <f t="shared" si="0"/>
        <v>0</v>
      </c>
      <c r="M10" s="39">
        <f t="shared" si="1"/>
        <v>0</v>
      </c>
      <c r="N10" s="13">
        <f t="shared" si="2"/>
        <v>0</v>
      </c>
      <c r="O10" s="13">
        <f t="shared" si="3"/>
        <v>0</v>
      </c>
      <c r="P10" s="13">
        <f t="shared" si="4"/>
        <v>0</v>
      </c>
      <c r="Q10" s="12">
        <f t="shared" si="5"/>
        <v>0</v>
      </c>
      <c r="R10" s="39"/>
      <c r="S10" s="39"/>
      <c r="T10" s="39">
        <f t="shared" si="6"/>
        <v>0</v>
      </c>
      <c r="U10" s="39">
        <f t="shared" si="7"/>
        <v>0</v>
      </c>
      <c r="V10" s="39">
        <f t="shared" si="8"/>
        <v>0</v>
      </c>
      <c r="W10" s="39"/>
      <c r="X10" s="39">
        <f t="shared" si="9"/>
        <v>0</v>
      </c>
      <c r="Y10" s="39"/>
      <c r="Z10" s="13">
        <f t="shared" si="10"/>
        <v>0</v>
      </c>
      <c r="AA10" s="39">
        <f t="shared" si="11"/>
        <v>0</v>
      </c>
      <c r="AB10" s="40" t="str">
        <f t="shared" si="12"/>
        <v/>
      </c>
      <c r="AC10" s="13">
        <f t="shared" si="13"/>
        <v>0</v>
      </c>
      <c r="AD10" s="13">
        <f t="shared" si="14"/>
        <v>0</v>
      </c>
      <c r="AK10" s="25"/>
      <c r="AL10" s="25"/>
      <c r="AM10" s="25"/>
      <c r="AN10" s="26">
        <f t="shared" si="15"/>
        <v>0</v>
      </c>
    </row>
    <row r="11" spans="1:40" ht="15" hidden="1" customHeight="1" x14ac:dyDescent="0.2">
      <c r="A11" s="35">
        <v>6</v>
      </c>
      <c r="B11" s="35"/>
      <c r="C11" s="35"/>
      <c r="D11" s="35"/>
      <c r="E11" s="35"/>
      <c r="F11" s="39"/>
      <c r="G11" s="39"/>
      <c r="H11" s="39"/>
      <c r="I11" s="39"/>
      <c r="J11" s="39"/>
      <c r="K11" s="39"/>
      <c r="L11" s="39">
        <f t="shared" si="0"/>
        <v>0</v>
      </c>
      <c r="M11" s="39">
        <f t="shared" si="1"/>
        <v>0</v>
      </c>
      <c r="N11" s="13">
        <f t="shared" si="2"/>
        <v>0</v>
      </c>
      <c r="O11" s="13">
        <f t="shared" si="3"/>
        <v>0</v>
      </c>
      <c r="P11" s="13">
        <f t="shared" si="4"/>
        <v>0</v>
      </c>
      <c r="Q11" s="12">
        <f t="shared" si="5"/>
        <v>0</v>
      </c>
      <c r="R11" s="39"/>
      <c r="S11" s="39"/>
      <c r="T11" s="39">
        <f t="shared" si="6"/>
        <v>0</v>
      </c>
      <c r="U11" s="39">
        <f t="shared" si="7"/>
        <v>0</v>
      </c>
      <c r="V11" s="39">
        <f t="shared" si="8"/>
        <v>0</v>
      </c>
      <c r="W11" s="39"/>
      <c r="X11" s="39">
        <f t="shared" si="9"/>
        <v>0</v>
      </c>
      <c r="Y11" s="39"/>
      <c r="Z11" s="13">
        <f t="shared" si="10"/>
        <v>0</v>
      </c>
      <c r="AA11" s="39">
        <f t="shared" si="11"/>
        <v>0</v>
      </c>
      <c r="AB11" s="40" t="str">
        <f t="shared" si="12"/>
        <v/>
      </c>
      <c r="AC11" s="13">
        <f t="shared" si="13"/>
        <v>0</v>
      </c>
      <c r="AD11" s="13">
        <f t="shared" si="14"/>
        <v>0</v>
      </c>
      <c r="AK11" s="25"/>
      <c r="AL11" s="25"/>
      <c r="AM11" s="25"/>
      <c r="AN11" s="25"/>
    </row>
    <row r="12" spans="1:40" ht="15" hidden="1" customHeight="1" x14ac:dyDescent="0.2">
      <c r="A12" s="35">
        <v>7</v>
      </c>
      <c r="B12" s="35"/>
      <c r="C12" s="35"/>
      <c r="D12" s="35"/>
      <c r="E12" s="35"/>
      <c r="F12" s="39"/>
      <c r="G12" s="39"/>
      <c r="H12" s="39"/>
      <c r="I12" s="39"/>
      <c r="J12" s="39"/>
      <c r="K12" s="39"/>
      <c r="L12" s="39">
        <f t="shared" si="0"/>
        <v>0</v>
      </c>
      <c r="M12" s="39">
        <f t="shared" si="1"/>
        <v>0</v>
      </c>
      <c r="N12" s="13">
        <f t="shared" si="2"/>
        <v>0</v>
      </c>
      <c r="O12" s="13">
        <f t="shared" si="3"/>
        <v>0</v>
      </c>
      <c r="P12" s="13">
        <f t="shared" si="4"/>
        <v>0</v>
      </c>
      <c r="Q12" s="12">
        <f t="shared" si="5"/>
        <v>0</v>
      </c>
      <c r="R12" s="39"/>
      <c r="S12" s="39"/>
      <c r="T12" s="39">
        <f t="shared" si="6"/>
        <v>0</v>
      </c>
      <c r="U12" s="39">
        <f t="shared" si="7"/>
        <v>0</v>
      </c>
      <c r="V12" s="39">
        <f t="shared" si="8"/>
        <v>0</v>
      </c>
      <c r="W12" s="39"/>
      <c r="X12" s="39">
        <f t="shared" si="9"/>
        <v>0</v>
      </c>
      <c r="Y12" s="39"/>
      <c r="Z12" s="13">
        <f t="shared" si="10"/>
        <v>0</v>
      </c>
      <c r="AA12" s="39">
        <f t="shared" si="11"/>
        <v>0</v>
      </c>
      <c r="AB12" s="40" t="str">
        <f t="shared" si="12"/>
        <v/>
      </c>
      <c r="AC12" s="13">
        <f t="shared" si="13"/>
        <v>0</v>
      </c>
      <c r="AD12" s="13">
        <f t="shared" si="14"/>
        <v>0</v>
      </c>
      <c r="AK12" s="25"/>
      <c r="AL12" s="25"/>
      <c r="AM12" s="25"/>
      <c r="AN12" s="26"/>
    </row>
    <row r="13" spans="1:40" ht="15" hidden="1" customHeight="1" x14ac:dyDescent="0.2">
      <c r="A13" s="35">
        <v>8</v>
      </c>
      <c r="B13" s="35"/>
      <c r="C13" s="35"/>
      <c r="D13" s="35"/>
      <c r="E13" s="35"/>
      <c r="F13" s="39"/>
      <c r="G13" s="39"/>
      <c r="H13" s="39"/>
      <c r="I13" s="39"/>
      <c r="J13" s="39"/>
      <c r="K13" s="39"/>
      <c r="L13" s="39">
        <f t="shared" si="0"/>
        <v>0</v>
      </c>
      <c r="M13" s="39">
        <f t="shared" si="1"/>
        <v>0</v>
      </c>
      <c r="N13" s="13">
        <f t="shared" si="2"/>
        <v>0</v>
      </c>
      <c r="O13" s="13">
        <f t="shared" si="3"/>
        <v>0</v>
      </c>
      <c r="P13" s="13">
        <f t="shared" si="4"/>
        <v>0</v>
      </c>
      <c r="Q13" s="12">
        <f t="shared" si="5"/>
        <v>0</v>
      </c>
      <c r="R13" s="39"/>
      <c r="S13" s="39"/>
      <c r="T13" s="39">
        <f t="shared" si="6"/>
        <v>0</v>
      </c>
      <c r="U13" s="39">
        <f t="shared" si="7"/>
        <v>0</v>
      </c>
      <c r="V13" s="39">
        <f t="shared" si="8"/>
        <v>0</v>
      </c>
      <c r="W13" s="39"/>
      <c r="X13" s="39">
        <f t="shared" si="9"/>
        <v>0</v>
      </c>
      <c r="Y13" s="39"/>
      <c r="Z13" s="13">
        <f t="shared" si="10"/>
        <v>0</v>
      </c>
      <c r="AA13" s="39">
        <f t="shared" si="11"/>
        <v>0</v>
      </c>
      <c r="AB13" s="40" t="str">
        <f t="shared" si="12"/>
        <v/>
      </c>
      <c r="AC13" s="13">
        <f t="shared" si="13"/>
        <v>0</v>
      </c>
      <c r="AD13" s="13">
        <f t="shared" si="14"/>
        <v>0</v>
      </c>
      <c r="AK13" s="25"/>
      <c r="AL13" s="25"/>
      <c r="AM13" s="25"/>
      <c r="AN13" s="26"/>
    </row>
    <row r="14" spans="1:40" ht="15" hidden="1" customHeight="1" x14ac:dyDescent="0.2">
      <c r="A14" s="35">
        <v>9</v>
      </c>
      <c r="B14" s="35"/>
      <c r="C14" s="35"/>
      <c r="D14" s="35"/>
      <c r="E14" s="35"/>
      <c r="F14" s="39"/>
      <c r="G14" s="39"/>
      <c r="H14" s="39"/>
      <c r="I14" s="39"/>
      <c r="J14" s="39"/>
      <c r="K14" s="39"/>
      <c r="L14" s="39">
        <f t="shared" si="0"/>
        <v>0</v>
      </c>
      <c r="M14" s="39">
        <f t="shared" si="1"/>
        <v>0</v>
      </c>
      <c r="N14" s="13">
        <f t="shared" si="2"/>
        <v>0</v>
      </c>
      <c r="O14" s="13">
        <f t="shared" si="3"/>
        <v>0</v>
      </c>
      <c r="P14" s="13">
        <f t="shared" si="4"/>
        <v>0</v>
      </c>
      <c r="Q14" s="12">
        <f t="shared" si="5"/>
        <v>0</v>
      </c>
      <c r="R14" s="39"/>
      <c r="S14" s="39"/>
      <c r="T14" s="39">
        <f t="shared" si="6"/>
        <v>0</v>
      </c>
      <c r="U14" s="39">
        <f t="shared" si="7"/>
        <v>0</v>
      </c>
      <c r="V14" s="39">
        <f t="shared" si="8"/>
        <v>0</v>
      </c>
      <c r="W14" s="39"/>
      <c r="X14" s="39">
        <f t="shared" si="9"/>
        <v>0</v>
      </c>
      <c r="Y14" s="39"/>
      <c r="Z14" s="13">
        <f t="shared" si="10"/>
        <v>0</v>
      </c>
      <c r="AA14" s="39">
        <f t="shared" si="11"/>
        <v>0</v>
      </c>
      <c r="AB14" s="40" t="str">
        <f t="shared" si="12"/>
        <v/>
      </c>
      <c r="AC14" s="13">
        <f t="shared" si="13"/>
        <v>0</v>
      </c>
      <c r="AD14" s="13">
        <f t="shared" si="14"/>
        <v>0</v>
      </c>
      <c r="AK14" s="25"/>
      <c r="AL14" s="25"/>
      <c r="AM14" s="25"/>
      <c r="AN14" s="26"/>
    </row>
    <row r="15" spans="1:40" ht="15" hidden="1" customHeight="1" x14ac:dyDescent="0.2">
      <c r="A15" s="35">
        <v>10</v>
      </c>
      <c r="B15" s="35"/>
      <c r="C15" s="35"/>
      <c r="D15" s="35"/>
      <c r="E15" s="35"/>
      <c r="F15" s="39"/>
      <c r="G15" s="39"/>
      <c r="H15" s="39"/>
      <c r="I15" s="39"/>
      <c r="J15" s="39"/>
      <c r="K15" s="39"/>
      <c r="L15" s="39">
        <f t="shared" si="0"/>
        <v>0</v>
      </c>
      <c r="M15" s="39">
        <f t="shared" si="1"/>
        <v>0</v>
      </c>
      <c r="N15" s="13">
        <f t="shared" si="2"/>
        <v>0</v>
      </c>
      <c r="O15" s="13">
        <f t="shared" si="3"/>
        <v>0</v>
      </c>
      <c r="P15" s="13">
        <f t="shared" si="4"/>
        <v>0</v>
      </c>
      <c r="Q15" s="12">
        <f t="shared" si="5"/>
        <v>0</v>
      </c>
      <c r="R15" s="39"/>
      <c r="S15" s="39"/>
      <c r="T15" s="39">
        <f t="shared" si="6"/>
        <v>0</v>
      </c>
      <c r="U15" s="39">
        <f t="shared" si="7"/>
        <v>0</v>
      </c>
      <c r="V15" s="39">
        <f t="shared" si="8"/>
        <v>0</v>
      </c>
      <c r="W15" s="39"/>
      <c r="X15" s="39">
        <f t="shared" si="9"/>
        <v>0</v>
      </c>
      <c r="Y15" s="39"/>
      <c r="Z15" s="13">
        <f t="shared" si="10"/>
        <v>0</v>
      </c>
      <c r="AA15" s="39">
        <f t="shared" si="11"/>
        <v>0</v>
      </c>
      <c r="AB15" s="40" t="str">
        <f t="shared" si="12"/>
        <v/>
      </c>
      <c r="AC15" s="13">
        <f t="shared" si="13"/>
        <v>0</v>
      </c>
      <c r="AD15" s="13">
        <f t="shared" si="14"/>
        <v>0</v>
      </c>
      <c r="AK15" s="25"/>
      <c r="AL15" s="25"/>
      <c r="AM15" s="25"/>
      <c r="AN15" s="26"/>
    </row>
    <row r="16" spans="1:40" ht="15" hidden="1" customHeight="1" x14ac:dyDescent="0.2">
      <c r="A16" s="35">
        <v>11</v>
      </c>
      <c r="B16" s="35"/>
      <c r="C16" s="35"/>
      <c r="D16" s="35"/>
      <c r="E16" s="35"/>
      <c r="F16" s="39"/>
      <c r="G16" s="39"/>
      <c r="H16" s="39"/>
      <c r="I16" s="39"/>
      <c r="J16" s="39"/>
      <c r="K16" s="39"/>
      <c r="L16" s="39">
        <f t="shared" si="0"/>
        <v>0</v>
      </c>
      <c r="M16" s="39">
        <f t="shared" si="1"/>
        <v>0</v>
      </c>
      <c r="N16" s="13">
        <f t="shared" si="2"/>
        <v>0</v>
      </c>
      <c r="O16" s="13">
        <f t="shared" si="3"/>
        <v>0</v>
      </c>
      <c r="P16" s="13">
        <f t="shared" si="4"/>
        <v>0</v>
      </c>
      <c r="Q16" s="12">
        <f t="shared" si="5"/>
        <v>0</v>
      </c>
      <c r="R16" s="39"/>
      <c r="S16" s="39"/>
      <c r="T16" s="39">
        <f t="shared" si="6"/>
        <v>0</v>
      </c>
      <c r="U16" s="39">
        <f t="shared" si="7"/>
        <v>0</v>
      </c>
      <c r="V16" s="39">
        <f t="shared" si="8"/>
        <v>0</v>
      </c>
      <c r="W16" s="39"/>
      <c r="X16" s="39">
        <f t="shared" si="9"/>
        <v>0</v>
      </c>
      <c r="Y16" s="39"/>
      <c r="Z16" s="13">
        <f t="shared" si="10"/>
        <v>0</v>
      </c>
      <c r="AA16" s="39">
        <f t="shared" si="11"/>
        <v>0</v>
      </c>
      <c r="AB16" s="40" t="str">
        <f t="shared" si="12"/>
        <v/>
      </c>
      <c r="AC16" s="13">
        <f t="shared" si="13"/>
        <v>0</v>
      </c>
      <c r="AD16" s="13">
        <f t="shared" si="14"/>
        <v>0</v>
      </c>
      <c r="AK16" s="25"/>
      <c r="AL16" s="25"/>
      <c r="AM16" s="25"/>
      <c r="AN16" s="26"/>
    </row>
    <row r="17" spans="1:40" ht="15" hidden="1" customHeight="1" x14ac:dyDescent="0.2">
      <c r="A17" s="35">
        <v>12</v>
      </c>
      <c r="B17" s="35"/>
      <c r="C17" s="35"/>
      <c r="D17" s="35"/>
      <c r="E17" s="35"/>
      <c r="F17" s="39"/>
      <c r="G17" s="39"/>
      <c r="H17" s="39"/>
      <c r="I17" s="39"/>
      <c r="J17" s="39"/>
      <c r="K17" s="39"/>
      <c r="L17" s="39">
        <f t="shared" si="0"/>
        <v>0</v>
      </c>
      <c r="M17" s="39">
        <f t="shared" si="1"/>
        <v>0</v>
      </c>
      <c r="N17" s="13">
        <f t="shared" si="2"/>
        <v>0</v>
      </c>
      <c r="O17" s="13">
        <f t="shared" si="3"/>
        <v>0</v>
      </c>
      <c r="P17" s="13">
        <f t="shared" si="4"/>
        <v>0</v>
      </c>
      <c r="Q17" s="12">
        <f t="shared" si="5"/>
        <v>0</v>
      </c>
      <c r="R17" s="39"/>
      <c r="S17" s="39"/>
      <c r="T17" s="39">
        <f t="shared" si="6"/>
        <v>0</v>
      </c>
      <c r="U17" s="39">
        <f t="shared" si="7"/>
        <v>0</v>
      </c>
      <c r="V17" s="39">
        <f t="shared" si="8"/>
        <v>0</v>
      </c>
      <c r="W17" s="39"/>
      <c r="X17" s="39">
        <f t="shared" si="9"/>
        <v>0</v>
      </c>
      <c r="Y17" s="39"/>
      <c r="Z17" s="13">
        <f t="shared" si="10"/>
        <v>0</v>
      </c>
      <c r="AA17" s="39">
        <f t="shared" si="11"/>
        <v>0</v>
      </c>
      <c r="AB17" s="40" t="str">
        <f t="shared" si="12"/>
        <v/>
      </c>
      <c r="AC17" s="13">
        <f t="shared" si="13"/>
        <v>0</v>
      </c>
      <c r="AD17" s="13">
        <f t="shared" si="14"/>
        <v>0</v>
      </c>
      <c r="AK17" s="25"/>
      <c r="AL17" s="25"/>
      <c r="AM17" s="25"/>
      <c r="AN17" s="26"/>
    </row>
    <row r="18" spans="1:40" ht="15" hidden="1" customHeight="1" x14ac:dyDescent="0.2">
      <c r="A18" s="35">
        <v>13</v>
      </c>
      <c r="B18" s="35"/>
      <c r="C18" s="35"/>
      <c r="D18" s="35"/>
      <c r="E18" s="35"/>
      <c r="F18" s="39"/>
      <c r="G18" s="39"/>
      <c r="H18" s="39"/>
      <c r="I18" s="39"/>
      <c r="J18" s="39"/>
      <c r="K18" s="39"/>
      <c r="L18" s="39">
        <f t="shared" si="0"/>
        <v>0</v>
      </c>
      <c r="M18" s="39">
        <f t="shared" si="1"/>
        <v>0</v>
      </c>
      <c r="N18" s="13">
        <f t="shared" si="2"/>
        <v>0</v>
      </c>
      <c r="O18" s="13">
        <f t="shared" si="3"/>
        <v>0</v>
      </c>
      <c r="P18" s="13">
        <f t="shared" si="4"/>
        <v>0</v>
      </c>
      <c r="Q18" s="12">
        <f t="shared" si="5"/>
        <v>0</v>
      </c>
      <c r="R18" s="39"/>
      <c r="S18" s="39"/>
      <c r="T18" s="39">
        <f t="shared" si="6"/>
        <v>0</v>
      </c>
      <c r="U18" s="39">
        <f t="shared" si="7"/>
        <v>0</v>
      </c>
      <c r="V18" s="39">
        <f t="shared" si="8"/>
        <v>0</v>
      </c>
      <c r="W18" s="39"/>
      <c r="X18" s="39">
        <f t="shared" si="9"/>
        <v>0</v>
      </c>
      <c r="Y18" s="39"/>
      <c r="Z18" s="13">
        <f t="shared" si="10"/>
        <v>0</v>
      </c>
      <c r="AA18" s="39">
        <f t="shared" si="11"/>
        <v>0</v>
      </c>
      <c r="AB18" s="40" t="str">
        <f t="shared" si="12"/>
        <v/>
      </c>
      <c r="AC18" s="13">
        <f t="shared" si="13"/>
        <v>0</v>
      </c>
      <c r="AD18" s="13">
        <f t="shared" si="14"/>
        <v>0</v>
      </c>
      <c r="AK18" s="25"/>
      <c r="AL18" s="25"/>
      <c r="AM18" s="25"/>
      <c r="AN18" s="26"/>
    </row>
    <row r="19" spans="1:40" ht="15" hidden="1" customHeight="1" x14ac:dyDescent="0.2">
      <c r="A19" s="35">
        <v>14</v>
      </c>
      <c r="B19" s="35"/>
      <c r="C19" s="35"/>
      <c r="D19" s="35"/>
      <c r="E19" s="35"/>
      <c r="F19" s="39"/>
      <c r="G19" s="39"/>
      <c r="H19" s="39"/>
      <c r="I19" s="39"/>
      <c r="J19" s="39"/>
      <c r="K19" s="39"/>
      <c r="L19" s="39">
        <f t="shared" si="0"/>
        <v>0</v>
      </c>
      <c r="M19" s="39">
        <f t="shared" si="1"/>
        <v>0</v>
      </c>
      <c r="N19" s="13">
        <f t="shared" si="2"/>
        <v>0</v>
      </c>
      <c r="O19" s="13">
        <f t="shared" si="3"/>
        <v>0</v>
      </c>
      <c r="P19" s="13">
        <f t="shared" si="4"/>
        <v>0</v>
      </c>
      <c r="Q19" s="12">
        <f t="shared" si="5"/>
        <v>0</v>
      </c>
      <c r="R19" s="39"/>
      <c r="S19" s="39"/>
      <c r="T19" s="39">
        <f t="shared" si="6"/>
        <v>0</v>
      </c>
      <c r="U19" s="39">
        <f t="shared" si="7"/>
        <v>0</v>
      </c>
      <c r="V19" s="39">
        <f t="shared" si="8"/>
        <v>0</v>
      </c>
      <c r="W19" s="39"/>
      <c r="X19" s="39">
        <f t="shared" si="9"/>
        <v>0</v>
      </c>
      <c r="Y19" s="39"/>
      <c r="Z19" s="13">
        <f t="shared" si="10"/>
        <v>0</v>
      </c>
      <c r="AA19" s="39">
        <f t="shared" si="11"/>
        <v>0</v>
      </c>
      <c r="AB19" s="40" t="str">
        <f t="shared" si="12"/>
        <v/>
      </c>
      <c r="AC19" s="13">
        <f t="shared" si="13"/>
        <v>0</v>
      </c>
      <c r="AD19" s="13">
        <f t="shared" si="14"/>
        <v>0</v>
      </c>
      <c r="AK19" s="25"/>
      <c r="AL19" s="25"/>
      <c r="AM19" s="25"/>
      <c r="AN19" s="26"/>
    </row>
    <row r="20" spans="1:40" ht="15" hidden="1" customHeight="1" x14ac:dyDescent="0.2">
      <c r="A20" s="35">
        <v>15</v>
      </c>
      <c r="B20" s="35"/>
      <c r="C20" s="35"/>
      <c r="D20" s="35"/>
      <c r="E20" s="35"/>
      <c r="F20" s="39"/>
      <c r="G20" s="39"/>
      <c r="H20" s="39"/>
      <c r="I20" s="39"/>
      <c r="J20" s="39"/>
      <c r="K20" s="39"/>
      <c r="L20" s="39">
        <f t="shared" si="0"/>
        <v>0</v>
      </c>
      <c r="M20" s="39">
        <f t="shared" si="1"/>
        <v>0</v>
      </c>
      <c r="N20" s="13">
        <f t="shared" si="2"/>
        <v>0</v>
      </c>
      <c r="O20" s="13">
        <f t="shared" si="3"/>
        <v>0</v>
      </c>
      <c r="P20" s="13">
        <f t="shared" si="4"/>
        <v>0</v>
      </c>
      <c r="Q20" s="12">
        <f t="shared" si="5"/>
        <v>0</v>
      </c>
      <c r="R20" s="39"/>
      <c r="S20" s="39"/>
      <c r="T20" s="39">
        <f t="shared" si="6"/>
        <v>0</v>
      </c>
      <c r="U20" s="39">
        <f t="shared" si="7"/>
        <v>0</v>
      </c>
      <c r="V20" s="39">
        <f t="shared" si="8"/>
        <v>0</v>
      </c>
      <c r="W20" s="39"/>
      <c r="X20" s="39">
        <f t="shared" si="9"/>
        <v>0</v>
      </c>
      <c r="Y20" s="39"/>
      <c r="Z20" s="13">
        <f t="shared" si="10"/>
        <v>0</v>
      </c>
      <c r="AA20" s="39">
        <f t="shared" si="11"/>
        <v>0</v>
      </c>
      <c r="AB20" s="40" t="str">
        <f t="shared" si="12"/>
        <v/>
      </c>
      <c r="AC20" s="13">
        <f t="shared" si="13"/>
        <v>0</v>
      </c>
      <c r="AD20" s="13">
        <f t="shared" si="14"/>
        <v>0</v>
      </c>
      <c r="AK20" s="25"/>
      <c r="AL20" s="25"/>
      <c r="AM20" s="25"/>
      <c r="AN20" s="26"/>
    </row>
    <row r="21" spans="1:40" ht="15" hidden="1" customHeight="1" x14ac:dyDescent="0.2">
      <c r="A21" s="35">
        <v>16</v>
      </c>
      <c r="B21" s="35"/>
      <c r="C21" s="35"/>
      <c r="D21" s="35"/>
      <c r="E21" s="35"/>
      <c r="F21" s="39"/>
      <c r="G21" s="39"/>
      <c r="H21" s="39"/>
      <c r="I21" s="39"/>
      <c r="J21" s="39"/>
      <c r="K21" s="39"/>
      <c r="L21" s="39">
        <f t="shared" si="0"/>
        <v>0</v>
      </c>
      <c r="M21" s="39">
        <f t="shared" si="1"/>
        <v>0</v>
      </c>
      <c r="N21" s="13">
        <f t="shared" si="2"/>
        <v>0</v>
      </c>
      <c r="O21" s="13">
        <f t="shared" si="3"/>
        <v>0</v>
      </c>
      <c r="P21" s="13">
        <f t="shared" si="4"/>
        <v>0</v>
      </c>
      <c r="Q21" s="12">
        <f t="shared" si="5"/>
        <v>0</v>
      </c>
      <c r="R21" s="39"/>
      <c r="S21" s="39"/>
      <c r="T21" s="39">
        <f t="shared" si="6"/>
        <v>0</v>
      </c>
      <c r="U21" s="39">
        <f t="shared" si="7"/>
        <v>0</v>
      </c>
      <c r="V21" s="39">
        <f t="shared" si="8"/>
        <v>0</v>
      </c>
      <c r="W21" s="39"/>
      <c r="X21" s="39">
        <f t="shared" si="9"/>
        <v>0</v>
      </c>
      <c r="Y21" s="39"/>
      <c r="Z21" s="13">
        <f t="shared" si="10"/>
        <v>0</v>
      </c>
      <c r="AA21" s="39">
        <f t="shared" si="11"/>
        <v>0</v>
      </c>
      <c r="AB21" s="40" t="str">
        <f t="shared" si="12"/>
        <v/>
      </c>
      <c r="AC21" s="13">
        <f t="shared" si="13"/>
        <v>0</v>
      </c>
      <c r="AD21" s="13">
        <f t="shared" si="14"/>
        <v>0</v>
      </c>
      <c r="AK21" s="25"/>
      <c r="AL21" s="25"/>
      <c r="AM21" s="25"/>
      <c r="AN21" s="26"/>
    </row>
    <row r="22" spans="1:40" ht="15" hidden="1" customHeight="1" x14ac:dyDescent="0.2">
      <c r="A22" s="35">
        <v>17</v>
      </c>
      <c r="B22" s="35"/>
      <c r="C22" s="35"/>
      <c r="D22" s="35"/>
      <c r="E22" s="35"/>
      <c r="F22" s="39"/>
      <c r="G22" s="39"/>
      <c r="H22" s="39"/>
      <c r="I22" s="39"/>
      <c r="J22" s="39"/>
      <c r="K22" s="39"/>
      <c r="L22" s="39">
        <f t="shared" si="0"/>
        <v>0</v>
      </c>
      <c r="M22" s="39">
        <f t="shared" si="1"/>
        <v>0</v>
      </c>
      <c r="N22" s="13">
        <f t="shared" si="2"/>
        <v>0</v>
      </c>
      <c r="O22" s="13">
        <f t="shared" si="3"/>
        <v>0</v>
      </c>
      <c r="P22" s="13">
        <f t="shared" si="4"/>
        <v>0</v>
      </c>
      <c r="Q22" s="12">
        <f t="shared" si="5"/>
        <v>0</v>
      </c>
      <c r="R22" s="39"/>
      <c r="S22" s="39"/>
      <c r="T22" s="39">
        <f t="shared" si="6"/>
        <v>0</v>
      </c>
      <c r="U22" s="39">
        <f t="shared" si="7"/>
        <v>0</v>
      </c>
      <c r="V22" s="39">
        <f t="shared" si="8"/>
        <v>0</v>
      </c>
      <c r="W22" s="39"/>
      <c r="X22" s="39">
        <f t="shared" si="9"/>
        <v>0</v>
      </c>
      <c r="Y22" s="39"/>
      <c r="Z22" s="13">
        <f t="shared" si="10"/>
        <v>0</v>
      </c>
      <c r="AA22" s="39">
        <f t="shared" si="11"/>
        <v>0</v>
      </c>
      <c r="AB22" s="40" t="str">
        <f t="shared" si="12"/>
        <v/>
      </c>
      <c r="AC22" s="13">
        <f t="shared" si="13"/>
        <v>0</v>
      </c>
      <c r="AD22" s="13">
        <f t="shared" si="14"/>
        <v>0</v>
      </c>
      <c r="AK22" s="25"/>
      <c r="AL22" s="25"/>
      <c r="AM22" s="25"/>
      <c r="AN22" s="26"/>
    </row>
    <row r="23" spans="1:40" ht="15" hidden="1" customHeight="1" x14ac:dyDescent="0.2">
      <c r="A23" s="35">
        <v>18</v>
      </c>
      <c r="B23" s="35"/>
      <c r="C23" s="35"/>
      <c r="D23" s="35"/>
      <c r="E23" s="35"/>
      <c r="F23" s="39"/>
      <c r="G23" s="39"/>
      <c r="H23" s="39"/>
      <c r="I23" s="39"/>
      <c r="J23" s="39"/>
      <c r="K23" s="39"/>
      <c r="L23" s="39">
        <f t="shared" si="0"/>
        <v>0</v>
      </c>
      <c r="M23" s="39">
        <f t="shared" si="1"/>
        <v>0</v>
      </c>
      <c r="N23" s="13">
        <f t="shared" si="2"/>
        <v>0</v>
      </c>
      <c r="O23" s="13">
        <f t="shared" si="3"/>
        <v>0</v>
      </c>
      <c r="P23" s="13">
        <f t="shared" si="4"/>
        <v>0</v>
      </c>
      <c r="Q23" s="12">
        <f t="shared" si="5"/>
        <v>0</v>
      </c>
      <c r="R23" s="39"/>
      <c r="S23" s="39"/>
      <c r="T23" s="39">
        <f t="shared" si="6"/>
        <v>0</v>
      </c>
      <c r="U23" s="39">
        <f t="shared" si="7"/>
        <v>0</v>
      </c>
      <c r="V23" s="39">
        <f t="shared" si="8"/>
        <v>0</v>
      </c>
      <c r="W23" s="39"/>
      <c r="X23" s="39">
        <f t="shared" si="9"/>
        <v>0</v>
      </c>
      <c r="Y23" s="39"/>
      <c r="Z23" s="13">
        <f t="shared" si="10"/>
        <v>0</v>
      </c>
      <c r="AA23" s="39">
        <f t="shared" si="11"/>
        <v>0</v>
      </c>
      <c r="AB23" s="40" t="str">
        <f t="shared" si="12"/>
        <v/>
      </c>
      <c r="AC23" s="13">
        <f t="shared" si="13"/>
        <v>0</v>
      </c>
      <c r="AD23" s="13">
        <f t="shared" si="14"/>
        <v>0</v>
      </c>
      <c r="AK23" s="25"/>
      <c r="AL23" s="25"/>
      <c r="AM23" s="25"/>
      <c r="AN23" s="26"/>
    </row>
    <row r="24" spans="1:40" ht="15" hidden="1" customHeight="1" x14ac:dyDescent="0.2">
      <c r="A24" s="35">
        <v>19</v>
      </c>
      <c r="B24" s="35"/>
      <c r="C24" s="35"/>
      <c r="D24" s="35"/>
      <c r="E24" s="35"/>
      <c r="F24" s="39"/>
      <c r="G24" s="39"/>
      <c r="H24" s="39"/>
      <c r="I24" s="39"/>
      <c r="J24" s="39"/>
      <c r="K24" s="39"/>
      <c r="L24" s="39">
        <f t="shared" si="0"/>
        <v>0</v>
      </c>
      <c r="M24" s="39">
        <f t="shared" si="1"/>
        <v>0</v>
      </c>
      <c r="N24" s="13">
        <f t="shared" si="2"/>
        <v>0</v>
      </c>
      <c r="O24" s="13">
        <f t="shared" si="3"/>
        <v>0</v>
      </c>
      <c r="P24" s="13">
        <f t="shared" si="4"/>
        <v>0</v>
      </c>
      <c r="Q24" s="12">
        <f t="shared" si="5"/>
        <v>0</v>
      </c>
      <c r="R24" s="39"/>
      <c r="S24" s="39"/>
      <c r="T24" s="39">
        <f t="shared" si="6"/>
        <v>0</v>
      </c>
      <c r="U24" s="39">
        <f t="shared" si="7"/>
        <v>0</v>
      </c>
      <c r="V24" s="39">
        <f t="shared" si="8"/>
        <v>0</v>
      </c>
      <c r="W24" s="39"/>
      <c r="X24" s="39">
        <f t="shared" si="9"/>
        <v>0</v>
      </c>
      <c r="Y24" s="39"/>
      <c r="Z24" s="13">
        <f t="shared" si="10"/>
        <v>0</v>
      </c>
      <c r="AA24" s="39">
        <f t="shared" si="11"/>
        <v>0</v>
      </c>
      <c r="AB24" s="40" t="str">
        <f t="shared" si="12"/>
        <v/>
      </c>
      <c r="AC24" s="13">
        <f t="shared" si="13"/>
        <v>0</v>
      </c>
      <c r="AD24" s="13">
        <f t="shared" si="14"/>
        <v>0</v>
      </c>
      <c r="AK24" s="25"/>
      <c r="AL24" s="25"/>
      <c r="AM24" s="25"/>
      <c r="AN24" s="26"/>
    </row>
    <row r="25" spans="1:40" ht="15" hidden="1" customHeight="1" x14ac:dyDescent="0.2">
      <c r="A25" s="35">
        <v>20</v>
      </c>
      <c r="B25" s="35"/>
      <c r="C25" s="35"/>
      <c r="D25" s="35"/>
      <c r="E25" s="35"/>
      <c r="F25" s="39"/>
      <c r="G25" s="39"/>
      <c r="H25" s="39"/>
      <c r="I25" s="39"/>
      <c r="J25" s="39"/>
      <c r="K25" s="39"/>
      <c r="L25" s="39">
        <f t="shared" si="0"/>
        <v>0</v>
      </c>
      <c r="M25" s="39">
        <f t="shared" si="1"/>
        <v>0</v>
      </c>
      <c r="N25" s="13">
        <f t="shared" si="2"/>
        <v>0</v>
      </c>
      <c r="O25" s="13">
        <f t="shared" si="3"/>
        <v>0</v>
      </c>
      <c r="P25" s="13">
        <f t="shared" si="4"/>
        <v>0</v>
      </c>
      <c r="Q25" s="12">
        <f t="shared" si="5"/>
        <v>0</v>
      </c>
      <c r="R25" s="39"/>
      <c r="S25" s="39"/>
      <c r="T25" s="39">
        <f t="shared" si="6"/>
        <v>0</v>
      </c>
      <c r="U25" s="39">
        <f t="shared" si="7"/>
        <v>0</v>
      </c>
      <c r="V25" s="39">
        <f t="shared" si="8"/>
        <v>0</v>
      </c>
      <c r="W25" s="39"/>
      <c r="X25" s="39">
        <f t="shared" si="9"/>
        <v>0</v>
      </c>
      <c r="Y25" s="39"/>
      <c r="Z25" s="13">
        <f t="shared" si="10"/>
        <v>0</v>
      </c>
      <c r="AA25" s="39">
        <f t="shared" si="11"/>
        <v>0</v>
      </c>
      <c r="AB25" s="40" t="str">
        <f t="shared" si="12"/>
        <v/>
      </c>
      <c r="AC25" s="13">
        <f t="shared" si="13"/>
        <v>0</v>
      </c>
      <c r="AD25" s="13">
        <f t="shared" si="14"/>
        <v>0</v>
      </c>
      <c r="AK25" s="25"/>
      <c r="AL25" s="25"/>
      <c r="AM25" s="25"/>
      <c r="AN25" s="26"/>
    </row>
    <row r="26" spans="1:40" ht="15" hidden="1" customHeight="1" x14ac:dyDescent="0.2">
      <c r="A26" s="35">
        <v>21</v>
      </c>
      <c r="B26" s="35"/>
      <c r="C26" s="35"/>
      <c r="D26" s="35"/>
      <c r="E26" s="35"/>
      <c r="F26" s="39"/>
      <c r="G26" s="39"/>
      <c r="H26" s="39"/>
      <c r="I26" s="39"/>
      <c r="J26" s="39"/>
      <c r="K26" s="39"/>
      <c r="L26" s="39">
        <f t="shared" si="0"/>
        <v>0</v>
      </c>
      <c r="M26" s="39">
        <f t="shared" si="1"/>
        <v>0</v>
      </c>
      <c r="N26" s="13">
        <f t="shared" si="2"/>
        <v>0</v>
      </c>
      <c r="O26" s="13">
        <f t="shared" si="3"/>
        <v>0</v>
      </c>
      <c r="P26" s="13">
        <f t="shared" si="4"/>
        <v>0</v>
      </c>
      <c r="Q26" s="12">
        <f t="shared" si="5"/>
        <v>0</v>
      </c>
      <c r="R26" s="39"/>
      <c r="S26" s="39"/>
      <c r="T26" s="39">
        <f t="shared" si="6"/>
        <v>0</v>
      </c>
      <c r="U26" s="39">
        <f t="shared" si="7"/>
        <v>0</v>
      </c>
      <c r="V26" s="39">
        <f t="shared" si="8"/>
        <v>0</v>
      </c>
      <c r="W26" s="39"/>
      <c r="X26" s="39">
        <f t="shared" si="9"/>
        <v>0</v>
      </c>
      <c r="Y26" s="39"/>
      <c r="Z26" s="13">
        <f t="shared" si="10"/>
        <v>0</v>
      </c>
      <c r="AA26" s="39">
        <f t="shared" si="11"/>
        <v>0</v>
      </c>
      <c r="AB26" s="40" t="str">
        <f t="shared" si="12"/>
        <v/>
      </c>
      <c r="AC26" s="13">
        <f t="shared" si="13"/>
        <v>0</v>
      </c>
      <c r="AD26" s="13">
        <f t="shared" si="14"/>
        <v>0</v>
      </c>
      <c r="AK26" s="25"/>
      <c r="AL26" s="25"/>
      <c r="AM26" s="25"/>
      <c r="AN26" s="26"/>
    </row>
    <row r="27" spans="1:40" ht="15" hidden="1" customHeight="1" x14ac:dyDescent="0.2">
      <c r="A27" s="35">
        <v>22</v>
      </c>
      <c r="B27" s="35"/>
      <c r="C27" s="35"/>
      <c r="D27" s="35"/>
      <c r="E27" s="35"/>
      <c r="F27" s="39"/>
      <c r="G27" s="39"/>
      <c r="H27" s="39"/>
      <c r="I27" s="39"/>
      <c r="J27" s="39"/>
      <c r="K27" s="39"/>
      <c r="L27" s="39">
        <f t="shared" si="0"/>
        <v>0</v>
      </c>
      <c r="M27" s="39">
        <f t="shared" si="1"/>
        <v>0</v>
      </c>
      <c r="N27" s="13">
        <f t="shared" si="2"/>
        <v>0</v>
      </c>
      <c r="O27" s="13">
        <f t="shared" si="3"/>
        <v>0</v>
      </c>
      <c r="P27" s="13">
        <f t="shared" si="4"/>
        <v>0</v>
      </c>
      <c r="Q27" s="12">
        <f t="shared" si="5"/>
        <v>0</v>
      </c>
      <c r="R27" s="39"/>
      <c r="S27" s="39"/>
      <c r="T27" s="39">
        <f t="shared" si="6"/>
        <v>0</v>
      </c>
      <c r="U27" s="39">
        <f t="shared" si="7"/>
        <v>0</v>
      </c>
      <c r="V27" s="39">
        <f t="shared" si="8"/>
        <v>0</v>
      </c>
      <c r="W27" s="39"/>
      <c r="X27" s="39">
        <f t="shared" si="9"/>
        <v>0</v>
      </c>
      <c r="Y27" s="39"/>
      <c r="Z27" s="13">
        <f t="shared" si="10"/>
        <v>0</v>
      </c>
      <c r="AA27" s="39">
        <f t="shared" si="11"/>
        <v>0</v>
      </c>
      <c r="AB27" s="40" t="str">
        <f t="shared" si="12"/>
        <v/>
      </c>
      <c r="AC27" s="13">
        <f t="shared" si="13"/>
        <v>0</v>
      </c>
      <c r="AD27" s="13">
        <f t="shared" si="14"/>
        <v>0</v>
      </c>
      <c r="AK27" s="25"/>
      <c r="AL27" s="25"/>
      <c r="AM27" s="25"/>
      <c r="AN27" s="26"/>
    </row>
    <row r="28" spans="1:40" ht="15" hidden="1" customHeight="1" x14ac:dyDescent="0.2">
      <c r="A28" s="35">
        <v>23</v>
      </c>
      <c r="B28" s="35"/>
      <c r="C28" s="35"/>
      <c r="D28" s="35"/>
      <c r="E28" s="35"/>
      <c r="F28" s="39"/>
      <c r="G28" s="39"/>
      <c r="H28" s="39"/>
      <c r="I28" s="39"/>
      <c r="J28" s="39"/>
      <c r="K28" s="39"/>
      <c r="L28" s="39">
        <f t="shared" si="0"/>
        <v>0</v>
      </c>
      <c r="M28" s="39">
        <f t="shared" si="1"/>
        <v>0</v>
      </c>
      <c r="N28" s="13">
        <f t="shared" si="2"/>
        <v>0</v>
      </c>
      <c r="O28" s="13">
        <f t="shared" si="3"/>
        <v>0</v>
      </c>
      <c r="P28" s="13">
        <f t="shared" si="4"/>
        <v>0</v>
      </c>
      <c r="Q28" s="12">
        <f t="shared" si="5"/>
        <v>0</v>
      </c>
      <c r="R28" s="39"/>
      <c r="S28" s="39"/>
      <c r="T28" s="39">
        <f t="shared" si="6"/>
        <v>0</v>
      </c>
      <c r="U28" s="39">
        <f t="shared" si="7"/>
        <v>0</v>
      </c>
      <c r="V28" s="39">
        <f t="shared" si="8"/>
        <v>0</v>
      </c>
      <c r="W28" s="39"/>
      <c r="X28" s="39">
        <f t="shared" si="9"/>
        <v>0</v>
      </c>
      <c r="Y28" s="39"/>
      <c r="Z28" s="13">
        <f t="shared" si="10"/>
        <v>0</v>
      </c>
      <c r="AA28" s="39">
        <f t="shared" si="11"/>
        <v>0</v>
      </c>
      <c r="AB28" s="40" t="str">
        <f t="shared" si="12"/>
        <v/>
      </c>
      <c r="AC28" s="13">
        <f t="shared" si="13"/>
        <v>0</v>
      </c>
      <c r="AD28" s="13">
        <f t="shared" si="14"/>
        <v>0</v>
      </c>
      <c r="AK28" s="25"/>
      <c r="AL28" s="25"/>
      <c r="AM28" s="25"/>
      <c r="AN28" s="26"/>
    </row>
    <row r="29" spans="1:40" ht="15" hidden="1" customHeight="1" x14ac:dyDescent="0.2">
      <c r="A29" s="35">
        <v>24</v>
      </c>
      <c r="B29" s="35"/>
      <c r="C29" s="35"/>
      <c r="D29" s="35"/>
      <c r="E29" s="35"/>
      <c r="F29" s="39"/>
      <c r="G29" s="39"/>
      <c r="H29" s="39"/>
      <c r="I29" s="39"/>
      <c r="J29" s="39"/>
      <c r="K29" s="39"/>
      <c r="L29" s="39">
        <f t="shared" si="0"/>
        <v>0</v>
      </c>
      <c r="M29" s="39">
        <f t="shared" si="1"/>
        <v>0</v>
      </c>
      <c r="N29" s="13">
        <f t="shared" si="2"/>
        <v>0</v>
      </c>
      <c r="O29" s="13">
        <f t="shared" si="3"/>
        <v>0</v>
      </c>
      <c r="P29" s="13">
        <f t="shared" si="4"/>
        <v>0</v>
      </c>
      <c r="Q29" s="12">
        <f t="shared" si="5"/>
        <v>0</v>
      </c>
      <c r="R29" s="39"/>
      <c r="S29" s="39"/>
      <c r="T29" s="39">
        <f t="shared" si="6"/>
        <v>0</v>
      </c>
      <c r="U29" s="39">
        <f t="shared" si="7"/>
        <v>0</v>
      </c>
      <c r="V29" s="39">
        <f t="shared" si="8"/>
        <v>0</v>
      </c>
      <c r="W29" s="39"/>
      <c r="X29" s="39">
        <f t="shared" si="9"/>
        <v>0</v>
      </c>
      <c r="Y29" s="39"/>
      <c r="Z29" s="13">
        <f t="shared" si="10"/>
        <v>0</v>
      </c>
      <c r="AA29" s="39">
        <f t="shared" si="11"/>
        <v>0</v>
      </c>
      <c r="AB29" s="40" t="str">
        <f t="shared" si="12"/>
        <v/>
      </c>
      <c r="AC29" s="13">
        <f t="shared" si="13"/>
        <v>0</v>
      </c>
      <c r="AD29" s="13">
        <f t="shared" si="14"/>
        <v>0</v>
      </c>
      <c r="AK29" s="25"/>
      <c r="AL29" s="25"/>
      <c r="AM29" s="25"/>
      <c r="AN29" s="26"/>
    </row>
    <row r="30" spans="1:40" ht="15" hidden="1" customHeight="1" x14ac:dyDescent="0.2">
      <c r="A30" s="35">
        <v>25</v>
      </c>
      <c r="B30" s="35"/>
      <c r="C30" s="35"/>
      <c r="D30" s="35"/>
      <c r="E30" s="35"/>
      <c r="F30" s="39"/>
      <c r="G30" s="39"/>
      <c r="H30" s="39"/>
      <c r="I30" s="39"/>
      <c r="J30" s="39"/>
      <c r="K30" s="39"/>
      <c r="L30" s="39">
        <f t="shared" si="0"/>
        <v>0</v>
      </c>
      <c r="M30" s="39">
        <f t="shared" si="1"/>
        <v>0</v>
      </c>
      <c r="N30" s="13">
        <f t="shared" si="2"/>
        <v>0</v>
      </c>
      <c r="O30" s="13">
        <f t="shared" si="3"/>
        <v>0</v>
      </c>
      <c r="P30" s="13">
        <f t="shared" si="4"/>
        <v>0</v>
      </c>
      <c r="Q30" s="12">
        <f t="shared" si="5"/>
        <v>0</v>
      </c>
      <c r="R30" s="39"/>
      <c r="S30" s="39"/>
      <c r="T30" s="39">
        <f t="shared" si="6"/>
        <v>0</v>
      </c>
      <c r="U30" s="39">
        <f t="shared" si="7"/>
        <v>0</v>
      </c>
      <c r="V30" s="39">
        <f t="shared" si="8"/>
        <v>0</v>
      </c>
      <c r="W30" s="39"/>
      <c r="X30" s="39">
        <f t="shared" si="9"/>
        <v>0</v>
      </c>
      <c r="Y30" s="39"/>
      <c r="Z30" s="13">
        <f t="shared" si="10"/>
        <v>0</v>
      </c>
      <c r="AA30" s="39">
        <f t="shared" si="11"/>
        <v>0</v>
      </c>
      <c r="AB30" s="40" t="str">
        <f t="shared" si="12"/>
        <v/>
      </c>
      <c r="AC30" s="13">
        <f t="shared" si="13"/>
        <v>0</v>
      </c>
      <c r="AD30" s="13">
        <f t="shared" si="14"/>
        <v>0</v>
      </c>
      <c r="AK30" s="25"/>
      <c r="AL30" s="25"/>
      <c r="AM30" s="25"/>
      <c r="AN30" s="26"/>
    </row>
    <row r="31" spans="1:40" ht="15" hidden="1" customHeight="1" x14ac:dyDescent="0.2">
      <c r="A31" s="35">
        <v>26</v>
      </c>
      <c r="B31" s="35"/>
      <c r="C31" s="35"/>
      <c r="D31" s="35"/>
      <c r="E31" s="35"/>
      <c r="F31" s="39"/>
      <c r="G31" s="39"/>
      <c r="H31" s="39"/>
      <c r="I31" s="39"/>
      <c r="J31" s="39"/>
      <c r="K31" s="39"/>
      <c r="L31" s="39">
        <f t="shared" si="0"/>
        <v>0</v>
      </c>
      <c r="M31" s="39">
        <f t="shared" si="1"/>
        <v>0</v>
      </c>
      <c r="N31" s="13">
        <f t="shared" si="2"/>
        <v>0</v>
      </c>
      <c r="O31" s="13">
        <f t="shared" si="3"/>
        <v>0</v>
      </c>
      <c r="P31" s="13">
        <f t="shared" si="4"/>
        <v>0</v>
      </c>
      <c r="Q31" s="12">
        <f t="shared" si="5"/>
        <v>0</v>
      </c>
      <c r="R31" s="39"/>
      <c r="S31" s="39"/>
      <c r="T31" s="39">
        <f t="shared" si="6"/>
        <v>0</v>
      </c>
      <c r="U31" s="39">
        <f t="shared" si="7"/>
        <v>0</v>
      </c>
      <c r="V31" s="39">
        <f t="shared" si="8"/>
        <v>0</v>
      </c>
      <c r="W31" s="39"/>
      <c r="X31" s="39">
        <f t="shared" si="9"/>
        <v>0</v>
      </c>
      <c r="Y31" s="39"/>
      <c r="Z31" s="13">
        <f t="shared" si="10"/>
        <v>0</v>
      </c>
      <c r="AA31" s="39">
        <f t="shared" si="11"/>
        <v>0</v>
      </c>
      <c r="AB31" s="40" t="str">
        <f t="shared" si="12"/>
        <v/>
      </c>
      <c r="AC31" s="13">
        <f t="shared" si="13"/>
        <v>0</v>
      </c>
      <c r="AD31" s="13">
        <f t="shared" si="14"/>
        <v>0</v>
      </c>
      <c r="AK31" s="25"/>
      <c r="AL31" s="25"/>
      <c r="AM31" s="25"/>
      <c r="AN31" s="26"/>
    </row>
    <row r="32" spans="1:40" ht="15" hidden="1" customHeight="1" x14ac:dyDescent="0.2">
      <c r="A32" s="35">
        <v>27</v>
      </c>
      <c r="B32" s="35"/>
      <c r="C32" s="35"/>
      <c r="D32" s="35"/>
      <c r="E32" s="35"/>
      <c r="F32" s="39"/>
      <c r="G32" s="39"/>
      <c r="H32" s="39"/>
      <c r="I32" s="39"/>
      <c r="J32" s="39"/>
      <c r="K32" s="39"/>
      <c r="L32" s="39">
        <f t="shared" si="0"/>
        <v>0</v>
      </c>
      <c r="M32" s="39">
        <f t="shared" si="1"/>
        <v>0</v>
      </c>
      <c r="N32" s="13">
        <f t="shared" si="2"/>
        <v>0</v>
      </c>
      <c r="O32" s="13">
        <f t="shared" si="3"/>
        <v>0</v>
      </c>
      <c r="P32" s="13">
        <f t="shared" si="4"/>
        <v>0</v>
      </c>
      <c r="Q32" s="12">
        <f t="shared" si="5"/>
        <v>0</v>
      </c>
      <c r="R32" s="39"/>
      <c r="S32" s="39"/>
      <c r="T32" s="39">
        <f t="shared" si="6"/>
        <v>0</v>
      </c>
      <c r="U32" s="39">
        <f t="shared" si="7"/>
        <v>0</v>
      </c>
      <c r="V32" s="39">
        <f t="shared" si="8"/>
        <v>0</v>
      </c>
      <c r="W32" s="39"/>
      <c r="X32" s="39">
        <f t="shared" si="9"/>
        <v>0</v>
      </c>
      <c r="Y32" s="39"/>
      <c r="Z32" s="13">
        <f t="shared" si="10"/>
        <v>0</v>
      </c>
      <c r="AA32" s="39">
        <f t="shared" si="11"/>
        <v>0</v>
      </c>
      <c r="AB32" s="40" t="str">
        <f t="shared" si="12"/>
        <v/>
      </c>
      <c r="AC32" s="13">
        <f t="shared" si="13"/>
        <v>0</v>
      </c>
      <c r="AD32" s="13">
        <f t="shared" si="14"/>
        <v>0</v>
      </c>
      <c r="AK32" s="25"/>
      <c r="AL32" s="25"/>
      <c r="AM32" s="25"/>
      <c r="AN32" s="26"/>
    </row>
    <row r="33" spans="1:40" ht="15" hidden="1" customHeight="1" x14ac:dyDescent="0.2">
      <c r="A33" s="35">
        <v>28</v>
      </c>
      <c r="B33" s="35"/>
      <c r="C33" s="35"/>
      <c r="D33" s="35"/>
      <c r="E33" s="35"/>
      <c r="F33" s="39"/>
      <c r="G33" s="39"/>
      <c r="H33" s="39"/>
      <c r="I33" s="39"/>
      <c r="J33" s="39"/>
      <c r="K33" s="39"/>
      <c r="L33" s="39">
        <f t="shared" si="0"/>
        <v>0</v>
      </c>
      <c r="M33" s="39">
        <f t="shared" si="1"/>
        <v>0</v>
      </c>
      <c r="N33" s="13">
        <f t="shared" si="2"/>
        <v>0</v>
      </c>
      <c r="O33" s="13">
        <f t="shared" si="3"/>
        <v>0</v>
      </c>
      <c r="P33" s="13">
        <f t="shared" si="4"/>
        <v>0</v>
      </c>
      <c r="Q33" s="12">
        <f t="shared" si="5"/>
        <v>0</v>
      </c>
      <c r="R33" s="39"/>
      <c r="S33" s="39"/>
      <c r="T33" s="39">
        <f t="shared" si="6"/>
        <v>0</v>
      </c>
      <c r="U33" s="39">
        <f t="shared" si="7"/>
        <v>0</v>
      </c>
      <c r="V33" s="39">
        <f t="shared" si="8"/>
        <v>0</v>
      </c>
      <c r="W33" s="39"/>
      <c r="X33" s="39">
        <f t="shared" si="9"/>
        <v>0</v>
      </c>
      <c r="Y33" s="39"/>
      <c r="Z33" s="13">
        <f t="shared" si="10"/>
        <v>0</v>
      </c>
      <c r="AA33" s="39">
        <f t="shared" si="11"/>
        <v>0</v>
      </c>
      <c r="AB33" s="40" t="str">
        <f t="shared" si="12"/>
        <v/>
      </c>
      <c r="AC33" s="13">
        <f t="shared" si="13"/>
        <v>0</v>
      </c>
      <c r="AD33" s="13">
        <f t="shared" si="14"/>
        <v>0</v>
      </c>
      <c r="AK33" s="25"/>
      <c r="AL33" s="25"/>
      <c r="AM33" s="25"/>
      <c r="AN33" s="26"/>
    </row>
    <row r="34" spans="1:40" ht="15" hidden="1" customHeight="1" x14ac:dyDescent="0.2">
      <c r="A34" s="35">
        <v>29</v>
      </c>
      <c r="B34" s="35"/>
      <c r="C34" s="35"/>
      <c r="D34" s="35"/>
      <c r="E34" s="35"/>
      <c r="F34" s="39"/>
      <c r="G34" s="39"/>
      <c r="H34" s="39"/>
      <c r="I34" s="39"/>
      <c r="J34" s="39"/>
      <c r="K34" s="39"/>
      <c r="L34" s="39">
        <f t="shared" si="0"/>
        <v>0</v>
      </c>
      <c r="M34" s="39">
        <f t="shared" si="1"/>
        <v>0</v>
      </c>
      <c r="N34" s="13">
        <f t="shared" si="2"/>
        <v>0</v>
      </c>
      <c r="O34" s="13">
        <f t="shared" si="3"/>
        <v>0</v>
      </c>
      <c r="P34" s="13">
        <f t="shared" si="4"/>
        <v>0</v>
      </c>
      <c r="Q34" s="12">
        <f t="shared" si="5"/>
        <v>0</v>
      </c>
      <c r="R34" s="39"/>
      <c r="S34" s="39"/>
      <c r="T34" s="39">
        <f t="shared" si="6"/>
        <v>0</v>
      </c>
      <c r="U34" s="39">
        <f t="shared" si="7"/>
        <v>0</v>
      </c>
      <c r="V34" s="39">
        <f t="shared" si="8"/>
        <v>0</v>
      </c>
      <c r="W34" s="39"/>
      <c r="X34" s="39">
        <f t="shared" si="9"/>
        <v>0</v>
      </c>
      <c r="Y34" s="39"/>
      <c r="Z34" s="13">
        <f t="shared" si="10"/>
        <v>0</v>
      </c>
      <c r="AA34" s="39">
        <f t="shared" si="11"/>
        <v>0</v>
      </c>
      <c r="AB34" s="40" t="str">
        <f t="shared" si="12"/>
        <v/>
      </c>
      <c r="AC34" s="13">
        <f t="shared" si="13"/>
        <v>0</v>
      </c>
      <c r="AD34" s="13">
        <f t="shared" si="14"/>
        <v>0</v>
      </c>
      <c r="AK34" s="25"/>
      <c r="AL34" s="25"/>
      <c r="AM34" s="25"/>
      <c r="AN34" s="26"/>
    </row>
    <row r="35" spans="1:40" ht="15" hidden="1" customHeight="1" x14ac:dyDescent="0.2">
      <c r="A35" s="35">
        <v>30</v>
      </c>
      <c r="B35" s="35"/>
      <c r="C35" s="35"/>
      <c r="D35" s="35"/>
      <c r="E35" s="35"/>
      <c r="F35" s="39"/>
      <c r="G35" s="39"/>
      <c r="H35" s="39"/>
      <c r="I35" s="39"/>
      <c r="J35" s="39"/>
      <c r="K35" s="39"/>
      <c r="L35" s="39">
        <f t="shared" si="0"/>
        <v>0</v>
      </c>
      <c r="M35" s="39">
        <f t="shared" si="1"/>
        <v>0</v>
      </c>
      <c r="N35" s="13">
        <f t="shared" si="2"/>
        <v>0</v>
      </c>
      <c r="O35" s="13">
        <f t="shared" si="3"/>
        <v>0</v>
      </c>
      <c r="P35" s="13">
        <f t="shared" si="4"/>
        <v>0</v>
      </c>
      <c r="Q35" s="12">
        <f t="shared" si="5"/>
        <v>0</v>
      </c>
      <c r="R35" s="39"/>
      <c r="S35" s="39"/>
      <c r="T35" s="39">
        <f t="shared" si="6"/>
        <v>0</v>
      </c>
      <c r="U35" s="39">
        <f t="shared" si="7"/>
        <v>0</v>
      </c>
      <c r="V35" s="39">
        <f t="shared" si="8"/>
        <v>0</v>
      </c>
      <c r="W35" s="39"/>
      <c r="X35" s="39">
        <f t="shared" si="9"/>
        <v>0</v>
      </c>
      <c r="Y35" s="39"/>
      <c r="Z35" s="13">
        <f t="shared" si="10"/>
        <v>0</v>
      </c>
      <c r="AA35" s="39">
        <f t="shared" si="11"/>
        <v>0</v>
      </c>
      <c r="AB35" s="40" t="str">
        <f t="shared" si="12"/>
        <v/>
      </c>
      <c r="AC35" s="13">
        <f t="shared" si="13"/>
        <v>0</v>
      </c>
      <c r="AD35" s="13">
        <f t="shared" si="14"/>
        <v>0</v>
      </c>
      <c r="AK35" s="25"/>
      <c r="AL35" s="25"/>
      <c r="AM35" s="25"/>
      <c r="AN35" s="26"/>
    </row>
    <row r="36" spans="1:40" ht="15" hidden="1" customHeight="1" x14ac:dyDescent="0.2">
      <c r="A36" s="35">
        <v>31</v>
      </c>
      <c r="B36" s="35"/>
      <c r="C36" s="35"/>
      <c r="D36" s="35"/>
      <c r="E36" s="35"/>
      <c r="F36" s="39"/>
      <c r="G36" s="39"/>
      <c r="H36" s="39"/>
      <c r="I36" s="39"/>
      <c r="J36" s="39"/>
      <c r="K36" s="39"/>
      <c r="L36" s="39">
        <f t="shared" si="0"/>
        <v>0</v>
      </c>
      <c r="M36" s="39">
        <f t="shared" si="1"/>
        <v>0</v>
      </c>
      <c r="N36" s="13">
        <f t="shared" si="2"/>
        <v>0</v>
      </c>
      <c r="O36" s="13">
        <f t="shared" si="3"/>
        <v>0</v>
      </c>
      <c r="P36" s="13">
        <f t="shared" si="4"/>
        <v>0</v>
      </c>
      <c r="Q36" s="12">
        <f t="shared" si="5"/>
        <v>0</v>
      </c>
      <c r="R36" s="39"/>
      <c r="S36" s="39"/>
      <c r="T36" s="39">
        <f t="shared" si="6"/>
        <v>0</v>
      </c>
      <c r="U36" s="39">
        <f t="shared" si="7"/>
        <v>0</v>
      </c>
      <c r="V36" s="39">
        <f t="shared" si="8"/>
        <v>0</v>
      </c>
      <c r="W36" s="39"/>
      <c r="X36" s="39">
        <f t="shared" si="9"/>
        <v>0</v>
      </c>
      <c r="Y36" s="39"/>
      <c r="Z36" s="13">
        <f t="shared" si="10"/>
        <v>0</v>
      </c>
      <c r="AA36" s="39">
        <f t="shared" si="11"/>
        <v>0</v>
      </c>
      <c r="AB36" s="40" t="str">
        <f t="shared" si="12"/>
        <v/>
      </c>
      <c r="AC36" s="13">
        <f t="shared" si="13"/>
        <v>0</v>
      </c>
      <c r="AD36" s="13">
        <f t="shared" si="14"/>
        <v>0</v>
      </c>
      <c r="AK36" s="25"/>
      <c r="AL36" s="25"/>
      <c r="AM36" s="25"/>
      <c r="AN36" s="26"/>
    </row>
    <row r="37" spans="1:40" ht="15" hidden="1" customHeight="1" x14ac:dyDescent="0.2">
      <c r="A37" s="35">
        <v>32</v>
      </c>
      <c r="B37" s="35"/>
      <c r="C37" s="35"/>
      <c r="D37" s="35"/>
      <c r="E37" s="35"/>
      <c r="F37" s="39"/>
      <c r="G37" s="39"/>
      <c r="H37" s="39"/>
      <c r="I37" s="39"/>
      <c r="J37" s="39"/>
      <c r="K37" s="39"/>
      <c r="L37" s="39">
        <f t="shared" si="0"/>
        <v>0</v>
      </c>
      <c r="M37" s="39">
        <f t="shared" si="1"/>
        <v>0</v>
      </c>
      <c r="N37" s="13">
        <f t="shared" si="2"/>
        <v>0</v>
      </c>
      <c r="O37" s="13">
        <f t="shared" si="3"/>
        <v>0</v>
      </c>
      <c r="P37" s="13">
        <f t="shared" si="4"/>
        <v>0</v>
      </c>
      <c r="Q37" s="12">
        <f t="shared" si="5"/>
        <v>0</v>
      </c>
      <c r="R37" s="39"/>
      <c r="S37" s="39"/>
      <c r="T37" s="39">
        <f t="shared" si="6"/>
        <v>0</v>
      </c>
      <c r="U37" s="39">
        <f t="shared" si="7"/>
        <v>0</v>
      </c>
      <c r="V37" s="39">
        <f t="shared" si="8"/>
        <v>0</v>
      </c>
      <c r="W37" s="39"/>
      <c r="X37" s="39">
        <f t="shared" si="9"/>
        <v>0</v>
      </c>
      <c r="Y37" s="39"/>
      <c r="Z37" s="13">
        <f t="shared" si="10"/>
        <v>0</v>
      </c>
      <c r="AA37" s="39">
        <f t="shared" si="11"/>
        <v>0</v>
      </c>
      <c r="AB37" s="40" t="str">
        <f t="shared" si="12"/>
        <v/>
      </c>
      <c r="AC37" s="13">
        <f t="shared" si="13"/>
        <v>0</v>
      </c>
      <c r="AD37" s="13">
        <f t="shared" si="14"/>
        <v>0</v>
      </c>
      <c r="AK37" s="25"/>
      <c r="AL37" s="25"/>
      <c r="AM37" s="25"/>
      <c r="AN37" s="26"/>
    </row>
    <row r="38" spans="1:40" ht="15" hidden="1" customHeight="1" x14ac:dyDescent="0.2">
      <c r="A38" s="35">
        <v>33</v>
      </c>
      <c r="B38" s="35"/>
      <c r="C38" s="35"/>
      <c r="D38" s="35"/>
      <c r="E38" s="35"/>
      <c r="F38" s="39"/>
      <c r="G38" s="39"/>
      <c r="H38" s="39"/>
      <c r="I38" s="39"/>
      <c r="J38" s="39"/>
      <c r="K38" s="39"/>
      <c r="L38" s="39">
        <f t="shared" si="0"/>
        <v>0</v>
      </c>
      <c r="M38" s="39">
        <f t="shared" si="1"/>
        <v>0</v>
      </c>
      <c r="N38" s="13">
        <f t="shared" si="2"/>
        <v>0</v>
      </c>
      <c r="O38" s="13">
        <f t="shared" si="3"/>
        <v>0</v>
      </c>
      <c r="P38" s="13">
        <f t="shared" si="4"/>
        <v>0</v>
      </c>
      <c r="Q38" s="12">
        <f t="shared" si="5"/>
        <v>0</v>
      </c>
      <c r="R38" s="39"/>
      <c r="S38" s="39"/>
      <c r="T38" s="39">
        <f t="shared" si="6"/>
        <v>0</v>
      </c>
      <c r="U38" s="39">
        <f t="shared" si="7"/>
        <v>0</v>
      </c>
      <c r="V38" s="39">
        <f t="shared" si="8"/>
        <v>0</v>
      </c>
      <c r="W38" s="39"/>
      <c r="X38" s="39">
        <f t="shared" si="9"/>
        <v>0</v>
      </c>
      <c r="Y38" s="39"/>
      <c r="Z38" s="13">
        <f t="shared" si="10"/>
        <v>0</v>
      </c>
      <c r="AA38" s="39">
        <f t="shared" si="11"/>
        <v>0</v>
      </c>
      <c r="AB38" s="40" t="str">
        <f t="shared" si="12"/>
        <v/>
      </c>
      <c r="AC38" s="13">
        <f t="shared" si="13"/>
        <v>0</v>
      </c>
      <c r="AD38" s="13">
        <f t="shared" si="14"/>
        <v>0</v>
      </c>
      <c r="AK38" s="25"/>
      <c r="AL38" s="25"/>
      <c r="AM38" s="25"/>
      <c r="AN38" s="26"/>
    </row>
    <row r="39" spans="1:40" ht="15" hidden="1" customHeight="1" x14ac:dyDescent="0.2">
      <c r="A39" s="35">
        <v>34</v>
      </c>
      <c r="B39" s="35"/>
      <c r="C39" s="35"/>
      <c r="D39" s="35"/>
      <c r="E39" s="35"/>
      <c r="F39" s="39"/>
      <c r="G39" s="39"/>
      <c r="H39" s="39"/>
      <c r="I39" s="39"/>
      <c r="J39" s="39"/>
      <c r="K39" s="39"/>
      <c r="L39" s="39">
        <f t="shared" si="0"/>
        <v>0</v>
      </c>
      <c r="M39" s="39">
        <f t="shared" si="1"/>
        <v>0</v>
      </c>
      <c r="N39" s="13">
        <f t="shared" si="2"/>
        <v>0</v>
      </c>
      <c r="O39" s="13">
        <f t="shared" si="3"/>
        <v>0</v>
      </c>
      <c r="P39" s="13">
        <f t="shared" si="4"/>
        <v>0</v>
      </c>
      <c r="Q39" s="12">
        <f t="shared" si="5"/>
        <v>0</v>
      </c>
      <c r="R39" s="39"/>
      <c r="S39" s="39"/>
      <c r="T39" s="39">
        <f t="shared" si="6"/>
        <v>0</v>
      </c>
      <c r="U39" s="39">
        <f t="shared" si="7"/>
        <v>0</v>
      </c>
      <c r="V39" s="39">
        <f t="shared" si="8"/>
        <v>0</v>
      </c>
      <c r="W39" s="39"/>
      <c r="X39" s="39">
        <f t="shared" si="9"/>
        <v>0</v>
      </c>
      <c r="Y39" s="39"/>
      <c r="Z39" s="13">
        <f t="shared" si="10"/>
        <v>0</v>
      </c>
      <c r="AA39" s="39">
        <f t="shared" si="11"/>
        <v>0</v>
      </c>
      <c r="AB39" s="40" t="str">
        <f t="shared" si="12"/>
        <v/>
      </c>
      <c r="AC39" s="13">
        <f t="shared" si="13"/>
        <v>0</v>
      </c>
      <c r="AD39" s="13">
        <f t="shared" si="14"/>
        <v>0</v>
      </c>
      <c r="AK39" s="25"/>
      <c r="AL39" s="25"/>
      <c r="AM39" s="25"/>
      <c r="AN39" s="26"/>
    </row>
    <row r="40" spans="1:40" ht="15" hidden="1" customHeight="1" x14ac:dyDescent="0.2">
      <c r="A40" s="35">
        <v>35</v>
      </c>
      <c r="B40" s="35"/>
      <c r="C40" s="35"/>
      <c r="D40" s="35"/>
      <c r="E40" s="35"/>
      <c r="F40" s="39"/>
      <c r="G40" s="39"/>
      <c r="H40" s="39"/>
      <c r="I40" s="39"/>
      <c r="J40" s="39"/>
      <c r="K40" s="39"/>
      <c r="L40" s="39">
        <f t="shared" si="0"/>
        <v>0</v>
      </c>
      <c r="M40" s="39">
        <f t="shared" si="1"/>
        <v>0</v>
      </c>
      <c r="N40" s="13">
        <f t="shared" si="2"/>
        <v>0</v>
      </c>
      <c r="O40" s="13">
        <f t="shared" si="3"/>
        <v>0</v>
      </c>
      <c r="P40" s="13">
        <f t="shared" si="4"/>
        <v>0</v>
      </c>
      <c r="Q40" s="12">
        <f t="shared" si="5"/>
        <v>0</v>
      </c>
      <c r="R40" s="39"/>
      <c r="S40" s="39"/>
      <c r="T40" s="39">
        <f t="shared" si="6"/>
        <v>0</v>
      </c>
      <c r="U40" s="39">
        <f t="shared" si="7"/>
        <v>0</v>
      </c>
      <c r="V40" s="39">
        <f t="shared" si="8"/>
        <v>0</v>
      </c>
      <c r="W40" s="39"/>
      <c r="X40" s="39">
        <f t="shared" si="9"/>
        <v>0</v>
      </c>
      <c r="Y40" s="39"/>
      <c r="Z40" s="13">
        <f t="shared" si="10"/>
        <v>0</v>
      </c>
      <c r="AA40" s="39">
        <f t="shared" si="11"/>
        <v>0</v>
      </c>
      <c r="AB40" s="40" t="str">
        <f t="shared" si="12"/>
        <v/>
      </c>
      <c r="AC40" s="13">
        <f t="shared" si="13"/>
        <v>0</v>
      </c>
      <c r="AD40" s="13">
        <f t="shared" si="14"/>
        <v>0</v>
      </c>
      <c r="AK40" s="25"/>
      <c r="AL40" s="25"/>
      <c r="AM40" s="25"/>
      <c r="AN40" s="26"/>
    </row>
    <row r="41" spans="1:40" ht="15" hidden="1" customHeight="1" x14ac:dyDescent="0.2">
      <c r="A41" s="35">
        <v>36</v>
      </c>
      <c r="B41" s="35"/>
      <c r="C41" s="35"/>
      <c r="D41" s="35"/>
      <c r="E41" s="35"/>
      <c r="F41" s="39"/>
      <c r="G41" s="39"/>
      <c r="H41" s="39"/>
      <c r="I41" s="39"/>
      <c r="J41" s="39"/>
      <c r="K41" s="39"/>
      <c r="L41" s="39">
        <f t="shared" si="0"/>
        <v>0</v>
      </c>
      <c r="M41" s="39">
        <f t="shared" si="1"/>
        <v>0</v>
      </c>
      <c r="N41" s="13">
        <f t="shared" si="2"/>
        <v>0</v>
      </c>
      <c r="O41" s="13">
        <f t="shared" si="3"/>
        <v>0</v>
      </c>
      <c r="P41" s="13">
        <f t="shared" si="4"/>
        <v>0</v>
      </c>
      <c r="Q41" s="12">
        <f t="shared" si="5"/>
        <v>0</v>
      </c>
      <c r="R41" s="39"/>
      <c r="S41" s="39"/>
      <c r="T41" s="39">
        <f t="shared" si="6"/>
        <v>0</v>
      </c>
      <c r="U41" s="39">
        <f t="shared" si="7"/>
        <v>0</v>
      </c>
      <c r="V41" s="39">
        <f t="shared" si="8"/>
        <v>0</v>
      </c>
      <c r="W41" s="39"/>
      <c r="X41" s="39">
        <f t="shared" si="9"/>
        <v>0</v>
      </c>
      <c r="Y41" s="39"/>
      <c r="Z41" s="13">
        <f t="shared" si="10"/>
        <v>0</v>
      </c>
      <c r="AA41" s="39">
        <f t="shared" si="11"/>
        <v>0</v>
      </c>
      <c r="AB41" s="40" t="str">
        <f t="shared" si="12"/>
        <v/>
      </c>
      <c r="AC41" s="13">
        <f t="shared" si="13"/>
        <v>0</v>
      </c>
      <c r="AD41" s="13">
        <f t="shared" si="14"/>
        <v>0</v>
      </c>
      <c r="AK41" s="25"/>
      <c r="AL41" s="25"/>
      <c r="AM41" s="25"/>
      <c r="AN41" s="26"/>
    </row>
    <row r="42" spans="1:40" ht="15" hidden="1" customHeight="1" x14ac:dyDescent="0.2">
      <c r="A42" s="35">
        <v>37</v>
      </c>
      <c r="B42" s="35"/>
      <c r="C42" s="35"/>
      <c r="D42" s="35"/>
      <c r="E42" s="35"/>
      <c r="F42" s="39"/>
      <c r="G42" s="39"/>
      <c r="H42" s="39"/>
      <c r="I42" s="39"/>
      <c r="J42" s="39"/>
      <c r="K42" s="39"/>
      <c r="L42" s="39">
        <f t="shared" si="0"/>
        <v>0</v>
      </c>
      <c r="M42" s="39">
        <f t="shared" si="1"/>
        <v>0</v>
      </c>
      <c r="N42" s="13">
        <f t="shared" si="2"/>
        <v>0</v>
      </c>
      <c r="O42" s="13">
        <f t="shared" si="3"/>
        <v>0</v>
      </c>
      <c r="P42" s="13">
        <f t="shared" si="4"/>
        <v>0</v>
      </c>
      <c r="Q42" s="12">
        <f t="shared" si="5"/>
        <v>0</v>
      </c>
      <c r="R42" s="39"/>
      <c r="S42" s="39"/>
      <c r="T42" s="39">
        <f t="shared" si="6"/>
        <v>0</v>
      </c>
      <c r="U42" s="39">
        <f t="shared" si="7"/>
        <v>0</v>
      </c>
      <c r="V42" s="39">
        <f t="shared" si="8"/>
        <v>0</v>
      </c>
      <c r="W42" s="39"/>
      <c r="X42" s="39">
        <f t="shared" si="9"/>
        <v>0</v>
      </c>
      <c r="Y42" s="39"/>
      <c r="Z42" s="13">
        <f t="shared" si="10"/>
        <v>0</v>
      </c>
      <c r="AA42" s="39">
        <f t="shared" si="11"/>
        <v>0</v>
      </c>
      <c r="AB42" s="40" t="str">
        <f t="shared" si="12"/>
        <v/>
      </c>
      <c r="AC42" s="13">
        <f t="shared" si="13"/>
        <v>0</v>
      </c>
      <c r="AD42" s="13">
        <f t="shared" si="14"/>
        <v>0</v>
      </c>
      <c r="AK42" s="25"/>
      <c r="AL42" s="25"/>
      <c r="AM42" s="25"/>
      <c r="AN42" s="26"/>
    </row>
    <row r="43" spans="1:40" ht="15" hidden="1" customHeight="1" x14ac:dyDescent="0.2">
      <c r="A43" s="35">
        <v>38</v>
      </c>
      <c r="B43" s="35"/>
      <c r="C43" s="35"/>
      <c r="D43" s="35"/>
      <c r="E43" s="35"/>
      <c r="F43" s="39"/>
      <c r="G43" s="39"/>
      <c r="H43" s="39"/>
      <c r="I43" s="39"/>
      <c r="J43" s="39"/>
      <c r="K43" s="39"/>
      <c r="L43" s="39">
        <f t="shared" si="0"/>
        <v>0</v>
      </c>
      <c r="M43" s="39">
        <f t="shared" si="1"/>
        <v>0</v>
      </c>
      <c r="N43" s="13">
        <f t="shared" si="2"/>
        <v>0</v>
      </c>
      <c r="O43" s="13">
        <f t="shared" si="3"/>
        <v>0</v>
      </c>
      <c r="P43" s="13">
        <f t="shared" si="4"/>
        <v>0</v>
      </c>
      <c r="Q43" s="12">
        <f t="shared" si="5"/>
        <v>0</v>
      </c>
      <c r="R43" s="39"/>
      <c r="S43" s="39"/>
      <c r="T43" s="39">
        <f t="shared" si="6"/>
        <v>0</v>
      </c>
      <c r="U43" s="39">
        <f t="shared" si="7"/>
        <v>0</v>
      </c>
      <c r="V43" s="39">
        <f t="shared" si="8"/>
        <v>0</v>
      </c>
      <c r="W43" s="39"/>
      <c r="X43" s="39">
        <f t="shared" si="9"/>
        <v>0</v>
      </c>
      <c r="Y43" s="39"/>
      <c r="Z43" s="13">
        <f t="shared" si="10"/>
        <v>0</v>
      </c>
      <c r="AA43" s="39">
        <f t="shared" si="11"/>
        <v>0</v>
      </c>
      <c r="AB43" s="40" t="str">
        <f t="shared" si="12"/>
        <v/>
      </c>
      <c r="AC43" s="13">
        <f t="shared" si="13"/>
        <v>0</v>
      </c>
      <c r="AD43" s="13">
        <f t="shared" si="14"/>
        <v>0</v>
      </c>
      <c r="AK43" s="25"/>
      <c r="AL43" s="25"/>
      <c r="AM43" s="25"/>
      <c r="AN43" s="26"/>
    </row>
    <row r="44" spans="1:40" ht="15" hidden="1" customHeight="1" x14ac:dyDescent="0.2">
      <c r="A44" s="35">
        <v>39</v>
      </c>
      <c r="B44" s="35"/>
      <c r="C44" s="35"/>
      <c r="D44" s="35"/>
      <c r="E44" s="35"/>
      <c r="F44" s="39"/>
      <c r="G44" s="39"/>
      <c r="H44" s="39"/>
      <c r="I44" s="39"/>
      <c r="J44" s="39"/>
      <c r="K44" s="39"/>
      <c r="L44" s="39">
        <f t="shared" si="0"/>
        <v>0</v>
      </c>
      <c r="M44" s="39">
        <f t="shared" si="1"/>
        <v>0</v>
      </c>
      <c r="N44" s="13">
        <f t="shared" si="2"/>
        <v>0</v>
      </c>
      <c r="O44" s="13">
        <f t="shared" si="3"/>
        <v>0</v>
      </c>
      <c r="P44" s="13">
        <f t="shared" si="4"/>
        <v>0</v>
      </c>
      <c r="Q44" s="12">
        <f t="shared" si="5"/>
        <v>0</v>
      </c>
      <c r="R44" s="39"/>
      <c r="S44" s="39"/>
      <c r="T44" s="39">
        <f t="shared" si="6"/>
        <v>0</v>
      </c>
      <c r="U44" s="39">
        <f t="shared" si="7"/>
        <v>0</v>
      </c>
      <c r="V44" s="39">
        <f t="shared" si="8"/>
        <v>0</v>
      </c>
      <c r="W44" s="39"/>
      <c r="X44" s="39">
        <f t="shared" si="9"/>
        <v>0</v>
      </c>
      <c r="Y44" s="39"/>
      <c r="Z44" s="13">
        <f t="shared" si="10"/>
        <v>0</v>
      </c>
      <c r="AA44" s="39">
        <f t="shared" si="11"/>
        <v>0</v>
      </c>
      <c r="AB44" s="40" t="str">
        <f t="shared" si="12"/>
        <v/>
      </c>
      <c r="AC44" s="13">
        <f t="shared" si="13"/>
        <v>0</v>
      </c>
      <c r="AD44" s="13">
        <f t="shared" si="14"/>
        <v>0</v>
      </c>
      <c r="AK44" s="25"/>
      <c r="AL44" s="25"/>
      <c r="AM44" s="25"/>
      <c r="AN44" s="26"/>
    </row>
    <row r="45" spans="1:40" ht="15" hidden="1" customHeight="1" x14ac:dyDescent="0.2">
      <c r="A45" s="35">
        <v>40</v>
      </c>
      <c r="B45" s="35"/>
      <c r="C45" s="35"/>
      <c r="D45" s="35"/>
      <c r="E45" s="35"/>
      <c r="F45" s="39"/>
      <c r="G45" s="39"/>
      <c r="H45" s="39"/>
      <c r="I45" s="39"/>
      <c r="J45" s="39"/>
      <c r="K45" s="39"/>
      <c r="L45" s="39">
        <f t="shared" si="0"/>
        <v>0</v>
      </c>
      <c r="M45" s="39">
        <f t="shared" si="1"/>
        <v>0</v>
      </c>
      <c r="N45" s="13">
        <f t="shared" si="2"/>
        <v>0</v>
      </c>
      <c r="O45" s="13">
        <f t="shared" si="3"/>
        <v>0</v>
      </c>
      <c r="P45" s="13">
        <f t="shared" si="4"/>
        <v>0</v>
      </c>
      <c r="Q45" s="12">
        <f t="shared" si="5"/>
        <v>0</v>
      </c>
      <c r="R45" s="39"/>
      <c r="S45" s="39"/>
      <c r="T45" s="39">
        <f t="shared" si="6"/>
        <v>0</v>
      </c>
      <c r="U45" s="39">
        <f t="shared" si="7"/>
        <v>0</v>
      </c>
      <c r="V45" s="39">
        <f t="shared" si="8"/>
        <v>0</v>
      </c>
      <c r="W45" s="39"/>
      <c r="X45" s="39">
        <f t="shared" si="9"/>
        <v>0</v>
      </c>
      <c r="Y45" s="39"/>
      <c r="Z45" s="13">
        <f t="shared" si="10"/>
        <v>0</v>
      </c>
      <c r="AA45" s="39">
        <f t="shared" si="11"/>
        <v>0</v>
      </c>
      <c r="AB45" s="40" t="str">
        <f t="shared" si="12"/>
        <v/>
      </c>
      <c r="AC45" s="13">
        <f t="shared" si="13"/>
        <v>0</v>
      </c>
      <c r="AD45" s="13">
        <f t="shared" si="14"/>
        <v>0</v>
      </c>
      <c r="AK45" s="25"/>
      <c r="AL45" s="25"/>
      <c r="AM45" s="25"/>
      <c r="AN45" s="26"/>
    </row>
    <row r="46" spans="1:40" ht="15" hidden="1" customHeight="1" x14ac:dyDescent="0.2">
      <c r="A46" s="35">
        <v>41</v>
      </c>
      <c r="B46" s="35"/>
      <c r="C46" s="35"/>
      <c r="D46" s="35"/>
      <c r="E46" s="35"/>
      <c r="F46" s="39"/>
      <c r="G46" s="39"/>
      <c r="H46" s="39"/>
      <c r="I46" s="39"/>
      <c r="J46" s="39"/>
      <c r="K46" s="39"/>
      <c r="L46" s="39">
        <f t="shared" si="0"/>
        <v>0</v>
      </c>
      <c r="M46" s="39">
        <f t="shared" si="1"/>
        <v>0</v>
      </c>
      <c r="N46" s="13">
        <f t="shared" si="2"/>
        <v>0</v>
      </c>
      <c r="O46" s="13">
        <f t="shared" si="3"/>
        <v>0</v>
      </c>
      <c r="P46" s="13">
        <f t="shared" si="4"/>
        <v>0</v>
      </c>
      <c r="Q46" s="12">
        <f t="shared" si="5"/>
        <v>0</v>
      </c>
      <c r="R46" s="39"/>
      <c r="S46" s="39"/>
      <c r="T46" s="39">
        <f t="shared" si="6"/>
        <v>0</v>
      </c>
      <c r="U46" s="39">
        <f t="shared" si="7"/>
        <v>0</v>
      </c>
      <c r="V46" s="39">
        <f t="shared" si="8"/>
        <v>0</v>
      </c>
      <c r="W46" s="39"/>
      <c r="X46" s="39">
        <f t="shared" si="9"/>
        <v>0</v>
      </c>
      <c r="Y46" s="39"/>
      <c r="Z46" s="13">
        <f t="shared" si="10"/>
        <v>0</v>
      </c>
      <c r="AA46" s="39">
        <f t="shared" si="11"/>
        <v>0</v>
      </c>
      <c r="AB46" s="40" t="str">
        <f t="shared" si="12"/>
        <v/>
      </c>
      <c r="AC46" s="13">
        <f t="shared" si="13"/>
        <v>0</v>
      </c>
      <c r="AD46" s="13">
        <f t="shared" si="14"/>
        <v>0</v>
      </c>
      <c r="AK46" s="25"/>
      <c r="AL46" s="25"/>
      <c r="AM46" s="25"/>
      <c r="AN46" s="26"/>
    </row>
    <row r="47" spans="1:40" ht="15" hidden="1" customHeight="1" x14ac:dyDescent="0.2">
      <c r="A47" s="35">
        <v>42</v>
      </c>
      <c r="B47" s="35"/>
      <c r="C47" s="35"/>
      <c r="D47" s="35"/>
      <c r="E47" s="35"/>
      <c r="F47" s="39"/>
      <c r="G47" s="39"/>
      <c r="H47" s="39"/>
      <c r="I47" s="39"/>
      <c r="J47" s="39"/>
      <c r="K47" s="39"/>
      <c r="L47" s="39">
        <f t="shared" si="0"/>
        <v>0</v>
      </c>
      <c r="M47" s="39">
        <f t="shared" si="1"/>
        <v>0</v>
      </c>
      <c r="N47" s="13">
        <f t="shared" si="2"/>
        <v>0</v>
      </c>
      <c r="O47" s="13">
        <f t="shared" si="3"/>
        <v>0</v>
      </c>
      <c r="P47" s="13">
        <f t="shared" si="4"/>
        <v>0</v>
      </c>
      <c r="Q47" s="12">
        <f t="shared" si="5"/>
        <v>0</v>
      </c>
      <c r="R47" s="39"/>
      <c r="S47" s="39"/>
      <c r="T47" s="39">
        <f t="shared" si="6"/>
        <v>0</v>
      </c>
      <c r="U47" s="39">
        <f t="shared" si="7"/>
        <v>0</v>
      </c>
      <c r="V47" s="39">
        <f t="shared" si="8"/>
        <v>0</v>
      </c>
      <c r="W47" s="39"/>
      <c r="X47" s="39">
        <f t="shared" si="9"/>
        <v>0</v>
      </c>
      <c r="Y47" s="39"/>
      <c r="Z47" s="13">
        <f t="shared" si="10"/>
        <v>0</v>
      </c>
      <c r="AA47" s="39">
        <f t="shared" si="11"/>
        <v>0</v>
      </c>
      <c r="AB47" s="40" t="str">
        <f t="shared" si="12"/>
        <v/>
      </c>
      <c r="AC47" s="13">
        <f t="shared" si="13"/>
        <v>0</v>
      </c>
      <c r="AD47" s="13">
        <f t="shared" si="14"/>
        <v>0</v>
      </c>
      <c r="AK47" s="25"/>
      <c r="AL47" s="25"/>
      <c r="AM47" s="25"/>
      <c r="AN47" s="26"/>
    </row>
    <row r="48" spans="1:40" ht="15" customHeight="1" x14ac:dyDescent="0.2">
      <c r="A48" s="35">
        <v>43</v>
      </c>
      <c r="B48" s="35"/>
      <c r="C48" s="35"/>
      <c r="D48" s="35"/>
      <c r="E48" s="35"/>
      <c r="F48" s="39"/>
      <c r="G48" s="39"/>
      <c r="H48" s="39"/>
      <c r="I48" s="39"/>
      <c r="J48" s="39"/>
      <c r="K48" s="39"/>
      <c r="L48" s="39">
        <f t="shared" si="0"/>
        <v>0</v>
      </c>
      <c r="M48" s="39">
        <f t="shared" si="1"/>
        <v>0</v>
      </c>
      <c r="N48" s="13">
        <f t="shared" si="2"/>
        <v>0</v>
      </c>
      <c r="O48" s="13">
        <f t="shared" si="3"/>
        <v>0</v>
      </c>
      <c r="P48" s="13">
        <f t="shared" si="4"/>
        <v>0</v>
      </c>
      <c r="Q48" s="12">
        <f t="shared" si="5"/>
        <v>0</v>
      </c>
      <c r="R48" s="39"/>
      <c r="S48" s="39"/>
      <c r="T48" s="39">
        <f t="shared" si="6"/>
        <v>0</v>
      </c>
      <c r="U48" s="39">
        <f t="shared" si="7"/>
        <v>0</v>
      </c>
      <c r="V48" s="39">
        <f t="shared" si="8"/>
        <v>0</v>
      </c>
      <c r="W48" s="39"/>
      <c r="X48" s="39">
        <f t="shared" si="9"/>
        <v>0</v>
      </c>
      <c r="Y48" s="39"/>
      <c r="Z48" s="13">
        <f t="shared" si="10"/>
        <v>0</v>
      </c>
      <c r="AA48" s="39">
        <f t="shared" si="11"/>
        <v>0</v>
      </c>
      <c r="AB48" s="40" t="str">
        <f t="shared" si="12"/>
        <v/>
      </c>
      <c r="AC48" s="13">
        <f t="shared" si="13"/>
        <v>0</v>
      </c>
      <c r="AD48" s="13">
        <f t="shared" si="14"/>
        <v>0</v>
      </c>
      <c r="AK48" s="25"/>
      <c r="AL48" s="25"/>
      <c r="AM48" s="25"/>
      <c r="AN48" s="26"/>
    </row>
    <row r="49" spans="1:40" ht="15" customHeight="1" x14ac:dyDescent="0.2">
      <c r="A49" s="35">
        <v>44</v>
      </c>
      <c r="B49" s="35"/>
      <c r="C49" s="35"/>
      <c r="D49" s="35"/>
      <c r="E49" s="35"/>
      <c r="F49" s="39"/>
      <c r="G49" s="39"/>
      <c r="H49" s="39"/>
      <c r="I49" s="39"/>
      <c r="J49" s="39"/>
      <c r="K49" s="39"/>
      <c r="L49" s="39">
        <f t="shared" si="0"/>
        <v>0</v>
      </c>
      <c r="M49" s="39">
        <f t="shared" si="1"/>
        <v>0</v>
      </c>
      <c r="N49" s="13">
        <f t="shared" si="2"/>
        <v>0</v>
      </c>
      <c r="O49" s="13">
        <f t="shared" si="3"/>
        <v>0</v>
      </c>
      <c r="P49" s="13">
        <f t="shared" si="4"/>
        <v>0</v>
      </c>
      <c r="Q49" s="12">
        <f t="shared" si="5"/>
        <v>0</v>
      </c>
      <c r="R49" s="39"/>
      <c r="S49" s="39"/>
      <c r="T49" s="39">
        <f t="shared" si="6"/>
        <v>0</v>
      </c>
      <c r="U49" s="39">
        <f t="shared" si="7"/>
        <v>0</v>
      </c>
      <c r="V49" s="39">
        <f t="shared" si="8"/>
        <v>0</v>
      </c>
      <c r="W49" s="39"/>
      <c r="X49" s="39">
        <f t="shared" si="9"/>
        <v>0</v>
      </c>
      <c r="Y49" s="39"/>
      <c r="Z49" s="13">
        <f t="shared" si="10"/>
        <v>0</v>
      </c>
      <c r="AA49" s="39">
        <f t="shared" si="11"/>
        <v>0</v>
      </c>
      <c r="AB49" s="40" t="str">
        <f t="shared" si="12"/>
        <v/>
      </c>
      <c r="AC49" s="13">
        <f t="shared" si="13"/>
        <v>0</v>
      </c>
      <c r="AD49" s="13">
        <f t="shared" si="14"/>
        <v>0</v>
      </c>
      <c r="AK49" s="25"/>
      <c r="AL49" s="25"/>
      <c r="AM49" s="25"/>
      <c r="AN49" s="26"/>
    </row>
    <row r="50" spans="1:40" ht="15" customHeight="1" x14ac:dyDescent="0.2">
      <c r="A50" s="35">
        <v>45</v>
      </c>
      <c r="B50" s="35"/>
      <c r="C50" s="35"/>
      <c r="D50" s="35"/>
      <c r="E50" s="35"/>
      <c r="F50" s="39"/>
      <c r="G50" s="39"/>
      <c r="H50" s="39"/>
      <c r="I50" s="39"/>
      <c r="J50" s="39"/>
      <c r="K50" s="39"/>
      <c r="L50" s="39">
        <f t="shared" si="0"/>
        <v>0</v>
      </c>
      <c r="M50" s="39">
        <f t="shared" si="1"/>
        <v>0</v>
      </c>
      <c r="N50" s="13">
        <f t="shared" si="2"/>
        <v>0</v>
      </c>
      <c r="O50" s="13">
        <f t="shared" si="3"/>
        <v>0</v>
      </c>
      <c r="P50" s="13">
        <f t="shared" si="4"/>
        <v>0</v>
      </c>
      <c r="Q50" s="12">
        <f t="shared" si="5"/>
        <v>0</v>
      </c>
      <c r="R50" s="39"/>
      <c r="S50" s="39"/>
      <c r="T50" s="39">
        <f t="shared" si="6"/>
        <v>0</v>
      </c>
      <c r="U50" s="39">
        <f t="shared" si="7"/>
        <v>0</v>
      </c>
      <c r="V50" s="39">
        <f t="shared" si="8"/>
        <v>0</v>
      </c>
      <c r="W50" s="39"/>
      <c r="X50" s="39">
        <f t="shared" si="9"/>
        <v>0</v>
      </c>
      <c r="Y50" s="39"/>
      <c r="Z50" s="13">
        <f t="shared" si="10"/>
        <v>0</v>
      </c>
      <c r="AA50" s="39">
        <f t="shared" si="11"/>
        <v>0</v>
      </c>
      <c r="AB50" s="40" t="str">
        <f t="shared" si="12"/>
        <v/>
      </c>
      <c r="AC50" s="13">
        <f t="shared" si="13"/>
        <v>0</v>
      </c>
      <c r="AD50" s="13">
        <f t="shared" si="14"/>
        <v>0</v>
      </c>
      <c r="AK50" s="25"/>
      <c r="AL50" s="25"/>
      <c r="AM50" s="25"/>
      <c r="AN50" s="26"/>
    </row>
    <row r="51" spans="1:40" ht="15" customHeight="1" x14ac:dyDescent="0.2">
      <c r="A51" s="35">
        <v>46</v>
      </c>
      <c r="B51" s="35"/>
      <c r="C51" s="35"/>
      <c r="D51" s="35"/>
      <c r="E51" s="35"/>
      <c r="F51" s="39"/>
      <c r="G51" s="39"/>
      <c r="H51" s="39"/>
      <c r="I51" s="39"/>
      <c r="J51" s="39"/>
      <c r="K51" s="39"/>
      <c r="L51" s="39">
        <f t="shared" si="0"/>
        <v>0</v>
      </c>
      <c r="M51" s="39">
        <f t="shared" si="1"/>
        <v>0</v>
      </c>
      <c r="N51" s="13">
        <f t="shared" si="2"/>
        <v>0</v>
      </c>
      <c r="O51" s="13">
        <f t="shared" si="3"/>
        <v>0</v>
      </c>
      <c r="P51" s="13">
        <f t="shared" si="4"/>
        <v>0</v>
      </c>
      <c r="Q51" s="12">
        <f t="shared" si="5"/>
        <v>0</v>
      </c>
      <c r="R51" s="39"/>
      <c r="S51" s="39"/>
      <c r="T51" s="39">
        <f t="shared" si="6"/>
        <v>0</v>
      </c>
      <c r="U51" s="39">
        <f t="shared" si="7"/>
        <v>0</v>
      </c>
      <c r="V51" s="39">
        <f t="shared" si="8"/>
        <v>0</v>
      </c>
      <c r="W51" s="39"/>
      <c r="X51" s="39">
        <f t="shared" si="9"/>
        <v>0</v>
      </c>
      <c r="Y51" s="39"/>
      <c r="Z51" s="13">
        <f t="shared" si="10"/>
        <v>0</v>
      </c>
      <c r="AA51" s="39">
        <f t="shared" si="11"/>
        <v>0</v>
      </c>
      <c r="AB51" s="40" t="str">
        <f t="shared" si="12"/>
        <v/>
      </c>
      <c r="AC51" s="13">
        <f t="shared" si="13"/>
        <v>0</v>
      </c>
      <c r="AD51" s="13">
        <f t="shared" si="14"/>
        <v>0</v>
      </c>
      <c r="AK51" s="25"/>
      <c r="AL51" s="25"/>
      <c r="AM51" s="25"/>
      <c r="AN51" s="26"/>
    </row>
    <row r="52" spans="1:40" ht="15" customHeight="1" x14ac:dyDescent="0.2">
      <c r="A52" s="35">
        <v>47</v>
      </c>
      <c r="B52" s="35"/>
      <c r="C52" s="35"/>
      <c r="D52" s="35"/>
      <c r="E52" s="35"/>
      <c r="F52" s="39"/>
      <c r="G52" s="39"/>
      <c r="H52" s="39"/>
      <c r="I52" s="39"/>
      <c r="J52" s="39"/>
      <c r="K52" s="39"/>
      <c r="L52" s="39">
        <f t="shared" si="0"/>
        <v>0</v>
      </c>
      <c r="M52" s="39">
        <f t="shared" si="1"/>
        <v>0</v>
      </c>
      <c r="N52" s="13">
        <f t="shared" si="2"/>
        <v>0</v>
      </c>
      <c r="O52" s="13">
        <f t="shared" si="3"/>
        <v>0</v>
      </c>
      <c r="P52" s="13">
        <f t="shared" si="4"/>
        <v>0</v>
      </c>
      <c r="Q52" s="12">
        <f t="shared" si="5"/>
        <v>0</v>
      </c>
      <c r="R52" s="39"/>
      <c r="S52" s="39"/>
      <c r="T52" s="39">
        <f t="shared" si="6"/>
        <v>0</v>
      </c>
      <c r="U52" s="39">
        <f t="shared" si="7"/>
        <v>0</v>
      </c>
      <c r="V52" s="39">
        <f t="shared" si="8"/>
        <v>0</v>
      </c>
      <c r="W52" s="39"/>
      <c r="X52" s="39">
        <f t="shared" si="9"/>
        <v>0</v>
      </c>
      <c r="Y52" s="39"/>
      <c r="Z52" s="13">
        <f t="shared" si="10"/>
        <v>0</v>
      </c>
      <c r="AA52" s="39">
        <f t="shared" si="11"/>
        <v>0</v>
      </c>
      <c r="AB52" s="40" t="str">
        <f t="shared" si="12"/>
        <v/>
      </c>
      <c r="AC52" s="13">
        <f t="shared" si="13"/>
        <v>0</v>
      </c>
      <c r="AD52" s="13">
        <f t="shared" si="14"/>
        <v>0</v>
      </c>
      <c r="AK52" s="25"/>
      <c r="AL52" s="25"/>
      <c r="AM52" s="25"/>
      <c r="AN52" s="26"/>
    </row>
    <row r="53" spans="1:40" ht="15" customHeight="1" x14ac:dyDescent="0.2">
      <c r="A53" s="35">
        <v>48</v>
      </c>
      <c r="B53" s="35"/>
      <c r="C53" s="35"/>
      <c r="D53" s="35"/>
      <c r="E53" s="35"/>
      <c r="F53" s="39"/>
      <c r="G53" s="39"/>
      <c r="H53" s="39"/>
      <c r="I53" s="39"/>
      <c r="J53" s="39"/>
      <c r="K53" s="39"/>
      <c r="L53" s="39">
        <f t="shared" si="0"/>
        <v>0</v>
      </c>
      <c r="M53" s="39">
        <f t="shared" si="1"/>
        <v>0</v>
      </c>
      <c r="N53" s="13">
        <f t="shared" si="2"/>
        <v>0</v>
      </c>
      <c r="O53" s="13">
        <f t="shared" si="3"/>
        <v>0</v>
      </c>
      <c r="P53" s="13">
        <f t="shared" si="4"/>
        <v>0</v>
      </c>
      <c r="Q53" s="12">
        <f t="shared" si="5"/>
        <v>0</v>
      </c>
      <c r="R53" s="39"/>
      <c r="S53" s="39"/>
      <c r="T53" s="39">
        <f t="shared" si="6"/>
        <v>0</v>
      </c>
      <c r="U53" s="39">
        <f t="shared" si="7"/>
        <v>0</v>
      </c>
      <c r="V53" s="39">
        <f t="shared" si="8"/>
        <v>0</v>
      </c>
      <c r="W53" s="39"/>
      <c r="X53" s="39">
        <f t="shared" si="9"/>
        <v>0</v>
      </c>
      <c r="Y53" s="39"/>
      <c r="Z53" s="13">
        <f t="shared" si="10"/>
        <v>0</v>
      </c>
      <c r="AA53" s="39">
        <f t="shared" si="11"/>
        <v>0</v>
      </c>
      <c r="AB53" s="40" t="str">
        <f t="shared" si="12"/>
        <v/>
      </c>
      <c r="AC53" s="13">
        <f t="shared" si="13"/>
        <v>0</v>
      </c>
      <c r="AD53" s="13">
        <f t="shared" si="14"/>
        <v>0</v>
      </c>
      <c r="AK53" s="25"/>
      <c r="AL53" s="25"/>
      <c r="AM53" s="25"/>
      <c r="AN53" s="26"/>
    </row>
    <row r="54" spans="1:40" ht="15" customHeight="1" x14ac:dyDescent="0.2">
      <c r="A54" s="35">
        <v>49</v>
      </c>
      <c r="B54" s="35"/>
      <c r="C54" s="35"/>
      <c r="D54" s="35"/>
      <c r="E54" s="35"/>
      <c r="F54" s="39"/>
      <c r="G54" s="39"/>
      <c r="H54" s="39"/>
      <c r="I54" s="39"/>
      <c r="J54" s="39"/>
      <c r="K54" s="39"/>
      <c r="L54" s="39">
        <f t="shared" si="0"/>
        <v>0</v>
      </c>
      <c r="M54" s="39">
        <f t="shared" si="1"/>
        <v>0</v>
      </c>
      <c r="N54" s="13">
        <f t="shared" si="2"/>
        <v>0</v>
      </c>
      <c r="O54" s="13">
        <f t="shared" si="3"/>
        <v>0</v>
      </c>
      <c r="P54" s="13">
        <f t="shared" si="4"/>
        <v>0</v>
      </c>
      <c r="Q54" s="12">
        <f t="shared" si="5"/>
        <v>0</v>
      </c>
      <c r="R54" s="39"/>
      <c r="S54" s="39"/>
      <c r="T54" s="39">
        <f t="shared" si="6"/>
        <v>0</v>
      </c>
      <c r="U54" s="39">
        <f t="shared" si="7"/>
        <v>0</v>
      </c>
      <c r="V54" s="39">
        <f t="shared" si="8"/>
        <v>0</v>
      </c>
      <c r="W54" s="39"/>
      <c r="X54" s="39">
        <f t="shared" si="9"/>
        <v>0</v>
      </c>
      <c r="Y54" s="39"/>
      <c r="Z54" s="13">
        <f t="shared" si="10"/>
        <v>0</v>
      </c>
      <c r="AA54" s="39">
        <f t="shared" si="11"/>
        <v>0</v>
      </c>
      <c r="AB54" s="40" t="str">
        <f t="shared" si="12"/>
        <v/>
      </c>
      <c r="AC54" s="13">
        <f t="shared" si="13"/>
        <v>0</v>
      </c>
      <c r="AD54" s="13">
        <f t="shared" si="14"/>
        <v>0</v>
      </c>
      <c r="AK54" s="25"/>
      <c r="AL54" s="25"/>
      <c r="AM54" s="25"/>
      <c r="AN54" s="26"/>
    </row>
    <row r="55" spans="1:40" ht="15" customHeight="1" x14ac:dyDescent="0.2">
      <c r="A55" s="35">
        <v>50</v>
      </c>
      <c r="B55" s="35"/>
      <c r="C55" s="35"/>
      <c r="D55" s="35"/>
      <c r="E55" s="35"/>
      <c r="F55" s="39"/>
      <c r="G55" s="39"/>
      <c r="H55" s="39"/>
      <c r="I55" s="39"/>
      <c r="J55" s="39"/>
      <c r="K55" s="39"/>
      <c r="L55" s="39">
        <f t="shared" si="0"/>
        <v>0</v>
      </c>
      <c r="M55" s="39">
        <f t="shared" si="1"/>
        <v>0</v>
      </c>
      <c r="N55" s="13">
        <f t="shared" si="2"/>
        <v>0</v>
      </c>
      <c r="O55" s="13">
        <f t="shared" si="3"/>
        <v>0</v>
      </c>
      <c r="P55" s="13">
        <f t="shared" si="4"/>
        <v>0</v>
      </c>
      <c r="Q55" s="12">
        <f t="shared" si="5"/>
        <v>0</v>
      </c>
      <c r="R55" s="39"/>
      <c r="S55" s="39"/>
      <c r="T55" s="39">
        <f t="shared" si="6"/>
        <v>0</v>
      </c>
      <c r="U55" s="39">
        <f t="shared" si="7"/>
        <v>0</v>
      </c>
      <c r="V55" s="39">
        <f t="shared" si="8"/>
        <v>0</v>
      </c>
      <c r="W55" s="39"/>
      <c r="X55" s="39">
        <f t="shared" si="9"/>
        <v>0</v>
      </c>
      <c r="Y55" s="39"/>
      <c r="Z55" s="13">
        <f t="shared" si="10"/>
        <v>0</v>
      </c>
      <c r="AA55" s="39">
        <f t="shared" si="11"/>
        <v>0</v>
      </c>
      <c r="AB55" s="40" t="str">
        <f t="shared" si="12"/>
        <v/>
      </c>
      <c r="AC55" s="13">
        <f t="shared" si="13"/>
        <v>0</v>
      </c>
      <c r="AD55" s="13">
        <f t="shared" si="14"/>
        <v>0</v>
      </c>
      <c r="AK55" s="25"/>
      <c r="AL55" s="25"/>
      <c r="AM55" s="25"/>
      <c r="AN55" s="26"/>
    </row>
    <row r="56" spans="1:40" ht="14.25" customHeight="1" x14ac:dyDescent="0.2">
      <c r="D56" s="42"/>
      <c r="E56" s="42"/>
      <c r="F56" s="43">
        <f t="shared" ref="F56:Z56" si="16">SUM(F6:F55)</f>
        <v>0</v>
      </c>
      <c r="G56" s="43">
        <f t="shared" si="16"/>
        <v>0</v>
      </c>
      <c r="H56" s="43">
        <f t="shared" si="16"/>
        <v>0</v>
      </c>
      <c r="I56" s="43">
        <f t="shared" si="16"/>
        <v>12287</v>
      </c>
      <c r="J56" s="43">
        <f t="shared" si="16"/>
        <v>1950</v>
      </c>
      <c r="K56" s="43">
        <f t="shared" si="16"/>
        <v>0</v>
      </c>
      <c r="L56" s="43">
        <f t="shared" si="16"/>
        <v>14237</v>
      </c>
      <c r="M56" s="43">
        <f t="shared" si="16"/>
        <v>14237</v>
      </c>
      <c r="N56" s="43">
        <f t="shared" si="16"/>
        <v>507</v>
      </c>
      <c r="O56" s="43">
        <f t="shared" si="16"/>
        <v>0</v>
      </c>
      <c r="P56" s="43">
        <f t="shared" si="16"/>
        <v>507</v>
      </c>
      <c r="Q56" s="43">
        <f t="shared" si="16"/>
        <v>14237</v>
      </c>
      <c r="R56" s="43">
        <f t="shared" si="16"/>
        <v>0</v>
      </c>
      <c r="S56" s="43">
        <f t="shared" si="16"/>
        <v>0</v>
      </c>
      <c r="T56" s="43">
        <f t="shared" si="16"/>
        <v>0</v>
      </c>
      <c r="U56" s="43">
        <f t="shared" si="16"/>
        <v>14237</v>
      </c>
      <c r="V56" s="43">
        <f t="shared" si="16"/>
        <v>170840</v>
      </c>
      <c r="W56" s="43">
        <f t="shared" si="16"/>
        <v>0</v>
      </c>
      <c r="X56" s="43">
        <f t="shared" si="16"/>
        <v>170840</v>
      </c>
      <c r="Y56" s="43">
        <f t="shared" si="16"/>
        <v>0</v>
      </c>
      <c r="Z56" s="43">
        <f t="shared" si="16"/>
        <v>0</v>
      </c>
      <c r="AA56" s="43"/>
      <c r="AB56" s="43"/>
      <c r="AC56" s="43">
        <f t="shared" ref="AC56:AD56" si="17">SUM(AC6:AC55)</f>
        <v>0</v>
      </c>
      <c r="AD56" s="43">
        <f t="shared" si="17"/>
        <v>14237</v>
      </c>
      <c r="AK56" s="25"/>
      <c r="AL56" s="25"/>
      <c r="AM56" s="41">
        <f t="shared" ref="AM56:AN56" si="18">SUM(AM6:AM55)</f>
        <v>0</v>
      </c>
      <c r="AN56" s="41">
        <f t="shared" si="18"/>
        <v>0</v>
      </c>
    </row>
    <row r="57" spans="1:40" ht="15" customHeight="1" x14ac:dyDescent="0.2">
      <c r="D57" s="25"/>
      <c r="E57" s="25"/>
      <c r="F57" s="25"/>
      <c r="G57" s="25"/>
      <c r="H57" s="25"/>
      <c r="I57" s="25"/>
      <c r="W57" s="25"/>
      <c r="X57" s="25"/>
      <c r="Y57" s="25"/>
      <c r="Z57" s="25"/>
      <c r="AA57" s="25"/>
      <c r="AB57" s="25"/>
      <c r="AC57" s="25"/>
      <c r="AD57" s="25"/>
      <c r="AK57" s="25"/>
      <c r="AL57" s="25"/>
      <c r="AM57" s="25"/>
      <c r="AN57" s="25"/>
    </row>
    <row r="58" spans="1:40" ht="15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K58" s="25"/>
      <c r="AL58" s="25"/>
      <c r="AM58" s="25"/>
      <c r="AN58" s="25"/>
    </row>
    <row r="59" spans="1:40" ht="14.25" customHeight="1" x14ac:dyDescent="0.2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K59" s="25"/>
      <c r="AL59" s="25"/>
      <c r="AM59" s="25"/>
      <c r="AN59" s="25"/>
    </row>
    <row r="60" spans="1:40" ht="14.25" customHeight="1" x14ac:dyDescent="0.2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K60" s="25"/>
      <c r="AL60" s="25"/>
      <c r="AM60" s="25"/>
      <c r="AN60" s="25"/>
    </row>
    <row r="61" spans="1:40" ht="14.25" customHeight="1" x14ac:dyDescent="0.2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K61" s="25"/>
      <c r="AL61" s="25"/>
      <c r="AM61" s="25"/>
      <c r="AN61" s="25"/>
    </row>
    <row r="62" spans="1:40" ht="14.25" customHeight="1" x14ac:dyDescent="0.2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K62" s="25"/>
      <c r="AL62" s="25"/>
      <c r="AM62" s="25"/>
      <c r="AN62" s="25"/>
    </row>
    <row r="63" spans="1:40" ht="14.25" customHeight="1" x14ac:dyDescent="0.2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K63" s="25"/>
      <c r="AL63" s="25"/>
      <c r="AM63" s="25"/>
      <c r="AN63" s="25"/>
    </row>
    <row r="64" spans="1:40" ht="14.25" customHeight="1" x14ac:dyDescent="0.2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K64" s="25"/>
      <c r="AL64" s="25"/>
      <c r="AM64" s="25"/>
      <c r="AN64" s="25"/>
    </row>
    <row r="65" spans="1:40" ht="14.25" customHeight="1" x14ac:dyDescent="0.2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K65" s="25"/>
      <c r="AL65" s="25"/>
      <c r="AM65" s="25"/>
      <c r="AN65" s="25"/>
    </row>
    <row r="66" spans="1:40" ht="14.25" customHeight="1" x14ac:dyDescent="0.2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K66" s="25"/>
      <c r="AL66" s="25"/>
      <c r="AM66" s="25"/>
      <c r="AN66" s="25"/>
    </row>
    <row r="67" spans="1:40" ht="14.25" customHeight="1" x14ac:dyDescent="0.2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K67" s="25"/>
      <c r="AL67" s="25"/>
      <c r="AM67" s="25"/>
      <c r="AN67" s="25"/>
    </row>
    <row r="68" spans="1:40" ht="14.25" customHeight="1" x14ac:dyDescent="0.2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K68" s="25"/>
      <c r="AL68" s="25"/>
      <c r="AM68" s="25"/>
      <c r="AN68" s="25"/>
    </row>
    <row r="69" spans="1:40" ht="14.25" customHeight="1" x14ac:dyDescent="0.2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K69" s="25"/>
      <c r="AL69" s="25"/>
      <c r="AM69" s="25"/>
      <c r="AN69" s="25"/>
    </row>
    <row r="70" spans="1:40" ht="14.25" customHeight="1" x14ac:dyDescent="0.2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K70" s="25"/>
      <c r="AL70" s="25"/>
      <c r="AM70" s="25"/>
      <c r="AN70" s="25"/>
    </row>
    <row r="71" spans="1:40" ht="14.25" customHeight="1" x14ac:dyDescent="0.2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K71" s="25"/>
      <c r="AL71" s="25"/>
      <c r="AM71" s="25"/>
      <c r="AN71" s="25"/>
    </row>
    <row r="72" spans="1:40" ht="14.25" customHeight="1" x14ac:dyDescent="0.2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K72" s="25"/>
      <c r="AL72" s="25"/>
      <c r="AM72" s="25"/>
      <c r="AN72" s="25"/>
    </row>
    <row r="73" spans="1:40" ht="14.25" customHeight="1" x14ac:dyDescent="0.2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K73" s="25"/>
      <c r="AL73" s="25"/>
      <c r="AM73" s="25"/>
      <c r="AN73" s="25"/>
    </row>
    <row r="74" spans="1:40" ht="14.25" customHeight="1" x14ac:dyDescent="0.2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K74" s="25"/>
      <c r="AL74" s="25"/>
      <c r="AM74" s="25"/>
      <c r="AN74" s="25"/>
    </row>
    <row r="75" spans="1:40" ht="14.25" customHeight="1" x14ac:dyDescent="0.2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K75" s="25"/>
      <c r="AL75" s="25"/>
      <c r="AM75" s="25"/>
      <c r="AN75" s="25"/>
    </row>
    <row r="76" spans="1:40" ht="14.25" customHeight="1" x14ac:dyDescent="0.2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K76" s="25"/>
      <c r="AL76" s="25"/>
      <c r="AM76" s="25"/>
      <c r="AN76" s="25"/>
    </row>
    <row r="77" spans="1:40" ht="14.25" customHeight="1" x14ac:dyDescent="0.2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K77" s="25"/>
      <c r="AL77" s="25"/>
      <c r="AM77" s="25"/>
      <c r="AN77" s="25"/>
    </row>
    <row r="78" spans="1:40" ht="14.25" customHeight="1" x14ac:dyDescent="0.2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K78" s="25"/>
      <c r="AL78" s="25"/>
      <c r="AM78" s="25"/>
      <c r="AN78" s="25"/>
    </row>
    <row r="79" spans="1:40" ht="14.25" customHeight="1" x14ac:dyDescent="0.2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K79" s="25"/>
      <c r="AL79" s="25"/>
      <c r="AM79" s="25"/>
      <c r="AN79" s="25"/>
    </row>
    <row r="80" spans="1:40" ht="14.25" customHeight="1" x14ac:dyDescent="0.2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K80" s="25"/>
      <c r="AL80" s="25"/>
      <c r="AM80" s="25"/>
      <c r="AN80" s="25"/>
    </row>
    <row r="81" spans="1:40" ht="14.25" customHeight="1" x14ac:dyDescent="0.2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K81" s="25"/>
      <c r="AL81" s="25"/>
      <c r="AM81" s="25"/>
      <c r="AN81" s="25"/>
    </row>
    <row r="82" spans="1:40" ht="14.25" customHeight="1" x14ac:dyDescent="0.2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K82" s="25"/>
      <c r="AL82" s="25"/>
      <c r="AM82" s="25"/>
      <c r="AN82" s="25"/>
    </row>
    <row r="83" spans="1:40" ht="14.25" customHeight="1" x14ac:dyDescent="0.2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K83" s="25"/>
      <c r="AL83" s="25"/>
      <c r="AM83" s="25"/>
      <c r="AN83" s="25"/>
    </row>
    <row r="84" spans="1:40" ht="14.25" customHeight="1" x14ac:dyDescent="0.2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K84" s="25"/>
      <c r="AL84" s="25"/>
      <c r="AM84" s="25"/>
      <c r="AN84" s="25"/>
    </row>
    <row r="85" spans="1:40" ht="14.25" customHeight="1" x14ac:dyDescent="0.2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K85" s="25"/>
      <c r="AL85" s="25"/>
      <c r="AM85" s="25"/>
      <c r="AN85" s="25"/>
    </row>
    <row r="86" spans="1:40" ht="14.25" customHeight="1" x14ac:dyDescent="0.2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K86" s="25"/>
      <c r="AL86" s="25"/>
      <c r="AM86" s="25"/>
      <c r="AN86" s="25"/>
    </row>
    <row r="87" spans="1:40" ht="14.25" customHeight="1" x14ac:dyDescent="0.2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K87" s="25"/>
      <c r="AL87" s="25"/>
      <c r="AM87" s="25"/>
      <c r="AN87" s="25"/>
    </row>
    <row r="88" spans="1:40" ht="14.25" customHeight="1" x14ac:dyDescent="0.2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K88" s="25"/>
      <c r="AL88" s="25"/>
      <c r="AM88" s="25"/>
      <c r="AN88" s="25"/>
    </row>
    <row r="89" spans="1:40" ht="14.25" customHeight="1" x14ac:dyDescent="0.2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K89" s="25"/>
      <c r="AL89" s="25"/>
      <c r="AM89" s="25"/>
      <c r="AN89" s="25"/>
    </row>
    <row r="90" spans="1:40" ht="14.25" customHeight="1" x14ac:dyDescent="0.2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K90" s="25"/>
      <c r="AL90" s="25"/>
      <c r="AM90" s="25"/>
      <c r="AN90" s="25"/>
    </row>
    <row r="91" spans="1:40" ht="14.25" customHeight="1" x14ac:dyDescent="0.2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K91" s="25"/>
      <c r="AL91" s="25"/>
      <c r="AM91" s="25"/>
      <c r="AN91" s="25"/>
    </row>
    <row r="92" spans="1:40" ht="14.25" customHeight="1" x14ac:dyDescent="0.2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K92" s="25"/>
      <c r="AL92" s="25"/>
      <c r="AM92" s="25"/>
      <c r="AN92" s="25"/>
    </row>
    <row r="93" spans="1:40" ht="14.25" customHeight="1" x14ac:dyDescent="0.2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K93" s="25"/>
      <c r="AL93" s="25"/>
      <c r="AM93" s="25"/>
      <c r="AN93" s="25"/>
    </row>
    <row r="94" spans="1:40" ht="14.25" customHeight="1" x14ac:dyDescent="0.2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K94" s="25"/>
      <c r="AL94" s="25"/>
      <c r="AM94" s="25"/>
      <c r="AN94" s="25"/>
    </row>
    <row r="95" spans="1:40" ht="14.25" customHeight="1" x14ac:dyDescent="0.2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K95" s="25"/>
      <c r="AL95" s="25"/>
      <c r="AM95" s="25"/>
      <c r="AN95" s="25"/>
    </row>
    <row r="96" spans="1:40" ht="14.25" customHeight="1" x14ac:dyDescent="0.2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K96" s="25"/>
      <c r="AL96" s="25"/>
      <c r="AM96" s="25"/>
      <c r="AN96" s="25"/>
    </row>
    <row r="97" spans="1:40" ht="14.25" customHeight="1" x14ac:dyDescent="0.2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K97" s="25"/>
      <c r="AL97" s="25"/>
      <c r="AM97" s="25"/>
      <c r="AN97" s="25"/>
    </row>
    <row r="98" spans="1:40" ht="14.25" customHeight="1" x14ac:dyDescent="0.2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K98" s="25"/>
      <c r="AL98" s="25"/>
      <c r="AM98" s="25"/>
      <c r="AN98" s="25"/>
    </row>
    <row r="99" spans="1:40" ht="14.25" customHeight="1" x14ac:dyDescent="0.2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K99" s="25"/>
      <c r="AL99" s="25"/>
      <c r="AM99" s="25"/>
      <c r="AN99" s="25"/>
    </row>
    <row r="100" spans="1:40" ht="14.25" customHeight="1" x14ac:dyDescent="0.2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K100" s="25"/>
      <c r="AL100" s="25"/>
      <c r="AM100" s="25"/>
      <c r="AN100" s="25"/>
    </row>
    <row r="101" spans="1:40" ht="14.25" customHeight="1" x14ac:dyDescent="0.2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K101" s="25"/>
      <c r="AL101" s="25"/>
      <c r="AM101" s="25"/>
      <c r="AN101" s="25"/>
    </row>
    <row r="102" spans="1:40" ht="14.25" customHeight="1" x14ac:dyDescent="0.2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K102" s="25"/>
      <c r="AL102" s="25"/>
      <c r="AM102" s="25"/>
      <c r="AN102" s="25"/>
    </row>
    <row r="103" spans="1:40" ht="14.25" customHeight="1" x14ac:dyDescent="0.2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K103" s="25"/>
      <c r="AL103" s="25"/>
      <c r="AM103" s="25"/>
      <c r="AN103" s="25"/>
    </row>
    <row r="104" spans="1:40" ht="14.25" customHeight="1" x14ac:dyDescent="0.2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K104" s="25"/>
      <c r="AL104" s="25"/>
      <c r="AM104" s="25"/>
      <c r="AN104" s="25"/>
    </row>
    <row r="105" spans="1:40" ht="14.25" customHeight="1" x14ac:dyDescent="0.2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K105" s="25"/>
      <c r="AL105" s="25"/>
      <c r="AM105" s="25"/>
      <c r="AN105" s="25"/>
    </row>
    <row r="106" spans="1:40" ht="14.25" customHeight="1" x14ac:dyDescent="0.2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K106" s="25"/>
      <c r="AL106" s="25"/>
      <c r="AM106" s="25"/>
      <c r="AN106" s="25"/>
    </row>
    <row r="107" spans="1:40" ht="14.25" customHeight="1" x14ac:dyDescent="0.2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K107" s="25"/>
      <c r="AL107" s="25"/>
      <c r="AM107" s="25"/>
      <c r="AN107" s="25"/>
    </row>
    <row r="108" spans="1:40" ht="14.25" customHeight="1" x14ac:dyDescent="0.2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K108" s="25"/>
      <c r="AL108" s="25"/>
      <c r="AM108" s="25"/>
      <c r="AN108" s="25"/>
    </row>
    <row r="109" spans="1:40" ht="14.25" customHeight="1" x14ac:dyDescent="0.2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K109" s="25"/>
      <c r="AL109" s="25"/>
      <c r="AM109" s="25"/>
      <c r="AN109" s="25"/>
    </row>
    <row r="110" spans="1:40" ht="14.25" customHeight="1" x14ac:dyDescent="0.2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K110" s="25"/>
      <c r="AL110" s="25"/>
      <c r="AM110" s="25"/>
      <c r="AN110" s="25"/>
    </row>
    <row r="111" spans="1:40" ht="14.25" customHeight="1" x14ac:dyDescent="0.2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K111" s="25"/>
      <c r="AL111" s="25"/>
      <c r="AM111" s="25"/>
      <c r="AN111" s="25"/>
    </row>
    <row r="112" spans="1:40" ht="14.25" customHeight="1" x14ac:dyDescent="0.2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K112" s="25"/>
      <c r="AL112" s="25"/>
      <c r="AM112" s="25"/>
      <c r="AN112" s="25"/>
    </row>
    <row r="113" spans="1:40" ht="14.25" customHeight="1" x14ac:dyDescent="0.2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K113" s="25"/>
      <c r="AL113" s="25"/>
      <c r="AM113" s="25"/>
      <c r="AN113" s="25"/>
    </row>
    <row r="114" spans="1:40" ht="14.25" customHeight="1" x14ac:dyDescent="0.2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K114" s="25"/>
      <c r="AL114" s="25"/>
      <c r="AM114" s="25"/>
      <c r="AN114" s="25"/>
    </row>
    <row r="115" spans="1:40" ht="14.25" customHeight="1" x14ac:dyDescent="0.2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K115" s="25"/>
      <c r="AL115" s="25"/>
      <c r="AM115" s="25"/>
      <c r="AN115" s="25"/>
    </row>
    <row r="116" spans="1:40" ht="14.25" customHeight="1" x14ac:dyDescent="0.2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K116" s="25"/>
      <c r="AL116" s="25"/>
      <c r="AM116" s="25"/>
      <c r="AN116" s="25"/>
    </row>
    <row r="117" spans="1:40" ht="14.25" customHeight="1" x14ac:dyDescent="0.2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K117" s="25"/>
      <c r="AL117" s="25"/>
      <c r="AM117" s="25"/>
      <c r="AN117" s="25"/>
    </row>
    <row r="118" spans="1:40" ht="14.25" customHeight="1" x14ac:dyDescent="0.2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K118" s="25"/>
      <c r="AL118" s="25"/>
      <c r="AM118" s="25"/>
      <c r="AN118" s="25"/>
    </row>
    <row r="119" spans="1:40" ht="14.25" customHeight="1" x14ac:dyDescent="0.2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K119" s="25"/>
      <c r="AL119" s="25"/>
      <c r="AM119" s="25"/>
      <c r="AN119" s="25"/>
    </row>
    <row r="120" spans="1:40" ht="14.25" customHeight="1" x14ac:dyDescent="0.2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K120" s="25"/>
      <c r="AL120" s="25"/>
      <c r="AM120" s="25"/>
      <c r="AN120" s="25"/>
    </row>
    <row r="121" spans="1:40" ht="14.25" customHeight="1" x14ac:dyDescent="0.2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K121" s="25"/>
      <c r="AL121" s="25"/>
      <c r="AM121" s="25"/>
      <c r="AN121" s="25"/>
    </row>
    <row r="122" spans="1:40" ht="14.25" customHeight="1" x14ac:dyDescent="0.2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K122" s="25"/>
      <c r="AL122" s="25"/>
      <c r="AM122" s="25"/>
      <c r="AN122" s="25"/>
    </row>
    <row r="123" spans="1:40" ht="14.25" customHeight="1" x14ac:dyDescent="0.2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K123" s="25"/>
      <c r="AL123" s="25"/>
      <c r="AM123" s="25"/>
      <c r="AN123" s="25"/>
    </row>
    <row r="124" spans="1:40" ht="14.25" customHeight="1" x14ac:dyDescent="0.2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K124" s="25"/>
      <c r="AL124" s="25"/>
      <c r="AM124" s="25"/>
      <c r="AN124" s="25"/>
    </row>
    <row r="125" spans="1:40" ht="14.25" customHeight="1" x14ac:dyDescent="0.2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K125" s="25"/>
      <c r="AL125" s="25"/>
      <c r="AM125" s="25"/>
      <c r="AN125" s="25"/>
    </row>
    <row r="126" spans="1:40" ht="14.25" customHeight="1" x14ac:dyDescent="0.2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K126" s="25"/>
      <c r="AL126" s="25"/>
      <c r="AM126" s="25"/>
      <c r="AN126" s="25"/>
    </row>
    <row r="127" spans="1:40" ht="14.25" customHeight="1" x14ac:dyDescent="0.2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K127" s="25"/>
      <c r="AL127" s="25"/>
      <c r="AM127" s="25"/>
      <c r="AN127" s="25"/>
    </row>
    <row r="128" spans="1:40" ht="14.25" customHeight="1" x14ac:dyDescent="0.2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K128" s="25"/>
      <c r="AL128" s="25"/>
      <c r="AM128" s="25"/>
      <c r="AN128" s="25"/>
    </row>
    <row r="129" spans="1:40" ht="14.25" customHeight="1" x14ac:dyDescent="0.2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K129" s="25"/>
      <c r="AL129" s="25"/>
      <c r="AM129" s="25"/>
      <c r="AN129" s="25"/>
    </row>
    <row r="130" spans="1:40" ht="14.25" customHeight="1" x14ac:dyDescent="0.2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K130" s="25"/>
      <c r="AL130" s="25"/>
      <c r="AM130" s="25"/>
      <c r="AN130" s="25"/>
    </row>
    <row r="131" spans="1:40" ht="14.25" customHeight="1" x14ac:dyDescent="0.2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K131" s="25"/>
      <c r="AL131" s="25"/>
      <c r="AM131" s="25"/>
      <c r="AN131" s="25"/>
    </row>
    <row r="132" spans="1:40" ht="14.25" customHeight="1" x14ac:dyDescent="0.2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K132" s="25"/>
      <c r="AL132" s="25"/>
      <c r="AM132" s="25"/>
      <c r="AN132" s="25"/>
    </row>
    <row r="133" spans="1:40" ht="14.25" customHeight="1" x14ac:dyDescent="0.2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K133" s="25"/>
      <c r="AL133" s="25"/>
      <c r="AM133" s="25"/>
      <c r="AN133" s="25"/>
    </row>
    <row r="134" spans="1:40" ht="14.25" customHeight="1" x14ac:dyDescent="0.2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K134" s="25"/>
      <c r="AL134" s="25"/>
      <c r="AM134" s="25"/>
      <c r="AN134" s="25"/>
    </row>
    <row r="135" spans="1:40" ht="14.25" customHeight="1" x14ac:dyDescent="0.2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K135" s="25"/>
      <c r="AL135" s="25"/>
      <c r="AM135" s="25"/>
      <c r="AN135" s="25"/>
    </row>
    <row r="136" spans="1:40" ht="14.25" customHeight="1" x14ac:dyDescent="0.2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K136" s="25"/>
      <c r="AL136" s="25"/>
      <c r="AM136" s="25"/>
      <c r="AN136" s="25"/>
    </row>
    <row r="137" spans="1:40" ht="14.25" customHeight="1" x14ac:dyDescent="0.2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K137" s="25"/>
      <c r="AL137" s="25"/>
      <c r="AM137" s="25"/>
      <c r="AN137" s="25"/>
    </row>
    <row r="138" spans="1:40" ht="14.25" customHeight="1" x14ac:dyDescent="0.2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K138" s="25"/>
      <c r="AL138" s="25"/>
      <c r="AM138" s="25"/>
      <c r="AN138" s="25"/>
    </row>
    <row r="139" spans="1:40" ht="14.25" customHeight="1" x14ac:dyDescent="0.2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K139" s="25"/>
      <c r="AL139" s="25"/>
      <c r="AM139" s="25"/>
      <c r="AN139" s="25"/>
    </row>
    <row r="140" spans="1:40" ht="14.25" customHeight="1" x14ac:dyDescent="0.2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K140" s="25"/>
      <c r="AL140" s="25"/>
      <c r="AM140" s="25"/>
      <c r="AN140" s="25"/>
    </row>
    <row r="141" spans="1:40" ht="14.25" customHeight="1" x14ac:dyDescent="0.2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K141" s="25"/>
      <c r="AL141" s="25"/>
      <c r="AM141" s="25"/>
      <c r="AN141" s="25"/>
    </row>
    <row r="142" spans="1:40" ht="14.25" customHeight="1" x14ac:dyDescent="0.2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K142" s="25"/>
      <c r="AL142" s="25"/>
      <c r="AM142" s="25"/>
      <c r="AN142" s="25"/>
    </row>
    <row r="143" spans="1:40" ht="14.25" customHeight="1" x14ac:dyDescent="0.2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K143" s="25"/>
      <c r="AL143" s="25"/>
      <c r="AM143" s="25"/>
      <c r="AN143" s="25"/>
    </row>
    <row r="144" spans="1:40" ht="14.25" customHeight="1" x14ac:dyDescent="0.2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K144" s="25"/>
      <c r="AL144" s="25"/>
      <c r="AM144" s="25"/>
      <c r="AN144" s="25"/>
    </row>
    <row r="145" spans="1:40" ht="14.25" customHeight="1" x14ac:dyDescent="0.2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K145" s="25"/>
      <c r="AL145" s="25"/>
      <c r="AM145" s="25"/>
      <c r="AN145" s="25"/>
    </row>
    <row r="146" spans="1:40" ht="14.25" customHeight="1" x14ac:dyDescent="0.2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K146" s="25"/>
      <c r="AL146" s="25"/>
      <c r="AM146" s="25"/>
      <c r="AN146" s="25"/>
    </row>
    <row r="147" spans="1:40" ht="14.25" customHeight="1" x14ac:dyDescent="0.2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K147" s="25"/>
      <c r="AL147" s="25"/>
      <c r="AM147" s="25"/>
      <c r="AN147" s="25"/>
    </row>
    <row r="148" spans="1:40" ht="14.25" customHeight="1" x14ac:dyDescent="0.2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K148" s="25"/>
      <c r="AL148" s="25"/>
      <c r="AM148" s="25"/>
      <c r="AN148" s="25"/>
    </row>
    <row r="149" spans="1:40" ht="14.25" customHeight="1" x14ac:dyDescent="0.2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K149" s="25"/>
      <c r="AL149" s="25"/>
      <c r="AM149" s="25"/>
      <c r="AN149" s="25"/>
    </row>
    <row r="150" spans="1:40" ht="14.25" customHeight="1" x14ac:dyDescent="0.2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K150" s="25"/>
      <c r="AL150" s="25"/>
      <c r="AM150" s="25"/>
      <c r="AN150" s="25"/>
    </row>
    <row r="151" spans="1:40" ht="14.25" customHeight="1" x14ac:dyDescent="0.2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K151" s="25"/>
      <c r="AL151" s="25"/>
      <c r="AM151" s="25"/>
      <c r="AN151" s="25"/>
    </row>
    <row r="152" spans="1:40" ht="14.25" customHeight="1" x14ac:dyDescent="0.2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K152" s="25"/>
      <c r="AL152" s="25"/>
      <c r="AM152" s="25"/>
      <c r="AN152" s="25"/>
    </row>
    <row r="153" spans="1:40" ht="14.25" customHeight="1" x14ac:dyDescent="0.2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K153" s="25"/>
      <c r="AL153" s="25"/>
      <c r="AM153" s="25"/>
      <c r="AN153" s="25"/>
    </row>
    <row r="154" spans="1:40" ht="14.25" customHeight="1" x14ac:dyDescent="0.2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K154" s="25"/>
      <c r="AL154" s="25"/>
      <c r="AM154" s="25"/>
      <c r="AN154" s="25"/>
    </row>
    <row r="155" spans="1:40" ht="14.25" customHeight="1" x14ac:dyDescent="0.2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K155" s="25"/>
      <c r="AL155" s="25"/>
      <c r="AM155" s="25"/>
      <c r="AN155" s="25"/>
    </row>
    <row r="156" spans="1:40" ht="14.25" customHeight="1" x14ac:dyDescent="0.2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K156" s="25"/>
      <c r="AL156" s="25"/>
      <c r="AM156" s="25"/>
      <c r="AN156" s="25"/>
    </row>
    <row r="157" spans="1:40" ht="14.25" customHeight="1" x14ac:dyDescent="0.2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K157" s="25"/>
      <c r="AL157" s="25"/>
      <c r="AM157" s="25"/>
      <c r="AN157" s="25"/>
    </row>
    <row r="158" spans="1:40" ht="14.25" customHeight="1" x14ac:dyDescent="0.2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K158" s="25"/>
      <c r="AL158" s="25"/>
      <c r="AM158" s="25"/>
      <c r="AN158" s="25"/>
    </row>
    <row r="159" spans="1:40" ht="14.25" customHeight="1" x14ac:dyDescent="0.2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K159" s="25"/>
      <c r="AL159" s="25"/>
      <c r="AM159" s="25"/>
      <c r="AN159" s="25"/>
    </row>
    <row r="160" spans="1:40" ht="14.25" customHeight="1" x14ac:dyDescent="0.2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K160" s="25"/>
      <c r="AL160" s="25"/>
      <c r="AM160" s="25"/>
      <c r="AN160" s="25"/>
    </row>
    <row r="161" spans="1:40" ht="14.25" customHeight="1" x14ac:dyDescent="0.2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K161" s="25"/>
      <c r="AL161" s="25"/>
      <c r="AM161" s="25"/>
      <c r="AN161" s="25"/>
    </row>
    <row r="162" spans="1:40" ht="14.25" customHeight="1" x14ac:dyDescent="0.2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K162" s="25"/>
      <c r="AL162" s="25"/>
      <c r="AM162" s="25"/>
      <c r="AN162" s="25"/>
    </row>
    <row r="163" spans="1:40" ht="14.25" customHeight="1" x14ac:dyDescent="0.2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K163" s="25"/>
      <c r="AL163" s="25"/>
      <c r="AM163" s="25"/>
      <c r="AN163" s="25"/>
    </row>
    <row r="164" spans="1:40" ht="14.25" customHeight="1" x14ac:dyDescent="0.2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K164" s="25"/>
      <c r="AL164" s="25"/>
      <c r="AM164" s="25"/>
      <c r="AN164" s="25"/>
    </row>
    <row r="165" spans="1:40" ht="14.25" customHeight="1" x14ac:dyDescent="0.2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K165" s="25"/>
      <c r="AL165" s="25"/>
      <c r="AM165" s="25"/>
      <c r="AN165" s="25"/>
    </row>
    <row r="166" spans="1:40" ht="14.25" customHeight="1" x14ac:dyDescent="0.2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K166" s="25"/>
      <c r="AL166" s="25"/>
      <c r="AM166" s="25"/>
      <c r="AN166" s="25"/>
    </row>
    <row r="167" spans="1:40" ht="14.25" customHeight="1" x14ac:dyDescent="0.2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K167" s="25"/>
      <c r="AL167" s="25"/>
      <c r="AM167" s="25"/>
      <c r="AN167" s="25"/>
    </row>
    <row r="168" spans="1:40" ht="14.25" customHeight="1" x14ac:dyDescent="0.2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K168" s="25"/>
      <c r="AL168" s="25"/>
      <c r="AM168" s="25"/>
      <c r="AN168" s="25"/>
    </row>
    <row r="169" spans="1:40" ht="14.25" customHeight="1" x14ac:dyDescent="0.2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K169" s="25"/>
      <c r="AL169" s="25"/>
      <c r="AM169" s="25"/>
      <c r="AN169" s="25"/>
    </row>
    <row r="170" spans="1:40" ht="14.25" customHeight="1" x14ac:dyDescent="0.2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K170" s="25"/>
      <c r="AL170" s="25"/>
      <c r="AM170" s="25"/>
      <c r="AN170" s="25"/>
    </row>
    <row r="171" spans="1:40" ht="14.25" customHeight="1" x14ac:dyDescent="0.2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K171" s="25"/>
      <c r="AL171" s="25"/>
      <c r="AM171" s="25"/>
      <c r="AN171" s="25"/>
    </row>
    <row r="172" spans="1:40" ht="14.25" customHeight="1" x14ac:dyDescent="0.2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K172" s="25"/>
      <c r="AL172" s="25"/>
      <c r="AM172" s="25"/>
      <c r="AN172" s="25"/>
    </row>
    <row r="173" spans="1:40" ht="14.25" customHeight="1" x14ac:dyDescent="0.2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K173" s="25"/>
      <c r="AL173" s="25"/>
      <c r="AM173" s="25"/>
      <c r="AN173" s="25"/>
    </row>
    <row r="174" spans="1:40" ht="14.25" customHeight="1" x14ac:dyDescent="0.2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K174" s="25"/>
      <c r="AL174" s="25"/>
      <c r="AM174" s="25"/>
      <c r="AN174" s="25"/>
    </row>
    <row r="175" spans="1:40" ht="14.25" customHeight="1" x14ac:dyDescent="0.2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K175" s="25"/>
      <c r="AL175" s="25"/>
      <c r="AM175" s="25"/>
      <c r="AN175" s="25"/>
    </row>
    <row r="176" spans="1:40" ht="14.25" customHeight="1" x14ac:dyDescent="0.2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K176" s="25"/>
      <c r="AL176" s="25"/>
      <c r="AM176" s="25"/>
      <c r="AN176" s="25"/>
    </row>
    <row r="177" spans="1:40" ht="14.25" customHeight="1" x14ac:dyDescent="0.2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K177" s="25"/>
      <c r="AL177" s="25"/>
      <c r="AM177" s="25"/>
      <c r="AN177" s="25"/>
    </row>
    <row r="178" spans="1:40" ht="14.25" customHeight="1" x14ac:dyDescent="0.2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K178" s="25"/>
      <c r="AL178" s="25"/>
      <c r="AM178" s="25"/>
      <c r="AN178" s="25"/>
    </row>
    <row r="179" spans="1:40" ht="14.25" customHeight="1" x14ac:dyDescent="0.2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K179" s="25"/>
      <c r="AL179" s="25"/>
      <c r="AM179" s="25"/>
      <c r="AN179" s="25"/>
    </row>
    <row r="180" spans="1:40" ht="14.25" customHeight="1" x14ac:dyDescent="0.2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K180" s="25"/>
      <c r="AL180" s="25"/>
      <c r="AM180" s="25"/>
      <c r="AN180" s="25"/>
    </row>
    <row r="181" spans="1:40" ht="14.25" customHeight="1" x14ac:dyDescent="0.2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K181" s="25"/>
      <c r="AL181" s="25"/>
      <c r="AM181" s="25"/>
      <c r="AN181" s="25"/>
    </row>
    <row r="182" spans="1:40" ht="14.25" customHeight="1" x14ac:dyDescent="0.2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K182" s="25"/>
      <c r="AL182" s="25"/>
      <c r="AM182" s="25"/>
      <c r="AN182" s="25"/>
    </row>
    <row r="183" spans="1:40" ht="14.25" customHeight="1" x14ac:dyDescent="0.2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K183" s="25"/>
      <c r="AL183" s="25"/>
      <c r="AM183" s="25"/>
      <c r="AN183" s="25"/>
    </row>
    <row r="184" spans="1:40" ht="14.25" customHeight="1" x14ac:dyDescent="0.2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K184" s="25"/>
      <c r="AL184" s="25"/>
      <c r="AM184" s="25"/>
      <c r="AN184" s="25"/>
    </row>
    <row r="185" spans="1:40" ht="14.25" customHeight="1" x14ac:dyDescent="0.2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K185" s="25"/>
      <c r="AL185" s="25"/>
      <c r="AM185" s="25"/>
      <c r="AN185" s="25"/>
    </row>
    <row r="186" spans="1:40" ht="14.25" customHeight="1" x14ac:dyDescent="0.2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K186" s="25"/>
      <c r="AL186" s="25"/>
      <c r="AM186" s="25"/>
      <c r="AN186" s="25"/>
    </row>
    <row r="187" spans="1:40" ht="14.25" customHeight="1" x14ac:dyDescent="0.2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K187" s="25"/>
      <c r="AL187" s="25"/>
      <c r="AM187" s="25"/>
      <c r="AN187" s="25"/>
    </row>
    <row r="188" spans="1:40" ht="14.25" customHeight="1" x14ac:dyDescent="0.2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K188" s="25"/>
      <c r="AL188" s="25"/>
      <c r="AM188" s="25"/>
      <c r="AN188" s="25"/>
    </row>
    <row r="189" spans="1:40" ht="14.25" customHeight="1" x14ac:dyDescent="0.2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K189" s="25"/>
      <c r="AL189" s="25"/>
      <c r="AM189" s="25"/>
      <c r="AN189" s="25"/>
    </row>
    <row r="190" spans="1:40" ht="14.25" customHeight="1" x14ac:dyDescent="0.2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K190" s="25"/>
      <c r="AL190" s="25"/>
      <c r="AM190" s="25"/>
      <c r="AN190" s="25"/>
    </row>
    <row r="191" spans="1:40" ht="14.25" customHeight="1" x14ac:dyDescent="0.2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K191" s="25"/>
      <c r="AL191" s="25"/>
      <c r="AM191" s="25"/>
      <c r="AN191" s="25"/>
    </row>
    <row r="192" spans="1:40" ht="14.25" customHeight="1" x14ac:dyDescent="0.2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K192" s="25"/>
      <c r="AL192" s="25"/>
      <c r="AM192" s="25"/>
      <c r="AN192" s="25"/>
    </row>
    <row r="193" spans="1:40" ht="14.25" customHeight="1" x14ac:dyDescent="0.2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K193" s="25"/>
      <c r="AL193" s="25"/>
      <c r="AM193" s="25"/>
      <c r="AN193" s="25"/>
    </row>
    <row r="194" spans="1:40" ht="14.25" customHeight="1" x14ac:dyDescent="0.2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K194" s="25"/>
      <c r="AL194" s="25"/>
      <c r="AM194" s="25"/>
      <c r="AN194" s="25"/>
    </row>
    <row r="195" spans="1:40" ht="14.25" customHeight="1" x14ac:dyDescent="0.2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K195" s="25"/>
      <c r="AL195" s="25"/>
      <c r="AM195" s="25"/>
      <c r="AN195" s="25"/>
    </row>
    <row r="196" spans="1:40" ht="14.25" customHeight="1" x14ac:dyDescent="0.2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K196" s="25"/>
      <c r="AL196" s="25"/>
      <c r="AM196" s="25"/>
      <c r="AN196" s="25"/>
    </row>
    <row r="197" spans="1:40" ht="14.25" customHeight="1" x14ac:dyDescent="0.2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K197" s="25"/>
      <c r="AL197" s="25"/>
      <c r="AM197" s="25"/>
      <c r="AN197" s="25"/>
    </row>
    <row r="198" spans="1:40" ht="14.25" customHeight="1" x14ac:dyDescent="0.2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K198" s="25"/>
      <c r="AL198" s="25"/>
      <c r="AM198" s="25"/>
      <c r="AN198" s="25"/>
    </row>
    <row r="199" spans="1:40" ht="14.25" customHeight="1" x14ac:dyDescent="0.2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K199" s="25"/>
      <c r="AL199" s="25"/>
      <c r="AM199" s="25"/>
      <c r="AN199" s="25"/>
    </row>
    <row r="200" spans="1:40" ht="14.25" customHeight="1" x14ac:dyDescent="0.2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K200" s="25"/>
      <c r="AL200" s="25"/>
      <c r="AM200" s="25"/>
      <c r="AN200" s="25"/>
    </row>
    <row r="201" spans="1:40" ht="14.25" customHeight="1" x14ac:dyDescent="0.2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K201" s="25"/>
      <c r="AL201" s="25"/>
      <c r="AM201" s="25"/>
      <c r="AN201" s="25"/>
    </row>
    <row r="202" spans="1:40" ht="14.25" customHeight="1" x14ac:dyDescent="0.2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K202" s="25"/>
      <c r="AL202" s="25"/>
      <c r="AM202" s="25"/>
      <c r="AN202" s="25"/>
    </row>
    <row r="203" spans="1:40" ht="14.25" customHeight="1" x14ac:dyDescent="0.2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K203" s="25"/>
      <c r="AL203" s="25"/>
      <c r="AM203" s="25"/>
      <c r="AN203" s="25"/>
    </row>
    <row r="204" spans="1:40" ht="14.25" customHeight="1" x14ac:dyDescent="0.2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K204" s="25"/>
      <c r="AL204" s="25"/>
      <c r="AM204" s="25"/>
      <c r="AN204" s="25"/>
    </row>
    <row r="205" spans="1:40" ht="14.25" customHeight="1" x14ac:dyDescent="0.2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K205" s="25"/>
      <c r="AL205" s="25"/>
      <c r="AM205" s="25"/>
      <c r="AN205" s="25"/>
    </row>
    <row r="206" spans="1:40" ht="14.25" customHeight="1" x14ac:dyDescent="0.2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K206" s="25"/>
      <c r="AL206" s="25"/>
      <c r="AM206" s="25"/>
      <c r="AN206" s="25"/>
    </row>
    <row r="207" spans="1:40" ht="14.25" customHeight="1" x14ac:dyDescent="0.2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K207" s="25"/>
      <c r="AL207" s="25"/>
      <c r="AM207" s="25"/>
      <c r="AN207" s="25"/>
    </row>
    <row r="208" spans="1:40" ht="14.25" customHeight="1" x14ac:dyDescent="0.2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K208" s="25"/>
      <c r="AL208" s="25"/>
      <c r="AM208" s="25"/>
      <c r="AN208" s="25"/>
    </row>
    <row r="209" spans="1:40" ht="14.25" customHeight="1" x14ac:dyDescent="0.2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K209" s="25"/>
      <c r="AL209" s="25"/>
      <c r="AM209" s="25"/>
      <c r="AN209" s="25"/>
    </row>
    <row r="210" spans="1:40" ht="14.25" customHeight="1" x14ac:dyDescent="0.2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K210" s="25"/>
      <c r="AL210" s="25"/>
      <c r="AM210" s="25"/>
      <c r="AN210" s="25"/>
    </row>
    <row r="211" spans="1:40" ht="14.25" customHeight="1" x14ac:dyDescent="0.2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K211" s="25"/>
      <c r="AL211" s="25"/>
      <c r="AM211" s="25"/>
      <c r="AN211" s="25"/>
    </row>
    <row r="212" spans="1:40" ht="14.25" customHeight="1" x14ac:dyDescent="0.2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K212" s="25"/>
      <c r="AL212" s="25"/>
      <c r="AM212" s="25"/>
      <c r="AN212" s="25"/>
    </row>
    <row r="213" spans="1:40" ht="14.25" customHeight="1" x14ac:dyDescent="0.2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K213" s="25"/>
      <c r="AL213" s="25"/>
      <c r="AM213" s="25"/>
      <c r="AN213" s="25"/>
    </row>
    <row r="214" spans="1:40" ht="14.25" customHeight="1" x14ac:dyDescent="0.2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K214" s="25"/>
      <c r="AL214" s="25"/>
      <c r="AM214" s="25"/>
      <c r="AN214" s="25"/>
    </row>
    <row r="215" spans="1:40" ht="14.25" customHeight="1" x14ac:dyDescent="0.2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K215" s="25"/>
      <c r="AL215" s="25"/>
      <c r="AM215" s="25"/>
      <c r="AN215" s="25"/>
    </row>
    <row r="216" spans="1:40" ht="14.25" customHeight="1" x14ac:dyDescent="0.2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K216" s="25"/>
      <c r="AL216" s="25"/>
      <c r="AM216" s="25"/>
      <c r="AN216" s="25"/>
    </row>
    <row r="217" spans="1:40" ht="14.25" customHeight="1" x14ac:dyDescent="0.2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K217" s="25"/>
      <c r="AL217" s="25"/>
      <c r="AM217" s="25"/>
      <c r="AN217" s="25"/>
    </row>
    <row r="218" spans="1:40" ht="14.25" customHeight="1" x14ac:dyDescent="0.2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K218" s="25"/>
      <c r="AL218" s="25"/>
      <c r="AM218" s="25"/>
      <c r="AN218" s="25"/>
    </row>
    <row r="219" spans="1:40" ht="14.25" customHeight="1" x14ac:dyDescent="0.2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K219" s="25"/>
      <c r="AL219" s="25"/>
      <c r="AM219" s="25"/>
      <c r="AN219" s="25"/>
    </row>
    <row r="220" spans="1:40" ht="14.25" customHeight="1" x14ac:dyDescent="0.2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K220" s="25"/>
      <c r="AL220" s="25"/>
      <c r="AM220" s="25"/>
      <c r="AN220" s="25"/>
    </row>
    <row r="221" spans="1:40" ht="14.25" customHeight="1" x14ac:dyDescent="0.2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K221" s="25"/>
      <c r="AL221" s="25"/>
      <c r="AM221" s="25"/>
      <c r="AN221" s="25"/>
    </row>
    <row r="222" spans="1:40" ht="14.25" customHeight="1" x14ac:dyDescent="0.2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K222" s="25"/>
      <c r="AL222" s="25"/>
      <c r="AM222" s="25"/>
      <c r="AN222" s="25"/>
    </row>
    <row r="223" spans="1:40" ht="14.25" customHeight="1" x14ac:dyDescent="0.2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K223" s="25"/>
      <c r="AL223" s="25"/>
      <c r="AM223" s="25"/>
      <c r="AN223" s="25"/>
    </row>
    <row r="224" spans="1:40" ht="14.25" customHeight="1" x14ac:dyDescent="0.2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K224" s="25"/>
      <c r="AL224" s="25"/>
      <c r="AM224" s="25"/>
      <c r="AN224" s="25"/>
    </row>
    <row r="225" spans="1:40" ht="14.25" customHeight="1" x14ac:dyDescent="0.2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K225" s="25"/>
      <c r="AL225" s="25"/>
      <c r="AM225" s="25"/>
      <c r="AN225" s="25"/>
    </row>
    <row r="226" spans="1:40" ht="14.25" customHeight="1" x14ac:dyDescent="0.2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K226" s="25"/>
      <c r="AL226" s="25"/>
      <c r="AM226" s="25"/>
      <c r="AN226" s="25"/>
    </row>
    <row r="227" spans="1:40" ht="14.25" customHeight="1" x14ac:dyDescent="0.2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K227" s="25"/>
      <c r="AL227" s="25"/>
      <c r="AM227" s="25"/>
      <c r="AN227" s="25"/>
    </row>
    <row r="228" spans="1:40" ht="14.25" customHeight="1" x14ac:dyDescent="0.2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K228" s="25"/>
      <c r="AL228" s="25"/>
      <c r="AM228" s="25"/>
      <c r="AN228" s="25"/>
    </row>
    <row r="229" spans="1:40" ht="14.25" customHeight="1" x14ac:dyDescent="0.2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K229" s="25"/>
      <c r="AL229" s="25"/>
      <c r="AM229" s="25"/>
      <c r="AN229" s="25"/>
    </row>
    <row r="230" spans="1:40" ht="14.25" customHeight="1" x14ac:dyDescent="0.2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K230" s="25"/>
      <c r="AL230" s="25"/>
      <c r="AM230" s="25"/>
      <c r="AN230" s="25"/>
    </row>
    <row r="231" spans="1:40" ht="14.25" customHeight="1" x14ac:dyDescent="0.2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K231" s="25"/>
      <c r="AL231" s="25"/>
      <c r="AM231" s="25"/>
      <c r="AN231" s="25"/>
    </row>
    <row r="232" spans="1:40" ht="14.25" customHeight="1" x14ac:dyDescent="0.2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K232" s="25"/>
      <c r="AL232" s="25"/>
      <c r="AM232" s="25"/>
      <c r="AN232" s="25"/>
    </row>
    <row r="233" spans="1:40" ht="14.25" customHeight="1" x14ac:dyDescent="0.2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K233" s="25"/>
      <c r="AL233" s="25"/>
      <c r="AM233" s="25"/>
      <c r="AN233" s="25"/>
    </row>
    <row r="234" spans="1:40" ht="14.25" customHeight="1" x14ac:dyDescent="0.2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K234" s="25"/>
      <c r="AL234" s="25"/>
      <c r="AM234" s="25"/>
      <c r="AN234" s="25"/>
    </row>
    <row r="235" spans="1:40" ht="14.25" customHeight="1" x14ac:dyDescent="0.2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K235" s="25"/>
      <c r="AL235" s="25"/>
      <c r="AM235" s="25"/>
      <c r="AN235" s="25"/>
    </row>
    <row r="236" spans="1:40" ht="14.25" customHeight="1" x14ac:dyDescent="0.2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K236" s="25"/>
      <c r="AL236" s="25"/>
      <c r="AM236" s="25"/>
      <c r="AN236" s="25"/>
    </row>
    <row r="237" spans="1:40" ht="14.25" customHeight="1" x14ac:dyDescent="0.2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K237" s="25"/>
      <c r="AL237" s="25"/>
      <c r="AM237" s="25"/>
      <c r="AN237" s="25"/>
    </row>
    <row r="238" spans="1:40" ht="14.25" customHeight="1" x14ac:dyDescent="0.2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K238" s="25"/>
      <c r="AL238" s="25"/>
      <c r="AM238" s="25"/>
      <c r="AN238" s="25"/>
    </row>
    <row r="239" spans="1:40" ht="14.25" customHeight="1" x14ac:dyDescent="0.2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K239" s="25"/>
      <c r="AL239" s="25"/>
      <c r="AM239" s="25"/>
      <c r="AN239" s="25"/>
    </row>
    <row r="240" spans="1:40" ht="14.25" customHeight="1" x14ac:dyDescent="0.2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K240" s="25"/>
      <c r="AL240" s="25"/>
      <c r="AM240" s="25"/>
      <c r="AN240" s="25"/>
    </row>
    <row r="241" spans="1:40" ht="14.25" customHeight="1" x14ac:dyDescent="0.2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K241" s="25"/>
      <c r="AL241" s="25"/>
      <c r="AM241" s="25"/>
      <c r="AN241" s="25"/>
    </row>
    <row r="242" spans="1:40" ht="14.25" customHeight="1" x14ac:dyDescent="0.2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K242" s="25"/>
      <c r="AL242" s="25"/>
      <c r="AM242" s="25"/>
      <c r="AN242" s="25"/>
    </row>
    <row r="243" spans="1:40" ht="14.25" customHeight="1" x14ac:dyDescent="0.2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K243" s="25"/>
      <c r="AL243" s="25"/>
      <c r="AM243" s="25"/>
      <c r="AN243" s="25"/>
    </row>
    <row r="244" spans="1:40" ht="14.25" customHeight="1" x14ac:dyDescent="0.2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K244" s="25"/>
      <c r="AL244" s="25"/>
      <c r="AM244" s="25"/>
      <c r="AN244" s="25"/>
    </row>
    <row r="245" spans="1:40" ht="14.25" customHeight="1" x14ac:dyDescent="0.2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K245" s="25"/>
      <c r="AL245" s="25"/>
      <c r="AM245" s="25"/>
      <c r="AN245" s="25"/>
    </row>
    <row r="246" spans="1:40" ht="14.25" customHeight="1" x14ac:dyDescent="0.2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K246" s="25"/>
      <c r="AL246" s="25"/>
      <c r="AM246" s="25"/>
      <c r="AN246" s="25"/>
    </row>
    <row r="247" spans="1:40" ht="14.25" customHeight="1" x14ac:dyDescent="0.2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K247" s="25"/>
      <c r="AL247" s="25"/>
      <c r="AM247" s="25"/>
      <c r="AN247" s="25"/>
    </row>
    <row r="248" spans="1:40" ht="14.25" customHeight="1" x14ac:dyDescent="0.2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K248" s="25"/>
      <c r="AL248" s="25"/>
      <c r="AM248" s="25"/>
      <c r="AN248" s="25"/>
    </row>
    <row r="249" spans="1:40" ht="14.25" customHeight="1" x14ac:dyDescent="0.2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K249" s="25"/>
      <c r="AL249" s="25"/>
      <c r="AM249" s="25"/>
      <c r="AN249" s="25"/>
    </row>
    <row r="250" spans="1:40" ht="14.25" customHeight="1" x14ac:dyDescent="0.2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K250" s="25"/>
      <c r="AL250" s="25"/>
      <c r="AM250" s="25"/>
      <c r="AN250" s="25"/>
    </row>
    <row r="251" spans="1:40" ht="14.25" customHeight="1" x14ac:dyDescent="0.2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K251" s="25"/>
      <c r="AL251" s="25"/>
      <c r="AM251" s="25"/>
      <c r="AN251" s="25"/>
    </row>
    <row r="252" spans="1:40" ht="14.25" customHeight="1" x14ac:dyDescent="0.2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K252" s="25"/>
      <c r="AL252" s="25"/>
      <c r="AM252" s="25"/>
      <c r="AN252" s="25"/>
    </row>
    <row r="253" spans="1:40" ht="14.25" customHeight="1" x14ac:dyDescent="0.2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K253" s="25"/>
      <c r="AL253" s="25"/>
      <c r="AM253" s="25"/>
      <c r="AN253" s="25"/>
    </row>
    <row r="254" spans="1:40" ht="14.25" customHeight="1" x14ac:dyDescent="0.2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K254" s="25"/>
      <c r="AL254" s="25"/>
      <c r="AM254" s="25"/>
      <c r="AN254" s="25"/>
    </row>
    <row r="255" spans="1:40" ht="14.25" customHeight="1" x14ac:dyDescent="0.2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K255" s="25"/>
      <c r="AL255" s="25"/>
      <c r="AM255" s="25"/>
      <c r="AN255" s="25"/>
    </row>
    <row r="256" spans="1:40" ht="14.25" customHeight="1" x14ac:dyDescent="0.2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K256" s="25"/>
      <c r="AL256" s="25"/>
      <c r="AM256" s="25"/>
      <c r="AN256" s="25"/>
    </row>
    <row r="257" spans="1:40" ht="14.25" customHeight="1" x14ac:dyDescent="0.2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K257" s="25"/>
      <c r="AL257" s="25"/>
      <c r="AM257" s="25"/>
      <c r="AN257" s="25"/>
    </row>
    <row r="258" spans="1:40" ht="14.25" customHeight="1" x14ac:dyDescent="0.2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K258" s="25"/>
      <c r="AL258" s="25"/>
      <c r="AM258" s="25"/>
      <c r="AN258" s="25"/>
    </row>
    <row r="259" spans="1:40" ht="14.25" customHeight="1" x14ac:dyDescent="0.2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K259" s="25"/>
      <c r="AL259" s="25"/>
      <c r="AM259" s="25"/>
      <c r="AN259" s="25"/>
    </row>
    <row r="260" spans="1:40" ht="14.25" customHeight="1" x14ac:dyDescent="0.2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K260" s="25"/>
      <c r="AL260" s="25"/>
      <c r="AM260" s="25"/>
      <c r="AN260" s="25"/>
    </row>
    <row r="261" spans="1:40" ht="14.25" customHeight="1" x14ac:dyDescent="0.2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K261" s="25"/>
      <c r="AL261" s="25"/>
      <c r="AM261" s="25"/>
      <c r="AN261" s="25"/>
    </row>
    <row r="262" spans="1:40" ht="14.25" customHeight="1" x14ac:dyDescent="0.2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K262" s="25"/>
      <c r="AL262" s="25"/>
      <c r="AM262" s="25"/>
      <c r="AN262" s="25"/>
    </row>
    <row r="263" spans="1:40" ht="14.25" customHeight="1" x14ac:dyDescent="0.2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K263" s="25"/>
      <c r="AL263" s="25"/>
      <c r="AM263" s="25"/>
      <c r="AN263" s="25"/>
    </row>
    <row r="264" spans="1:40" ht="14.25" customHeight="1" x14ac:dyDescent="0.2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K264" s="25"/>
      <c r="AL264" s="25"/>
      <c r="AM264" s="25"/>
      <c r="AN264" s="25"/>
    </row>
    <row r="265" spans="1:40" ht="14.25" customHeight="1" x14ac:dyDescent="0.2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K265" s="25"/>
      <c r="AL265" s="25"/>
      <c r="AM265" s="25"/>
      <c r="AN265" s="25"/>
    </row>
    <row r="266" spans="1:40" ht="14.25" customHeight="1" x14ac:dyDescent="0.2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K266" s="25"/>
      <c r="AL266" s="25"/>
      <c r="AM266" s="25"/>
      <c r="AN266" s="25"/>
    </row>
    <row r="267" spans="1:40" ht="14.25" customHeight="1" x14ac:dyDescent="0.2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K267" s="25"/>
      <c r="AL267" s="25"/>
      <c r="AM267" s="25"/>
      <c r="AN267" s="25"/>
    </row>
    <row r="268" spans="1:40" ht="14.25" customHeight="1" x14ac:dyDescent="0.2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K268" s="25"/>
      <c r="AL268" s="25"/>
      <c r="AM268" s="25"/>
      <c r="AN268" s="25"/>
    </row>
    <row r="269" spans="1:40" ht="14.25" customHeight="1" x14ac:dyDescent="0.2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K269" s="25"/>
      <c r="AL269" s="25"/>
      <c r="AM269" s="25"/>
      <c r="AN269" s="25"/>
    </row>
    <row r="270" spans="1:40" ht="14.25" customHeight="1" x14ac:dyDescent="0.2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K270" s="25"/>
      <c r="AL270" s="25"/>
      <c r="AM270" s="25"/>
      <c r="AN270" s="25"/>
    </row>
    <row r="271" spans="1:40" ht="14.25" customHeight="1" x14ac:dyDescent="0.2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K271" s="25"/>
      <c r="AL271" s="25"/>
      <c r="AM271" s="25"/>
      <c r="AN271" s="25"/>
    </row>
    <row r="272" spans="1:40" ht="14.25" customHeight="1" x14ac:dyDescent="0.2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K272" s="25"/>
      <c r="AL272" s="25"/>
      <c r="AM272" s="25"/>
      <c r="AN272" s="25"/>
    </row>
    <row r="273" spans="1:40" ht="14.25" customHeight="1" x14ac:dyDescent="0.2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K273" s="25"/>
      <c r="AL273" s="25"/>
      <c r="AM273" s="25"/>
      <c r="AN273" s="25"/>
    </row>
    <row r="274" spans="1:40" ht="14.25" customHeight="1" x14ac:dyDescent="0.2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K274" s="25"/>
      <c r="AL274" s="25"/>
      <c r="AM274" s="25"/>
      <c r="AN274" s="25"/>
    </row>
    <row r="275" spans="1:40" ht="14.25" customHeight="1" x14ac:dyDescent="0.2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K275" s="25"/>
      <c r="AL275" s="25"/>
      <c r="AM275" s="25"/>
      <c r="AN275" s="25"/>
    </row>
    <row r="276" spans="1:40" ht="14.25" customHeight="1" x14ac:dyDescent="0.2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K276" s="25"/>
      <c r="AL276" s="25"/>
      <c r="AM276" s="25"/>
      <c r="AN276" s="25"/>
    </row>
    <row r="277" spans="1:40" ht="14.25" customHeight="1" x14ac:dyDescent="0.2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K277" s="25"/>
      <c r="AL277" s="25"/>
      <c r="AM277" s="25"/>
      <c r="AN277" s="25"/>
    </row>
    <row r="278" spans="1:40" ht="14.25" customHeight="1" x14ac:dyDescent="0.2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K278" s="25"/>
      <c r="AL278" s="25"/>
      <c r="AM278" s="25"/>
      <c r="AN278" s="25"/>
    </row>
    <row r="279" spans="1:40" ht="14.25" customHeight="1" x14ac:dyDescent="0.2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K279" s="25"/>
      <c r="AL279" s="25"/>
      <c r="AM279" s="25"/>
      <c r="AN279" s="25"/>
    </row>
    <row r="280" spans="1:40" ht="14.25" customHeight="1" x14ac:dyDescent="0.2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K280" s="25"/>
      <c r="AL280" s="25"/>
      <c r="AM280" s="25"/>
      <c r="AN280" s="25"/>
    </row>
    <row r="281" spans="1:40" ht="14.25" customHeight="1" x14ac:dyDescent="0.2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K281" s="25"/>
      <c r="AL281" s="25"/>
      <c r="AM281" s="25"/>
      <c r="AN281" s="25"/>
    </row>
    <row r="282" spans="1:40" ht="14.25" customHeight="1" x14ac:dyDescent="0.2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K282" s="25"/>
      <c r="AL282" s="25"/>
      <c r="AM282" s="25"/>
      <c r="AN282" s="25"/>
    </row>
    <row r="283" spans="1:40" ht="14.25" customHeight="1" x14ac:dyDescent="0.2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K283" s="25"/>
      <c r="AL283" s="25"/>
      <c r="AM283" s="25"/>
      <c r="AN283" s="25"/>
    </row>
    <row r="284" spans="1:40" ht="14.25" customHeight="1" x14ac:dyDescent="0.2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K284" s="25"/>
      <c r="AL284" s="25"/>
      <c r="AM284" s="25"/>
      <c r="AN284" s="25"/>
    </row>
    <row r="285" spans="1:40" ht="14.25" customHeight="1" x14ac:dyDescent="0.2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K285" s="25"/>
      <c r="AL285" s="25"/>
      <c r="AM285" s="25"/>
      <c r="AN285" s="25"/>
    </row>
    <row r="286" spans="1:40" ht="14.25" customHeight="1" x14ac:dyDescent="0.2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K286" s="25"/>
      <c r="AL286" s="25"/>
      <c r="AM286" s="25"/>
      <c r="AN286" s="25"/>
    </row>
    <row r="287" spans="1:40" ht="14.25" customHeight="1" x14ac:dyDescent="0.2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K287" s="25"/>
      <c r="AL287" s="25"/>
      <c r="AM287" s="25"/>
      <c r="AN287" s="25"/>
    </row>
    <row r="288" spans="1:40" ht="14.25" customHeight="1" x14ac:dyDescent="0.2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K288" s="25"/>
      <c r="AL288" s="25"/>
      <c r="AM288" s="25"/>
      <c r="AN288" s="25"/>
    </row>
    <row r="289" spans="1:40" ht="14.25" customHeight="1" x14ac:dyDescent="0.2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K289" s="25"/>
      <c r="AL289" s="25"/>
      <c r="AM289" s="25"/>
      <c r="AN289" s="25"/>
    </row>
    <row r="290" spans="1:40" ht="14.25" customHeight="1" x14ac:dyDescent="0.2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K290" s="25"/>
      <c r="AL290" s="25"/>
      <c r="AM290" s="25"/>
      <c r="AN290" s="25"/>
    </row>
    <row r="291" spans="1:40" ht="14.25" customHeight="1" x14ac:dyDescent="0.2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K291" s="25"/>
      <c r="AL291" s="25"/>
      <c r="AM291" s="25"/>
      <c r="AN291" s="25"/>
    </row>
    <row r="292" spans="1:40" ht="14.25" customHeight="1" x14ac:dyDescent="0.2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K292" s="25"/>
      <c r="AL292" s="25"/>
      <c r="AM292" s="25"/>
      <c r="AN292" s="25"/>
    </row>
    <row r="293" spans="1:40" ht="14.25" customHeight="1" x14ac:dyDescent="0.2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K293" s="25"/>
      <c r="AL293" s="25"/>
      <c r="AM293" s="25"/>
      <c r="AN293" s="25"/>
    </row>
    <row r="294" spans="1:40" ht="14.25" customHeight="1" x14ac:dyDescent="0.2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K294" s="25"/>
      <c r="AL294" s="25"/>
      <c r="AM294" s="25"/>
      <c r="AN294" s="25"/>
    </row>
    <row r="295" spans="1:40" ht="14.25" customHeight="1" x14ac:dyDescent="0.2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K295" s="25"/>
      <c r="AL295" s="25"/>
      <c r="AM295" s="25"/>
      <c r="AN295" s="25"/>
    </row>
    <row r="296" spans="1:40" ht="14.25" customHeight="1" x14ac:dyDescent="0.2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K296" s="25"/>
      <c r="AL296" s="25"/>
      <c r="AM296" s="25"/>
      <c r="AN296" s="25"/>
    </row>
    <row r="297" spans="1:40" ht="14.25" customHeight="1" x14ac:dyDescent="0.2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K297" s="25"/>
      <c r="AL297" s="25"/>
      <c r="AM297" s="25"/>
      <c r="AN297" s="25"/>
    </row>
    <row r="298" spans="1:40" ht="14.25" customHeight="1" x14ac:dyDescent="0.2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K298" s="25"/>
      <c r="AL298" s="25"/>
      <c r="AM298" s="25"/>
      <c r="AN298" s="25"/>
    </row>
    <row r="299" spans="1:40" ht="14.25" customHeight="1" x14ac:dyDescent="0.2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K299" s="25"/>
      <c r="AL299" s="25"/>
      <c r="AM299" s="25"/>
      <c r="AN299" s="25"/>
    </row>
    <row r="300" spans="1:40" ht="14.25" customHeight="1" x14ac:dyDescent="0.2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K300" s="25"/>
      <c r="AL300" s="25"/>
      <c r="AM300" s="25"/>
      <c r="AN300" s="25"/>
    </row>
    <row r="301" spans="1:40" ht="14.25" customHeight="1" x14ac:dyDescent="0.2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K301" s="25"/>
      <c r="AL301" s="25"/>
      <c r="AM301" s="25"/>
      <c r="AN301" s="25"/>
    </row>
    <row r="302" spans="1:40" ht="14.25" customHeight="1" x14ac:dyDescent="0.2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K302" s="25"/>
      <c r="AL302" s="25"/>
      <c r="AM302" s="25"/>
      <c r="AN302" s="25"/>
    </row>
    <row r="303" spans="1:40" ht="14.25" customHeight="1" x14ac:dyDescent="0.2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K303" s="25"/>
      <c r="AL303" s="25"/>
      <c r="AM303" s="25"/>
      <c r="AN303" s="25"/>
    </row>
    <row r="304" spans="1:40" ht="14.25" customHeight="1" x14ac:dyDescent="0.2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K304" s="25"/>
      <c r="AL304" s="25"/>
      <c r="AM304" s="25"/>
      <c r="AN304" s="25"/>
    </row>
    <row r="305" spans="1:40" ht="14.25" customHeight="1" x14ac:dyDescent="0.2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K305" s="25"/>
      <c r="AL305" s="25"/>
      <c r="AM305" s="25"/>
      <c r="AN305" s="25"/>
    </row>
    <row r="306" spans="1:40" ht="14.25" customHeight="1" x14ac:dyDescent="0.2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K306" s="25"/>
      <c r="AL306" s="25"/>
      <c r="AM306" s="25"/>
      <c r="AN306" s="25"/>
    </row>
    <row r="307" spans="1:40" ht="14.25" customHeight="1" x14ac:dyDescent="0.2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K307" s="25"/>
      <c r="AL307" s="25"/>
      <c r="AM307" s="25"/>
      <c r="AN307" s="25"/>
    </row>
    <row r="308" spans="1:40" ht="14.25" customHeight="1" x14ac:dyDescent="0.2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K308" s="25"/>
      <c r="AL308" s="25"/>
      <c r="AM308" s="25"/>
      <c r="AN308" s="25"/>
    </row>
    <row r="309" spans="1:40" ht="14.25" customHeight="1" x14ac:dyDescent="0.2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K309" s="25"/>
      <c r="AL309" s="25"/>
      <c r="AM309" s="25"/>
      <c r="AN309" s="25"/>
    </row>
    <row r="310" spans="1:40" ht="14.25" customHeight="1" x14ac:dyDescent="0.2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K310" s="25"/>
      <c r="AL310" s="25"/>
      <c r="AM310" s="25"/>
      <c r="AN310" s="25"/>
    </row>
    <row r="311" spans="1:40" ht="14.25" customHeight="1" x14ac:dyDescent="0.2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K311" s="25"/>
      <c r="AL311" s="25"/>
      <c r="AM311" s="25"/>
      <c r="AN311" s="25"/>
    </row>
    <row r="312" spans="1:40" ht="14.25" customHeight="1" x14ac:dyDescent="0.2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K312" s="25"/>
      <c r="AL312" s="25"/>
      <c r="AM312" s="25"/>
      <c r="AN312" s="25"/>
    </row>
    <row r="313" spans="1:40" ht="14.25" customHeight="1" x14ac:dyDescent="0.2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K313" s="25"/>
      <c r="AL313" s="25"/>
      <c r="AM313" s="25"/>
      <c r="AN313" s="25"/>
    </row>
    <row r="314" spans="1:40" ht="14.25" customHeight="1" x14ac:dyDescent="0.2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K314" s="25"/>
      <c r="AL314" s="25"/>
      <c r="AM314" s="25"/>
      <c r="AN314" s="25"/>
    </row>
    <row r="315" spans="1:40" ht="14.25" customHeight="1" x14ac:dyDescent="0.2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K315" s="25"/>
      <c r="AL315" s="25"/>
      <c r="AM315" s="25"/>
      <c r="AN315" s="25"/>
    </row>
    <row r="316" spans="1:40" ht="14.25" customHeight="1" x14ac:dyDescent="0.2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K316" s="25"/>
      <c r="AL316" s="25"/>
      <c r="AM316" s="25"/>
      <c r="AN316" s="25"/>
    </row>
    <row r="317" spans="1:40" ht="14.25" customHeight="1" x14ac:dyDescent="0.2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K317" s="25"/>
      <c r="AL317" s="25"/>
      <c r="AM317" s="25"/>
      <c r="AN317" s="25"/>
    </row>
    <row r="318" spans="1:40" ht="14.25" customHeight="1" x14ac:dyDescent="0.2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K318" s="25"/>
      <c r="AL318" s="25"/>
      <c r="AM318" s="25"/>
      <c r="AN318" s="25"/>
    </row>
    <row r="319" spans="1:40" ht="14.25" customHeight="1" x14ac:dyDescent="0.2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K319" s="25"/>
      <c r="AL319" s="25"/>
      <c r="AM319" s="25"/>
      <c r="AN319" s="25"/>
    </row>
    <row r="320" spans="1:40" ht="14.25" customHeight="1" x14ac:dyDescent="0.2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K320" s="25"/>
      <c r="AL320" s="25"/>
      <c r="AM320" s="25"/>
      <c r="AN320" s="25"/>
    </row>
    <row r="321" spans="1:40" ht="14.25" customHeight="1" x14ac:dyDescent="0.2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K321" s="25"/>
      <c r="AL321" s="25"/>
      <c r="AM321" s="25"/>
      <c r="AN321" s="25"/>
    </row>
    <row r="322" spans="1:40" ht="14.25" customHeight="1" x14ac:dyDescent="0.2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K322" s="25"/>
      <c r="AL322" s="25"/>
      <c r="AM322" s="25"/>
      <c r="AN322" s="25"/>
    </row>
    <row r="323" spans="1:40" ht="14.25" customHeight="1" x14ac:dyDescent="0.2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K323" s="25"/>
      <c r="AL323" s="25"/>
      <c r="AM323" s="25"/>
      <c r="AN323" s="25"/>
    </row>
    <row r="324" spans="1:40" ht="14.25" customHeight="1" x14ac:dyDescent="0.2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K324" s="25"/>
      <c r="AL324" s="25"/>
      <c r="AM324" s="25"/>
      <c r="AN324" s="25"/>
    </row>
    <row r="325" spans="1:40" ht="14.25" customHeight="1" x14ac:dyDescent="0.2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K325" s="25"/>
      <c r="AL325" s="25"/>
      <c r="AM325" s="25"/>
      <c r="AN325" s="25"/>
    </row>
    <row r="326" spans="1:40" ht="14.25" customHeight="1" x14ac:dyDescent="0.2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K326" s="25"/>
      <c r="AL326" s="25"/>
      <c r="AM326" s="25"/>
      <c r="AN326" s="25"/>
    </row>
    <row r="327" spans="1:40" ht="14.25" customHeight="1" x14ac:dyDescent="0.2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K327" s="25"/>
      <c r="AL327" s="25"/>
      <c r="AM327" s="25"/>
      <c r="AN327" s="25"/>
    </row>
    <row r="328" spans="1:40" ht="14.25" customHeight="1" x14ac:dyDescent="0.2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K328" s="25"/>
      <c r="AL328" s="25"/>
      <c r="AM328" s="25"/>
      <c r="AN328" s="25"/>
    </row>
    <row r="329" spans="1:40" ht="14.25" customHeight="1" x14ac:dyDescent="0.2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K329" s="25"/>
      <c r="AL329" s="25"/>
      <c r="AM329" s="25"/>
      <c r="AN329" s="25"/>
    </row>
    <row r="330" spans="1:40" ht="14.25" customHeight="1" x14ac:dyDescent="0.2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K330" s="25"/>
      <c r="AL330" s="25"/>
      <c r="AM330" s="25"/>
      <c r="AN330" s="25"/>
    </row>
    <row r="331" spans="1:40" ht="14.25" customHeight="1" x14ac:dyDescent="0.2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K331" s="25"/>
      <c r="AL331" s="25"/>
      <c r="AM331" s="25"/>
      <c r="AN331" s="25"/>
    </row>
    <row r="332" spans="1:40" ht="14.25" customHeight="1" x14ac:dyDescent="0.2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K332" s="25"/>
      <c r="AL332" s="25"/>
      <c r="AM332" s="25"/>
      <c r="AN332" s="25"/>
    </row>
    <row r="333" spans="1:40" ht="14.25" customHeight="1" x14ac:dyDescent="0.2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K333" s="25"/>
      <c r="AL333" s="25"/>
      <c r="AM333" s="25"/>
      <c r="AN333" s="25"/>
    </row>
    <row r="334" spans="1:40" ht="14.25" customHeight="1" x14ac:dyDescent="0.2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K334" s="25"/>
      <c r="AL334" s="25"/>
      <c r="AM334" s="25"/>
      <c r="AN334" s="25"/>
    </row>
    <row r="335" spans="1:40" ht="14.25" customHeight="1" x14ac:dyDescent="0.2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K335" s="25"/>
      <c r="AL335" s="25"/>
      <c r="AM335" s="25"/>
      <c r="AN335" s="25"/>
    </row>
    <row r="336" spans="1:40" ht="14.25" customHeight="1" x14ac:dyDescent="0.2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K336" s="25"/>
      <c r="AL336" s="25"/>
      <c r="AM336" s="25"/>
      <c r="AN336" s="25"/>
    </row>
    <row r="337" spans="1:40" ht="14.25" customHeight="1" x14ac:dyDescent="0.2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K337" s="25"/>
      <c r="AL337" s="25"/>
      <c r="AM337" s="25"/>
      <c r="AN337" s="25"/>
    </row>
    <row r="338" spans="1:40" ht="14.25" customHeight="1" x14ac:dyDescent="0.2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K338" s="25"/>
      <c r="AL338" s="25"/>
      <c r="AM338" s="25"/>
      <c r="AN338" s="25"/>
    </row>
    <row r="339" spans="1:40" ht="14.25" customHeight="1" x14ac:dyDescent="0.2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K339" s="25"/>
      <c r="AL339" s="25"/>
      <c r="AM339" s="25"/>
      <c r="AN339" s="25"/>
    </row>
    <row r="340" spans="1:40" ht="14.25" customHeight="1" x14ac:dyDescent="0.2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K340" s="25"/>
      <c r="AL340" s="25"/>
      <c r="AM340" s="25"/>
      <c r="AN340" s="25"/>
    </row>
    <row r="341" spans="1:40" ht="14.25" customHeight="1" x14ac:dyDescent="0.2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K341" s="25"/>
      <c r="AL341" s="25"/>
      <c r="AM341" s="25"/>
      <c r="AN341" s="25"/>
    </row>
    <row r="342" spans="1:40" ht="14.25" customHeight="1" x14ac:dyDescent="0.2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K342" s="25"/>
      <c r="AL342" s="25"/>
      <c r="AM342" s="25"/>
      <c r="AN342" s="25"/>
    </row>
    <row r="343" spans="1:40" ht="14.25" customHeight="1" x14ac:dyDescent="0.2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K343" s="25"/>
      <c r="AL343" s="25"/>
      <c r="AM343" s="25"/>
      <c r="AN343" s="25"/>
    </row>
    <row r="344" spans="1:40" ht="14.25" customHeight="1" x14ac:dyDescent="0.2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K344" s="25"/>
      <c r="AL344" s="25"/>
      <c r="AM344" s="25"/>
      <c r="AN344" s="25"/>
    </row>
    <row r="345" spans="1:40" ht="14.25" customHeight="1" x14ac:dyDescent="0.2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K345" s="25"/>
      <c r="AL345" s="25"/>
      <c r="AM345" s="25"/>
      <c r="AN345" s="25"/>
    </row>
    <row r="346" spans="1:40" ht="14.25" customHeight="1" x14ac:dyDescent="0.2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K346" s="25"/>
      <c r="AL346" s="25"/>
      <c r="AM346" s="25"/>
      <c r="AN346" s="25"/>
    </row>
    <row r="347" spans="1:40" ht="14.25" customHeight="1" x14ac:dyDescent="0.2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K347" s="25"/>
      <c r="AL347" s="25"/>
      <c r="AM347" s="25"/>
      <c r="AN347" s="25"/>
    </row>
    <row r="348" spans="1:40" ht="14.25" customHeight="1" x14ac:dyDescent="0.2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K348" s="25"/>
      <c r="AL348" s="25"/>
      <c r="AM348" s="25"/>
      <c r="AN348" s="25"/>
    </row>
    <row r="349" spans="1:40" ht="14.25" customHeight="1" x14ac:dyDescent="0.2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K349" s="25"/>
      <c r="AL349" s="25"/>
      <c r="AM349" s="25"/>
      <c r="AN349" s="25"/>
    </row>
    <row r="350" spans="1:40" ht="14.25" customHeight="1" x14ac:dyDescent="0.2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K350" s="25"/>
      <c r="AL350" s="25"/>
      <c r="AM350" s="25"/>
      <c r="AN350" s="25"/>
    </row>
    <row r="351" spans="1:40" ht="14.25" customHeight="1" x14ac:dyDescent="0.2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K351" s="25"/>
      <c r="AL351" s="25"/>
      <c r="AM351" s="25"/>
      <c r="AN351" s="25"/>
    </row>
    <row r="352" spans="1:40" ht="14.25" customHeight="1" x14ac:dyDescent="0.2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K352" s="25"/>
      <c r="AL352" s="25"/>
      <c r="AM352" s="25"/>
      <c r="AN352" s="25"/>
    </row>
    <row r="353" spans="1:40" ht="14.25" customHeight="1" x14ac:dyDescent="0.2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K353" s="25"/>
      <c r="AL353" s="25"/>
      <c r="AM353" s="25"/>
      <c r="AN353" s="25"/>
    </row>
    <row r="354" spans="1:40" ht="14.25" customHeight="1" x14ac:dyDescent="0.2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K354" s="25"/>
      <c r="AL354" s="25"/>
      <c r="AM354" s="25"/>
      <c r="AN354" s="25"/>
    </row>
    <row r="355" spans="1:40" ht="14.25" customHeight="1" x14ac:dyDescent="0.2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K355" s="25"/>
      <c r="AL355" s="25"/>
      <c r="AM355" s="25"/>
      <c r="AN355" s="25"/>
    </row>
    <row r="356" spans="1:40" ht="14.25" customHeight="1" x14ac:dyDescent="0.2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K356" s="25"/>
      <c r="AL356" s="25"/>
      <c r="AM356" s="25"/>
      <c r="AN356" s="25"/>
    </row>
    <row r="357" spans="1:40" ht="14.25" customHeight="1" x14ac:dyDescent="0.2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K357" s="25"/>
      <c r="AL357" s="25"/>
      <c r="AM357" s="25"/>
      <c r="AN357" s="25"/>
    </row>
    <row r="358" spans="1:40" ht="14.25" customHeight="1" x14ac:dyDescent="0.2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K358" s="25"/>
      <c r="AL358" s="25"/>
      <c r="AM358" s="25"/>
      <c r="AN358" s="25"/>
    </row>
    <row r="359" spans="1:40" ht="14.25" customHeight="1" x14ac:dyDescent="0.2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K359" s="25"/>
      <c r="AL359" s="25"/>
      <c r="AM359" s="25"/>
      <c r="AN359" s="25"/>
    </row>
    <row r="360" spans="1:40" ht="14.25" customHeight="1" x14ac:dyDescent="0.2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K360" s="25"/>
      <c r="AL360" s="25"/>
      <c r="AM360" s="25"/>
      <c r="AN360" s="25"/>
    </row>
    <row r="361" spans="1:40" ht="14.25" customHeight="1" x14ac:dyDescent="0.2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K361" s="25"/>
      <c r="AL361" s="25"/>
      <c r="AM361" s="25"/>
      <c r="AN361" s="25"/>
    </row>
    <row r="362" spans="1:40" ht="14.25" customHeight="1" x14ac:dyDescent="0.2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K362" s="25"/>
      <c r="AL362" s="25"/>
      <c r="AM362" s="25"/>
      <c r="AN362" s="25"/>
    </row>
    <row r="363" spans="1:40" ht="14.25" customHeight="1" x14ac:dyDescent="0.2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K363" s="25"/>
      <c r="AL363" s="25"/>
      <c r="AM363" s="25"/>
      <c r="AN363" s="25"/>
    </row>
    <row r="364" spans="1:40" ht="14.25" customHeight="1" x14ac:dyDescent="0.2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K364" s="25"/>
      <c r="AL364" s="25"/>
      <c r="AM364" s="25"/>
      <c r="AN364" s="25"/>
    </row>
    <row r="365" spans="1:40" ht="14.25" customHeight="1" x14ac:dyDescent="0.2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K365" s="25"/>
      <c r="AL365" s="25"/>
      <c r="AM365" s="25"/>
      <c r="AN365" s="25"/>
    </row>
    <row r="366" spans="1:40" ht="14.25" customHeight="1" x14ac:dyDescent="0.2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K366" s="25"/>
      <c r="AL366" s="25"/>
      <c r="AM366" s="25"/>
      <c r="AN366" s="25"/>
    </row>
    <row r="367" spans="1:40" ht="14.25" customHeight="1" x14ac:dyDescent="0.2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K367" s="25"/>
      <c r="AL367" s="25"/>
      <c r="AM367" s="25"/>
      <c r="AN367" s="25"/>
    </row>
    <row r="368" spans="1:40" ht="14.25" customHeight="1" x14ac:dyDescent="0.2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K368" s="25"/>
      <c r="AL368" s="25"/>
      <c r="AM368" s="25"/>
      <c r="AN368" s="25"/>
    </row>
    <row r="369" spans="1:40" ht="14.25" customHeight="1" x14ac:dyDescent="0.2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K369" s="25"/>
      <c r="AL369" s="25"/>
      <c r="AM369" s="25"/>
      <c r="AN369" s="25"/>
    </row>
    <row r="370" spans="1:40" ht="14.25" customHeight="1" x14ac:dyDescent="0.2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K370" s="25"/>
      <c r="AL370" s="25"/>
      <c r="AM370" s="25"/>
      <c r="AN370" s="25"/>
    </row>
    <row r="371" spans="1:40" ht="14.25" customHeight="1" x14ac:dyDescent="0.2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K371" s="25"/>
      <c r="AL371" s="25"/>
      <c r="AM371" s="25"/>
      <c r="AN371" s="25"/>
    </row>
    <row r="372" spans="1:40" ht="14.25" customHeight="1" x14ac:dyDescent="0.2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K372" s="25"/>
      <c r="AL372" s="25"/>
      <c r="AM372" s="25"/>
      <c r="AN372" s="25"/>
    </row>
    <row r="373" spans="1:40" ht="14.25" customHeight="1" x14ac:dyDescent="0.2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K373" s="25"/>
      <c r="AL373" s="25"/>
      <c r="AM373" s="25"/>
      <c r="AN373" s="25"/>
    </row>
    <row r="374" spans="1:40" ht="14.25" customHeight="1" x14ac:dyDescent="0.2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K374" s="25"/>
      <c r="AL374" s="25"/>
      <c r="AM374" s="25"/>
      <c r="AN374" s="25"/>
    </row>
    <row r="375" spans="1:40" ht="14.25" customHeight="1" x14ac:dyDescent="0.2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K375" s="25"/>
      <c r="AL375" s="25"/>
      <c r="AM375" s="25"/>
      <c r="AN375" s="25"/>
    </row>
    <row r="376" spans="1:40" ht="14.25" customHeight="1" x14ac:dyDescent="0.2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K376" s="25"/>
      <c r="AL376" s="25"/>
      <c r="AM376" s="25"/>
      <c r="AN376" s="25"/>
    </row>
    <row r="377" spans="1:40" ht="14.25" customHeight="1" x14ac:dyDescent="0.2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K377" s="25"/>
      <c r="AL377" s="25"/>
      <c r="AM377" s="25"/>
      <c r="AN377" s="25"/>
    </row>
    <row r="378" spans="1:40" ht="14.25" customHeight="1" x14ac:dyDescent="0.2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K378" s="25"/>
      <c r="AL378" s="25"/>
      <c r="AM378" s="25"/>
      <c r="AN378" s="25"/>
    </row>
    <row r="379" spans="1:40" ht="14.25" customHeight="1" x14ac:dyDescent="0.2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K379" s="25"/>
      <c r="AL379" s="25"/>
      <c r="AM379" s="25"/>
      <c r="AN379" s="25"/>
    </row>
    <row r="380" spans="1:40" ht="14.25" customHeight="1" x14ac:dyDescent="0.2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K380" s="25"/>
      <c r="AL380" s="25"/>
      <c r="AM380" s="25"/>
      <c r="AN380" s="25"/>
    </row>
    <row r="381" spans="1:40" ht="14.25" customHeight="1" x14ac:dyDescent="0.2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K381" s="25"/>
      <c r="AL381" s="25"/>
      <c r="AM381" s="25"/>
      <c r="AN381" s="25"/>
    </row>
    <row r="382" spans="1:40" ht="14.25" customHeight="1" x14ac:dyDescent="0.2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K382" s="25"/>
      <c r="AL382" s="25"/>
      <c r="AM382" s="25"/>
      <c r="AN382" s="25"/>
    </row>
    <row r="383" spans="1:40" ht="14.25" customHeight="1" x14ac:dyDescent="0.2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K383" s="25"/>
      <c r="AL383" s="25"/>
      <c r="AM383" s="25"/>
      <c r="AN383" s="25"/>
    </row>
    <row r="384" spans="1:40" ht="14.25" customHeight="1" x14ac:dyDescent="0.2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K384" s="25"/>
      <c r="AL384" s="25"/>
      <c r="AM384" s="25"/>
      <c r="AN384" s="25"/>
    </row>
    <row r="385" spans="1:40" ht="14.25" customHeight="1" x14ac:dyDescent="0.2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K385" s="25"/>
      <c r="AL385" s="25"/>
      <c r="AM385" s="25"/>
      <c r="AN385" s="25"/>
    </row>
    <row r="386" spans="1:40" ht="14.25" customHeight="1" x14ac:dyDescent="0.2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K386" s="25"/>
      <c r="AL386" s="25"/>
      <c r="AM386" s="25"/>
      <c r="AN386" s="25"/>
    </row>
    <row r="387" spans="1:40" ht="14.25" customHeight="1" x14ac:dyDescent="0.2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K387" s="25"/>
      <c r="AL387" s="25"/>
      <c r="AM387" s="25"/>
      <c r="AN387" s="25"/>
    </row>
    <row r="388" spans="1:40" ht="14.25" customHeight="1" x14ac:dyDescent="0.2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K388" s="25"/>
      <c r="AL388" s="25"/>
      <c r="AM388" s="25"/>
      <c r="AN388" s="25"/>
    </row>
    <row r="389" spans="1:40" ht="14.25" customHeight="1" x14ac:dyDescent="0.2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K389" s="25"/>
      <c r="AL389" s="25"/>
      <c r="AM389" s="25"/>
      <c r="AN389" s="25"/>
    </row>
    <row r="390" spans="1:40" ht="14.25" customHeight="1" x14ac:dyDescent="0.2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K390" s="25"/>
      <c r="AL390" s="25"/>
      <c r="AM390" s="25"/>
      <c r="AN390" s="25"/>
    </row>
    <row r="391" spans="1:40" ht="14.25" customHeight="1" x14ac:dyDescent="0.2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K391" s="25"/>
      <c r="AL391" s="25"/>
      <c r="AM391" s="25"/>
      <c r="AN391" s="25"/>
    </row>
    <row r="392" spans="1:40" ht="14.25" customHeight="1" x14ac:dyDescent="0.2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K392" s="25"/>
      <c r="AL392" s="25"/>
      <c r="AM392" s="25"/>
      <c r="AN392" s="25"/>
    </row>
    <row r="393" spans="1:40" ht="14.25" customHeight="1" x14ac:dyDescent="0.2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K393" s="25"/>
      <c r="AL393" s="25"/>
      <c r="AM393" s="25"/>
      <c r="AN393" s="25"/>
    </row>
    <row r="394" spans="1:40" ht="14.25" customHeight="1" x14ac:dyDescent="0.2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K394" s="25"/>
      <c r="AL394" s="25"/>
      <c r="AM394" s="25"/>
      <c r="AN394" s="25"/>
    </row>
    <row r="395" spans="1:40" ht="14.25" customHeight="1" x14ac:dyDescent="0.2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K395" s="25"/>
      <c r="AL395" s="25"/>
      <c r="AM395" s="25"/>
      <c r="AN395" s="25"/>
    </row>
    <row r="396" spans="1:40" ht="14.25" customHeight="1" x14ac:dyDescent="0.2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K396" s="25"/>
      <c r="AL396" s="25"/>
      <c r="AM396" s="25"/>
      <c r="AN396" s="25"/>
    </row>
    <row r="397" spans="1:40" ht="14.25" customHeight="1" x14ac:dyDescent="0.2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K397" s="25"/>
      <c r="AL397" s="25"/>
      <c r="AM397" s="25"/>
      <c r="AN397" s="25"/>
    </row>
    <row r="398" spans="1:40" ht="14.25" customHeight="1" x14ac:dyDescent="0.2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K398" s="25"/>
      <c r="AL398" s="25"/>
      <c r="AM398" s="25"/>
      <c r="AN398" s="25"/>
    </row>
    <row r="399" spans="1:40" ht="14.25" customHeight="1" x14ac:dyDescent="0.2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K399" s="25"/>
      <c r="AL399" s="25"/>
      <c r="AM399" s="25"/>
      <c r="AN399" s="25"/>
    </row>
    <row r="400" spans="1:40" ht="14.25" customHeight="1" x14ac:dyDescent="0.2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K400" s="25"/>
      <c r="AL400" s="25"/>
      <c r="AM400" s="25"/>
      <c r="AN400" s="25"/>
    </row>
    <row r="401" spans="1:40" ht="14.25" customHeight="1" x14ac:dyDescent="0.2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K401" s="25"/>
      <c r="AL401" s="25"/>
      <c r="AM401" s="25"/>
      <c r="AN401" s="25"/>
    </row>
    <row r="402" spans="1:40" ht="14.25" customHeight="1" x14ac:dyDescent="0.2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K402" s="25"/>
      <c r="AL402" s="25"/>
      <c r="AM402" s="25"/>
      <c r="AN402" s="25"/>
    </row>
    <row r="403" spans="1:40" ht="14.25" customHeight="1" x14ac:dyDescent="0.2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K403" s="25"/>
      <c r="AL403" s="25"/>
      <c r="AM403" s="25"/>
      <c r="AN403" s="25"/>
    </row>
    <row r="404" spans="1:40" ht="14.25" customHeight="1" x14ac:dyDescent="0.2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K404" s="25"/>
      <c r="AL404" s="25"/>
      <c r="AM404" s="25"/>
      <c r="AN404" s="25"/>
    </row>
    <row r="405" spans="1:40" ht="14.25" customHeight="1" x14ac:dyDescent="0.2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K405" s="25"/>
      <c r="AL405" s="25"/>
      <c r="AM405" s="25"/>
      <c r="AN405" s="25"/>
    </row>
    <row r="406" spans="1:40" ht="14.25" customHeight="1" x14ac:dyDescent="0.2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K406" s="25"/>
      <c r="AL406" s="25"/>
      <c r="AM406" s="25"/>
      <c r="AN406" s="25"/>
    </row>
    <row r="407" spans="1:40" ht="14.25" customHeight="1" x14ac:dyDescent="0.2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K407" s="25"/>
      <c r="AL407" s="25"/>
      <c r="AM407" s="25"/>
      <c r="AN407" s="25"/>
    </row>
    <row r="408" spans="1:40" ht="14.25" customHeight="1" x14ac:dyDescent="0.2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K408" s="25"/>
      <c r="AL408" s="25"/>
      <c r="AM408" s="25"/>
      <c r="AN408" s="25"/>
    </row>
    <row r="409" spans="1:40" ht="14.25" customHeight="1" x14ac:dyDescent="0.2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K409" s="25"/>
      <c r="AL409" s="25"/>
      <c r="AM409" s="25"/>
      <c r="AN409" s="25"/>
    </row>
    <row r="410" spans="1:40" ht="14.25" customHeight="1" x14ac:dyDescent="0.2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K410" s="25"/>
      <c r="AL410" s="25"/>
      <c r="AM410" s="25"/>
      <c r="AN410" s="25"/>
    </row>
    <row r="411" spans="1:40" ht="14.25" customHeight="1" x14ac:dyDescent="0.2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K411" s="25"/>
      <c r="AL411" s="25"/>
      <c r="AM411" s="25"/>
      <c r="AN411" s="25"/>
    </row>
    <row r="412" spans="1:40" ht="14.25" customHeight="1" x14ac:dyDescent="0.2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K412" s="25"/>
      <c r="AL412" s="25"/>
      <c r="AM412" s="25"/>
      <c r="AN412" s="25"/>
    </row>
    <row r="413" spans="1:40" ht="14.25" customHeight="1" x14ac:dyDescent="0.2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K413" s="25"/>
      <c r="AL413" s="25"/>
      <c r="AM413" s="25"/>
      <c r="AN413" s="25"/>
    </row>
    <row r="414" spans="1:40" ht="14.25" customHeight="1" x14ac:dyDescent="0.2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K414" s="25"/>
      <c r="AL414" s="25"/>
      <c r="AM414" s="25"/>
      <c r="AN414" s="25"/>
    </row>
    <row r="415" spans="1:40" ht="14.25" customHeight="1" x14ac:dyDescent="0.2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K415" s="25"/>
      <c r="AL415" s="25"/>
      <c r="AM415" s="25"/>
      <c r="AN415" s="25"/>
    </row>
    <row r="416" spans="1:40" ht="14.25" customHeight="1" x14ac:dyDescent="0.2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K416" s="25"/>
      <c r="AL416" s="25"/>
      <c r="AM416" s="25"/>
      <c r="AN416" s="25"/>
    </row>
    <row r="417" spans="1:40" ht="14.25" customHeight="1" x14ac:dyDescent="0.2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K417" s="25"/>
      <c r="AL417" s="25"/>
      <c r="AM417" s="25"/>
      <c r="AN417" s="25"/>
    </row>
    <row r="418" spans="1:40" ht="14.25" customHeight="1" x14ac:dyDescent="0.2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K418" s="25"/>
      <c r="AL418" s="25"/>
      <c r="AM418" s="25"/>
      <c r="AN418" s="25"/>
    </row>
    <row r="419" spans="1:40" ht="14.25" customHeight="1" x14ac:dyDescent="0.2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K419" s="25"/>
      <c r="AL419" s="25"/>
      <c r="AM419" s="25"/>
      <c r="AN419" s="25"/>
    </row>
    <row r="420" spans="1:40" ht="14.25" customHeight="1" x14ac:dyDescent="0.2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K420" s="25"/>
      <c r="AL420" s="25"/>
      <c r="AM420" s="25"/>
      <c r="AN420" s="25"/>
    </row>
    <row r="421" spans="1:40" ht="14.25" customHeight="1" x14ac:dyDescent="0.2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K421" s="25"/>
      <c r="AL421" s="25"/>
      <c r="AM421" s="25"/>
      <c r="AN421" s="25"/>
    </row>
    <row r="422" spans="1:40" ht="14.25" customHeight="1" x14ac:dyDescent="0.2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K422" s="25"/>
      <c r="AL422" s="25"/>
      <c r="AM422" s="25"/>
      <c r="AN422" s="25"/>
    </row>
    <row r="423" spans="1:40" ht="14.25" customHeight="1" x14ac:dyDescent="0.2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K423" s="25"/>
      <c r="AL423" s="25"/>
      <c r="AM423" s="25"/>
      <c r="AN423" s="25"/>
    </row>
    <row r="424" spans="1:40" ht="14.25" customHeight="1" x14ac:dyDescent="0.2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K424" s="25"/>
      <c r="AL424" s="25"/>
      <c r="AM424" s="25"/>
      <c r="AN424" s="25"/>
    </row>
    <row r="425" spans="1:40" ht="14.25" customHeight="1" x14ac:dyDescent="0.2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K425" s="25"/>
      <c r="AL425" s="25"/>
      <c r="AM425" s="25"/>
      <c r="AN425" s="25"/>
    </row>
    <row r="426" spans="1:40" ht="14.25" customHeight="1" x14ac:dyDescent="0.2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K426" s="25"/>
      <c r="AL426" s="25"/>
      <c r="AM426" s="25"/>
      <c r="AN426" s="25"/>
    </row>
    <row r="427" spans="1:40" ht="14.25" customHeight="1" x14ac:dyDescent="0.2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K427" s="25"/>
      <c r="AL427" s="25"/>
      <c r="AM427" s="25"/>
      <c r="AN427" s="25"/>
    </row>
    <row r="428" spans="1:40" ht="14.25" customHeight="1" x14ac:dyDescent="0.2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K428" s="25"/>
      <c r="AL428" s="25"/>
      <c r="AM428" s="25"/>
      <c r="AN428" s="25"/>
    </row>
    <row r="429" spans="1:40" ht="14.25" customHeight="1" x14ac:dyDescent="0.2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K429" s="25"/>
      <c r="AL429" s="25"/>
      <c r="AM429" s="25"/>
      <c r="AN429" s="25"/>
    </row>
    <row r="430" spans="1:40" ht="14.25" customHeight="1" x14ac:dyDescent="0.2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K430" s="25"/>
      <c r="AL430" s="25"/>
      <c r="AM430" s="25"/>
      <c r="AN430" s="25"/>
    </row>
    <row r="431" spans="1:40" ht="14.25" customHeight="1" x14ac:dyDescent="0.2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K431" s="25"/>
      <c r="AL431" s="25"/>
      <c r="AM431" s="25"/>
      <c r="AN431" s="25"/>
    </row>
    <row r="432" spans="1:40" ht="14.25" customHeight="1" x14ac:dyDescent="0.2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K432" s="25"/>
      <c r="AL432" s="25"/>
      <c r="AM432" s="25"/>
      <c r="AN432" s="25"/>
    </row>
    <row r="433" spans="1:40" ht="14.25" customHeight="1" x14ac:dyDescent="0.2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K433" s="25"/>
      <c r="AL433" s="25"/>
      <c r="AM433" s="25"/>
      <c r="AN433" s="25"/>
    </row>
    <row r="434" spans="1:40" ht="14.25" customHeight="1" x14ac:dyDescent="0.2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K434" s="25"/>
      <c r="AL434" s="25"/>
      <c r="AM434" s="25"/>
      <c r="AN434" s="25"/>
    </row>
    <row r="435" spans="1:40" ht="14.25" customHeight="1" x14ac:dyDescent="0.2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K435" s="25"/>
      <c r="AL435" s="25"/>
      <c r="AM435" s="25"/>
      <c r="AN435" s="25"/>
    </row>
    <row r="436" spans="1:40" ht="14.25" customHeight="1" x14ac:dyDescent="0.2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K436" s="25"/>
      <c r="AL436" s="25"/>
      <c r="AM436" s="25"/>
      <c r="AN436" s="25"/>
    </row>
    <row r="437" spans="1:40" ht="14.25" customHeight="1" x14ac:dyDescent="0.2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K437" s="25"/>
      <c r="AL437" s="25"/>
      <c r="AM437" s="25"/>
      <c r="AN437" s="25"/>
    </row>
    <row r="438" spans="1:40" ht="14.25" customHeight="1" x14ac:dyDescent="0.2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K438" s="25"/>
      <c r="AL438" s="25"/>
      <c r="AM438" s="25"/>
      <c r="AN438" s="25"/>
    </row>
    <row r="439" spans="1:40" ht="14.25" customHeight="1" x14ac:dyDescent="0.2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K439" s="25"/>
      <c r="AL439" s="25"/>
      <c r="AM439" s="25"/>
      <c r="AN439" s="25"/>
    </row>
    <row r="440" spans="1:40" ht="14.25" customHeight="1" x14ac:dyDescent="0.2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K440" s="25"/>
      <c r="AL440" s="25"/>
      <c r="AM440" s="25"/>
      <c r="AN440" s="25"/>
    </row>
    <row r="441" spans="1:40" ht="14.25" customHeight="1" x14ac:dyDescent="0.2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K441" s="25"/>
      <c r="AL441" s="25"/>
      <c r="AM441" s="25"/>
      <c r="AN441" s="25"/>
    </row>
    <row r="442" spans="1:40" ht="14.25" customHeight="1" x14ac:dyDescent="0.2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K442" s="25"/>
      <c r="AL442" s="25"/>
      <c r="AM442" s="25"/>
      <c r="AN442" s="25"/>
    </row>
    <row r="443" spans="1:40" ht="14.25" customHeight="1" x14ac:dyDescent="0.2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K443" s="25"/>
      <c r="AL443" s="25"/>
      <c r="AM443" s="25"/>
      <c r="AN443" s="25"/>
    </row>
    <row r="444" spans="1:40" ht="14.25" customHeight="1" x14ac:dyDescent="0.2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K444" s="25"/>
      <c r="AL444" s="25"/>
      <c r="AM444" s="25"/>
      <c r="AN444" s="25"/>
    </row>
    <row r="445" spans="1:40" ht="14.25" customHeight="1" x14ac:dyDescent="0.2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K445" s="25"/>
      <c r="AL445" s="25"/>
      <c r="AM445" s="25"/>
      <c r="AN445" s="25"/>
    </row>
    <row r="446" spans="1:40" ht="14.25" customHeight="1" x14ac:dyDescent="0.2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K446" s="25"/>
      <c r="AL446" s="25"/>
      <c r="AM446" s="25"/>
      <c r="AN446" s="25"/>
    </row>
    <row r="447" spans="1:40" ht="14.25" customHeight="1" x14ac:dyDescent="0.2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K447" s="25"/>
      <c r="AL447" s="25"/>
      <c r="AM447" s="25"/>
      <c r="AN447" s="25"/>
    </row>
    <row r="448" spans="1:40" ht="14.25" customHeight="1" x14ac:dyDescent="0.2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K448" s="25"/>
      <c r="AL448" s="25"/>
      <c r="AM448" s="25"/>
      <c r="AN448" s="25"/>
    </row>
    <row r="449" spans="1:40" ht="14.25" customHeight="1" x14ac:dyDescent="0.2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K449" s="25"/>
      <c r="AL449" s="25"/>
      <c r="AM449" s="25"/>
      <c r="AN449" s="25"/>
    </row>
    <row r="450" spans="1:40" ht="14.25" customHeight="1" x14ac:dyDescent="0.2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K450" s="25"/>
      <c r="AL450" s="25"/>
      <c r="AM450" s="25"/>
      <c r="AN450" s="25"/>
    </row>
    <row r="451" spans="1:40" ht="14.25" customHeight="1" x14ac:dyDescent="0.2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K451" s="25"/>
      <c r="AL451" s="25"/>
      <c r="AM451" s="25"/>
      <c r="AN451" s="25"/>
    </row>
    <row r="452" spans="1:40" ht="14.25" customHeight="1" x14ac:dyDescent="0.2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K452" s="25"/>
      <c r="AL452" s="25"/>
      <c r="AM452" s="25"/>
      <c r="AN452" s="25"/>
    </row>
    <row r="453" spans="1:40" ht="14.25" customHeight="1" x14ac:dyDescent="0.2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K453" s="25"/>
      <c r="AL453" s="25"/>
      <c r="AM453" s="25"/>
      <c r="AN453" s="25"/>
    </row>
    <row r="454" spans="1:40" ht="14.25" customHeight="1" x14ac:dyDescent="0.2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K454" s="25"/>
      <c r="AL454" s="25"/>
      <c r="AM454" s="25"/>
      <c r="AN454" s="25"/>
    </row>
    <row r="455" spans="1:40" ht="14.25" customHeight="1" x14ac:dyDescent="0.2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K455" s="25"/>
      <c r="AL455" s="25"/>
      <c r="AM455" s="25"/>
      <c r="AN455" s="25"/>
    </row>
    <row r="456" spans="1:40" ht="14.25" customHeight="1" x14ac:dyDescent="0.2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K456" s="25"/>
      <c r="AL456" s="25"/>
      <c r="AM456" s="25"/>
      <c r="AN456" s="25"/>
    </row>
    <row r="457" spans="1:40" ht="14.25" customHeight="1" x14ac:dyDescent="0.2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K457" s="25"/>
      <c r="AL457" s="25"/>
      <c r="AM457" s="25"/>
      <c r="AN457" s="25"/>
    </row>
    <row r="458" spans="1:40" ht="14.25" customHeight="1" x14ac:dyDescent="0.2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K458" s="25"/>
      <c r="AL458" s="25"/>
      <c r="AM458" s="25"/>
      <c r="AN458" s="25"/>
    </row>
    <row r="459" spans="1:40" ht="14.25" customHeight="1" x14ac:dyDescent="0.2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K459" s="25"/>
      <c r="AL459" s="25"/>
      <c r="AM459" s="25"/>
      <c r="AN459" s="25"/>
    </row>
    <row r="460" spans="1:40" ht="14.25" customHeight="1" x14ac:dyDescent="0.2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K460" s="25"/>
      <c r="AL460" s="25"/>
      <c r="AM460" s="25"/>
      <c r="AN460" s="25"/>
    </row>
    <row r="461" spans="1:40" ht="14.25" customHeight="1" x14ac:dyDescent="0.2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K461" s="25"/>
      <c r="AL461" s="25"/>
      <c r="AM461" s="25"/>
      <c r="AN461" s="25"/>
    </row>
    <row r="462" spans="1:40" ht="14.25" customHeight="1" x14ac:dyDescent="0.2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K462" s="25"/>
      <c r="AL462" s="25"/>
      <c r="AM462" s="25"/>
      <c r="AN462" s="25"/>
    </row>
    <row r="463" spans="1:40" ht="14.25" customHeight="1" x14ac:dyDescent="0.2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K463" s="25"/>
      <c r="AL463" s="25"/>
      <c r="AM463" s="25"/>
      <c r="AN463" s="25"/>
    </row>
    <row r="464" spans="1:40" ht="14.25" customHeight="1" x14ac:dyDescent="0.2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K464" s="25"/>
      <c r="AL464" s="25"/>
      <c r="AM464" s="25"/>
      <c r="AN464" s="25"/>
    </row>
    <row r="465" spans="1:40" ht="14.25" customHeight="1" x14ac:dyDescent="0.2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K465" s="25"/>
      <c r="AL465" s="25"/>
      <c r="AM465" s="25"/>
      <c r="AN465" s="25"/>
    </row>
    <row r="466" spans="1:40" ht="14.25" customHeight="1" x14ac:dyDescent="0.2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K466" s="25"/>
      <c r="AL466" s="25"/>
      <c r="AM466" s="25"/>
      <c r="AN466" s="25"/>
    </row>
    <row r="467" spans="1:40" ht="14.25" customHeight="1" x14ac:dyDescent="0.2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K467" s="25"/>
      <c r="AL467" s="25"/>
      <c r="AM467" s="25"/>
      <c r="AN467" s="25"/>
    </row>
    <row r="468" spans="1:40" ht="14.25" customHeight="1" x14ac:dyDescent="0.2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K468" s="25"/>
      <c r="AL468" s="25"/>
      <c r="AM468" s="25"/>
      <c r="AN468" s="25"/>
    </row>
    <row r="469" spans="1:40" ht="14.25" customHeight="1" x14ac:dyDescent="0.2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K469" s="25"/>
      <c r="AL469" s="25"/>
      <c r="AM469" s="25"/>
      <c r="AN469" s="25"/>
    </row>
    <row r="470" spans="1:40" ht="14.25" customHeight="1" x14ac:dyDescent="0.2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K470" s="25"/>
      <c r="AL470" s="25"/>
      <c r="AM470" s="25"/>
      <c r="AN470" s="25"/>
    </row>
    <row r="471" spans="1:40" ht="14.25" customHeight="1" x14ac:dyDescent="0.2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K471" s="25"/>
      <c r="AL471" s="25"/>
      <c r="AM471" s="25"/>
      <c r="AN471" s="25"/>
    </row>
    <row r="472" spans="1:40" ht="14.25" customHeight="1" x14ac:dyDescent="0.2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K472" s="25"/>
      <c r="AL472" s="25"/>
      <c r="AM472" s="25"/>
      <c r="AN472" s="25"/>
    </row>
    <row r="473" spans="1:40" ht="14.25" customHeight="1" x14ac:dyDescent="0.2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K473" s="25"/>
      <c r="AL473" s="25"/>
      <c r="AM473" s="25"/>
      <c r="AN473" s="25"/>
    </row>
    <row r="474" spans="1:40" ht="14.25" customHeight="1" x14ac:dyDescent="0.2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K474" s="25"/>
      <c r="AL474" s="25"/>
      <c r="AM474" s="25"/>
      <c r="AN474" s="25"/>
    </row>
    <row r="475" spans="1:40" ht="14.25" customHeight="1" x14ac:dyDescent="0.2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K475" s="25"/>
      <c r="AL475" s="25"/>
      <c r="AM475" s="25"/>
      <c r="AN475" s="25"/>
    </row>
    <row r="476" spans="1:40" ht="14.25" customHeight="1" x14ac:dyDescent="0.2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K476" s="25"/>
      <c r="AL476" s="25"/>
      <c r="AM476" s="25"/>
      <c r="AN476" s="25"/>
    </row>
    <row r="477" spans="1:40" ht="14.25" customHeight="1" x14ac:dyDescent="0.2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K477" s="25"/>
      <c r="AL477" s="25"/>
      <c r="AM477" s="25"/>
      <c r="AN477" s="25"/>
    </row>
    <row r="478" spans="1:40" ht="14.25" customHeight="1" x14ac:dyDescent="0.2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K478" s="25"/>
      <c r="AL478" s="25"/>
      <c r="AM478" s="25"/>
      <c r="AN478" s="25"/>
    </row>
    <row r="479" spans="1:40" ht="14.25" customHeight="1" x14ac:dyDescent="0.2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K479" s="25"/>
      <c r="AL479" s="25"/>
      <c r="AM479" s="25"/>
      <c r="AN479" s="25"/>
    </row>
    <row r="480" spans="1:40" ht="14.25" customHeight="1" x14ac:dyDescent="0.2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K480" s="25"/>
      <c r="AL480" s="25"/>
      <c r="AM480" s="25"/>
      <c r="AN480" s="25"/>
    </row>
    <row r="481" spans="1:40" ht="14.25" customHeight="1" x14ac:dyDescent="0.2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K481" s="25"/>
      <c r="AL481" s="25"/>
      <c r="AM481" s="25"/>
      <c r="AN481" s="25"/>
    </row>
    <row r="482" spans="1:40" ht="14.25" customHeight="1" x14ac:dyDescent="0.2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K482" s="25"/>
      <c r="AL482" s="25"/>
      <c r="AM482" s="25"/>
      <c r="AN482" s="25"/>
    </row>
    <row r="483" spans="1:40" ht="14.25" customHeight="1" x14ac:dyDescent="0.2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K483" s="25"/>
      <c r="AL483" s="25"/>
      <c r="AM483" s="25"/>
      <c r="AN483" s="25"/>
    </row>
    <row r="484" spans="1:40" ht="14.25" customHeight="1" x14ac:dyDescent="0.2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K484" s="25"/>
      <c r="AL484" s="25"/>
      <c r="AM484" s="25"/>
      <c r="AN484" s="25"/>
    </row>
    <row r="485" spans="1:40" ht="14.25" customHeight="1" x14ac:dyDescent="0.2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K485" s="25"/>
      <c r="AL485" s="25"/>
      <c r="AM485" s="25"/>
      <c r="AN485" s="25"/>
    </row>
    <row r="486" spans="1:40" ht="14.25" customHeight="1" x14ac:dyDescent="0.2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K486" s="25"/>
      <c r="AL486" s="25"/>
      <c r="AM486" s="25"/>
      <c r="AN486" s="25"/>
    </row>
    <row r="487" spans="1:40" ht="14.25" customHeight="1" x14ac:dyDescent="0.2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K487" s="25"/>
      <c r="AL487" s="25"/>
      <c r="AM487" s="25"/>
      <c r="AN487" s="25"/>
    </row>
    <row r="488" spans="1:40" ht="14.25" customHeight="1" x14ac:dyDescent="0.2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K488" s="25"/>
      <c r="AL488" s="25"/>
      <c r="AM488" s="25"/>
      <c r="AN488" s="25"/>
    </row>
    <row r="489" spans="1:40" ht="14.25" customHeight="1" x14ac:dyDescent="0.2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K489" s="25"/>
      <c r="AL489" s="25"/>
      <c r="AM489" s="25"/>
      <c r="AN489" s="25"/>
    </row>
    <row r="490" spans="1:40" ht="14.25" customHeight="1" x14ac:dyDescent="0.2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K490" s="25"/>
      <c r="AL490" s="25"/>
      <c r="AM490" s="25"/>
      <c r="AN490" s="25"/>
    </row>
    <row r="491" spans="1:40" ht="14.25" customHeight="1" x14ac:dyDescent="0.2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K491" s="25"/>
      <c r="AL491" s="25"/>
      <c r="AM491" s="25"/>
      <c r="AN491" s="25"/>
    </row>
    <row r="492" spans="1:40" ht="14.25" customHeight="1" x14ac:dyDescent="0.2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K492" s="25"/>
      <c r="AL492" s="25"/>
      <c r="AM492" s="25"/>
      <c r="AN492" s="25"/>
    </row>
    <row r="493" spans="1:40" ht="14.25" customHeight="1" x14ac:dyDescent="0.2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K493" s="25"/>
      <c r="AL493" s="25"/>
      <c r="AM493" s="25"/>
      <c r="AN493" s="25"/>
    </row>
    <row r="494" spans="1:40" ht="14.25" customHeight="1" x14ac:dyDescent="0.2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K494" s="25"/>
      <c r="AL494" s="25"/>
      <c r="AM494" s="25"/>
      <c r="AN494" s="25"/>
    </row>
    <row r="495" spans="1:40" ht="14.25" customHeight="1" x14ac:dyDescent="0.2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K495" s="25"/>
      <c r="AL495" s="25"/>
      <c r="AM495" s="25"/>
      <c r="AN495" s="25"/>
    </row>
    <row r="496" spans="1:40" ht="14.25" customHeight="1" x14ac:dyDescent="0.2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K496" s="25"/>
      <c r="AL496" s="25"/>
      <c r="AM496" s="25"/>
      <c r="AN496" s="25"/>
    </row>
    <row r="497" spans="1:40" ht="14.25" customHeight="1" x14ac:dyDescent="0.2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K497" s="25"/>
      <c r="AL497" s="25"/>
      <c r="AM497" s="25"/>
      <c r="AN497" s="25"/>
    </row>
    <row r="498" spans="1:40" ht="14.25" customHeight="1" x14ac:dyDescent="0.2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K498" s="25"/>
      <c r="AL498" s="25"/>
      <c r="AM498" s="25"/>
      <c r="AN498" s="25"/>
    </row>
    <row r="499" spans="1:40" ht="14.25" customHeight="1" x14ac:dyDescent="0.2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K499" s="25"/>
      <c r="AL499" s="25"/>
      <c r="AM499" s="25"/>
      <c r="AN499" s="25"/>
    </row>
    <row r="500" spans="1:40" ht="14.25" customHeight="1" x14ac:dyDescent="0.2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K500" s="25"/>
      <c r="AL500" s="25"/>
      <c r="AM500" s="25"/>
      <c r="AN500" s="25"/>
    </row>
    <row r="501" spans="1:40" ht="14.25" customHeight="1" x14ac:dyDescent="0.2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K501" s="25"/>
      <c r="AL501" s="25"/>
      <c r="AM501" s="25"/>
      <c r="AN501" s="25"/>
    </row>
    <row r="502" spans="1:40" ht="14.25" customHeight="1" x14ac:dyDescent="0.2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K502" s="25"/>
      <c r="AL502" s="25"/>
      <c r="AM502" s="25"/>
      <c r="AN502" s="25"/>
    </row>
    <row r="503" spans="1:40" ht="14.25" customHeight="1" x14ac:dyDescent="0.2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K503" s="25"/>
      <c r="AL503" s="25"/>
      <c r="AM503" s="25"/>
      <c r="AN503" s="25"/>
    </row>
    <row r="504" spans="1:40" ht="14.25" customHeight="1" x14ac:dyDescent="0.2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K504" s="25"/>
      <c r="AL504" s="25"/>
      <c r="AM504" s="25"/>
      <c r="AN504" s="25"/>
    </row>
    <row r="505" spans="1:40" ht="14.25" customHeight="1" x14ac:dyDescent="0.2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K505" s="25"/>
      <c r="AL505" s="25"/>
      <c r="AM505" s="25"/>
      <c r="AN505" s="25"/>
    </row>
    <row r="506" spans="1:40" ht="14.25" customHeight="1" x14ac:dyDescent="0.2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K506" s="25"/>
      <c r="AL506" s="25"/>
      <c r="AM506" s="25"/>
      <c r="AN506" s="25"/>
    </row>
    <row r="507" spans="1:40" ht="14.25" customHeight="1" x14ac:dyDescent="0.2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K507" s="25"/>
      <c r="AL507" s="25"/>
      <c r="AM507" s="25"/>
      <c r="AN507" s="25"/>
    </row>
    <row r="508" spans="1:40" ht="14.25" customHeight="1" x14ac:dyDescent="0.2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K508" s="25"/>
      <c r="AL508" s="25"/>
      <c r="AM508" s="25"/>
      <c r="AN508" s="25"/>
    </row>
    <row r="509" spans="1:40" ht="14.25" customHeight="1" x14ac:dyDescent="0.2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K509" s="25"/>
      <c r="AL509" s="25"/>
      <c r="AM509" s="25"/>
      <c r="AN509" s="25"/>
    </row>
    <row r="510" spans="1:40" ht="14.25" customHeight="1" x14ac:dyDescent="0.2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K510" s="25"/>
      <c r="AL510" s="25"/>
      <c r="AM510" s="25"/>
      <c r="AN510" s="25"/>
    </row>
    <row r="511" spans="1:40" ht="14.25" customHeight="1" x14ac:dyDescent="0.2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K511" s="25"/>
      <c r="AL511" s="25"/>
      <c r="AM511" s="25"/>
      <c r="AN511" s="25"/>
    </row>
    <row r="512" spans="1:40" ht="14.25" customHeight="1" x14ac:dyDescent="0.2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K512" s="25"/>
      <c r="AL512" s="25"/>
      <c r="AM512" s="25"/>
      <c r="AN512" s="25"/>
    </row>
    <row r="513" spans="1:40" ht="14.25" customHeight="1" x14ac:dyDescent="0.2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K513" s="25"/>
      <c r="AL513" s="25"/>
      <c r="AM513" s="25"/>
      <c r="AN513" s="25"/>
    </row>
    <row r="514" spans="1:40" ht="14.25" customHeight="1" x14ac:dyDescent="0.2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K514" s="25"/>
      <c r="AL514" s="25"/>
      <c r="AM514" s="25"/>
      <c r="AN514" s="25"/>
    </row>
    <row r="515" spans="1:40" ht="14.25" customHeight="1" x14ac:dyDescent="0.2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K515" s="25"/>
      <c r="AL515" s="25"/>
      <c r="AM515" s="25"/>
      <c r="AN515" s="25"/>
    </row>
    <row r="516" spans="1:40" ht="14.25" customHeight="1" x14ac:dyDescent="0.2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K516" s="25"/>
      <c r="AL516" s="25"/>
      <c r="AM516" s="25"/>
      <c r="AN516" s="25"/>
    </row>
    <row r="517" spans="1:40" ht="14.25" customHeight="1" x14ac:dyDescent="0.2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K517" s="25"/>
      <c r="AL517" s="25"/>
      <c r="AM517" s="25"/>
      <c r="AN517" s="25"/>
    </row>
    <row r="518" spans="1:40" ht="14.25" customHeight="1" x14ac:dyDescent="0.2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K518" s="25"/>
      <c r="AL518" s="25"/>
      <c r="AM518" s="25"/>
      <c r="AN518" s="25"/>
    </row>
    <row r="519" spans="1:40" ht="14.25" customHeight="1" x14ac:dyDescent="0.2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K519" s="25"/>
      <c r="AL519" s="25"/>
      <c r="AM519" s="25"/>
      <c r="AN519" s="25"/>
    </row>
    <row r="520" spans="1:40" ht="14.25" customHeight="1" x14ac:dyDescent="0.2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K520" s="25"/>
      <c r="AL520" s="25"/>
      <c r="AM520" s="25"/>
      <c r="AN520" s="25"/>
    </row>
    <row r="521" spans="1:40" ht="14.25" customHeight="1" x14ac:dyDescent="0.2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K521" s="25"/>
      <c r="AL521" s="25"/>
      <c r="AM521" s="25"/>
      <c r="AN521" s="25"/>
    </row>
    <row r="522" spans="1:40" ht="14.25" customHeight="1" x14ac:dyDescent="0.2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K522" s="25"/>
      <c r="AL522" s="25"/>
      <c r="AM522" s="25"/>
      <c r="AN522" s="25"/>
    </row>
    <row r="523" spans="1:40" ht="14.25" customHeight="1" x14ac:dyDescent="0.2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K523" s="25"/>
      <c r="AL523" s="25"/>
      <c r="AM523" s="25"/>
      <c r="AN523" s="25"/>
    </row>
    <row r="524" spans="1:40" ht="14.25" customHeight="1" x14ac:dyDescent="0.2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K524" s="25"/>
      <c r="AL524" s="25"/>
      <c r="AM524" s="25"/>
      <c r="AN524" s="25"/>
    </row>
    <row r="525" spans="1:40" ht="14.25" customHeight="1" x14ac:dyDescent="0.2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K525" s="25"/>
      <c r="AL525" s="25"/>
      <c r="AM525" s="25"/>
      <c r="AN525" s="25"/>
    </row>
    <row r="526" spans="1:40" ht="14.25" customHeight="1" x14ac:dyDescent="0.2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K526" s="25"/>
      <c r="AL526" s="25"/>
      <c r="AM526" s="25"/>
      <c r="AN526" s="25"/>
    </row>
    <row r="527" spans="1:40" ht="14.25" customHeight="1" x14ac:dyDescent="0.2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K527" s="25"/>
      <c r="AL527" s="25"/>
      <c r="AM527" s="25"/>
      <c r="AN527" s="25"/>
    </row>
    <row r="528" spans="1:40" ht="14.25" customHeight="1" x14ac:dyDescent="0.2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K528" s="25"/>
      <c r="AL528" s="25"/>
      <c r="AM528" s="25"/>
      <c r="AN528" s="25"/>
    </row>
    <row r="529" spans="1:40" ht="14.25" customHeight="1" x14ac:dyDescent="0.2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K529" s="25"/>
      <c r="AL529" s="25"/>
      <c r="AM529" s="25"/>
      <c r="AN529" s="25"/>
    </row>
    <row r="530" spans="1:40" ht="14.25" customHeight="1" x14ac:dyDescent="0.2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K530" s="25"/>
      <c r="AL530" s="25"/>
      <c r="AM530" s="25"/>
      <c r="AN530" s="25"/>
    </row>
    <row r="531" spans="1:40" ht="14.25" customHeight="1" x14ac:dyDescent="0.2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K531" s="25"/>
      <c r="AL531" s="25"/>
      <c r="AM531" s="25"/>
      <c r="AN531" s="25"/>
    </row>
    <row r="532" spans="1:40" ht="14.25" customHeight="1" x14ac:dyDescent="0.2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K532" s="25"/>
      <c r="AL532" s="25"/>
      <c r="AM532" s="25"/>
      <c r="AN532" s="25"/>
    </row>
    <row r="533" spans="1:40" ht="14.25" customHeight="1" x14ac:dyDescent="0.2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K533" s="25"/>
      <c r="AL533" s="25"/>
      <c r="AM533" s="25"/>
      <c r="AN533" s="25"/>
    </row>
    <row r="534" spans="1:40" ht="14.25" customHeight="1" x14ac:dyDescent="0.2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K534" s="25"/>
      <c r="AL534" s="25"/>
      <c r="AM534" s="25"/>
      <c r="AN534" s="25"/>
    </row>
    <row r="535" spans="1:40" ht="14.25" customHeight="1" x14ac:dyDescent="0.2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K535" s="25"/>
      <c r="AL535" s="25"/>
      <c r="AM535" s="25"/>
      <c r="AN535" s="25"/>
    </row>
    <row r="536" spans="1:40" ht="14.25" customHeight="1" x14ac:dyDescent="0.2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K536" s="25"/>
      <c r="AL536" s="25"/>
      <c r="AM536" s="25"/>
      <c r="AN536" s="25"/>
    </row>
    <row r="537" spans="1:40" ht="14.25" customHeight="1" x14ac:dyDescent="0.2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K537" s="25"/>
      <c r="AL537" s="25"/>
      <c r="AM537" s="25"/>
      <c r="AN537" s="25"/>
    </row>
    <row r="538" spans="1:40" ht="14.25" customHeight="1" x14ac:dyDescent="0.2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K538" s="25"/>
      <c r="AL538" s="25"/>
      <c r="AM538" s="25"/>
      <c r="AN538" s="25"/>
    </row>
    <row r="539" spans="1:40" ht="14.25" customHeight="1" x14ac:dyDescent="0.2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K539" s="25"/>
      <c r="AL539" s="25"/>
      <c r="AM539" s="25"/>
      <c r="AN539" s="25"/>
    </row>
    <row r="540" spans="1:40" ht="14.25" customHeight="1" x14ac:dyDescent="0.2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K540" s="25"/>
      <c r="AL540" s="25"/>
      <c r="AM540" s="25"/>
      <c r="AN540" s="25"/>
    </row>
    <row r="541" spans="1:40" ht="14.25" customHeight="1" x14ac:dyDescent="0.2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K541" s="25"/>
      <c r="AL541" s="25"/>
      <c r="AM541" s="25"/>
      <c r="AN541" s="25"/>
    </row>
    <row r="542" spans="1:40" ht="14.25" customHeight="1" x14ac:dyDescent="0.2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K542" s="25"/>
      <c r="AL542" s="25"/>
      <c r="AM542" s="25"/>
      <c r="AN542" s="25"/>
    </row>
    <row r="543" spans="1:40" ht="14.25" customHeight="1" x14ac:dyDescent="0.2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K543" s="25"/>
      <c r="AL543" s="25"/>
      <c r="AM543" s="25"/>
      <c r="AN543" s="25"/>
    </row>
    <row r="544" spans="1:40" ht="14.25" customHeight="1" x14ac:dyDescent="0.2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K544" s="25"/>
      <c r="AL544" s="25"/>
      <c r="AM544" s="25"/>
      <c r="AN544" s="25"/>
    </row>
    <row r="545" spans="1:40" ht="14.25" customHeight="1" x14ac:dyDescent="0.2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K545" s="25"/>
      <c r="AL545" s="25"/>
      <c r="AM545" s="25"/>
      <c r="AN545" s="25"/>
    </row>
    <row r="546" spans="1:40" ht="14.25" customHeight="1" x14ac:dyDescent="0.2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K546" s="25"/>
      <c r="AL546" s="25"/>
      <c r="AM546" s="25"/>
      <c r="AN546" s="25"/>
    </row>
    <row r="547" spans="1:40" ht="14.25" customHeight="1" x14ac:dyDescent="0.2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K547" s="25"/>
      <c r="AL547" s="25"/>
      <c r="AM547" s="25"/>
      <c r="AN547" s="25"/>
    </row>
    <row r="548" spans="1:40" ht="14.25" customHeight="1" x14ac:dyDescent="0.2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K548" s="25"/>
      <c r="AL548" s="25"/>
      <c r="AM548" s="25"/>
      <c r="AN548" s="25"/>
    </row>
    <row r="549" spans="1:40" ht="14.25" customHeight="1" x14ac:dyDescent="0.2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K549" s="25"/>
      <c r="AL549" s="25"/>
      <c r="AM549" s="25"/>
      <c r="AN549" s="25"/>
    </row>
    <row r="550" spans="1:40" ht="14.25" customHeight="1" x14ac:dyDescent="0.2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K550" s="25"/>
      <c r="AL550" s="25"/>
      <c r="AM550" s="25"/>
      <c r="AN550" s="25"/>
    </row>
    <row r="551" spans="1:40" ht="14.25" customHeight="1" x14ac:dyDescent="0.2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K551" s="25"/>
      <c r="AL551" s="25"/>
      <c r="AM551" s="25"/>
      <c r="AN551" s="25"/>
    </row>
    <row r="552" spans="1:40" ht="14.25" customHeight="1" x14ac:dyDescent="0.2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K552" s="25"/>
      <c r="AL552" s="25"/>
      <c r="AM552" s="25"/>
      <c r="AN552" s="25"/>
    </row>
    <row r="553" spans="1:40" ht="14.25" customHeight="1" x14ac:dyDescent="0.2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K553" s="25"/>
      <c r="AL553" s="25"/>
      <c r="AM553" s="25"/>
      <c r="AN553" s="25"/>
    </row>
    <row r="554" spans="1:40" ht="14.25" customHeight="1" x14ac:dyDescent="0.2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K554" s="25"/>
      <c r="AL554" s="25"/>
      <c r="AM554" s="25"/>
      <c r="AN554" s="25"/>
    </row>
    <row r="555" spans="1:40" ht="14.25" customHeight="1" x14ac:dyDescent="0.2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K555" s="25"/>
      <c r="AL555" s="25"/>
      <c r="AM555" s="25"/>
      <c r="AN555" s="25"/>
    </row>
    <row r="556" spans="1:40" ht="14.25" customHeight="1" x14ac:dyDescent="0.2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K556" s="25"/>
      <c r="AL556" s="25"/>
      <c r="AM556" s="25"/>
      <c r="AN556" s="25"/>
    </row>
    <row r="557" spans="1:40" ht="14.25" customHeight="1" x14ac:dyDescent="0.2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K557" s="25"/>
      <c r="AL557" s="25"/>
      <c r="AM557" s="25"/>
      <c r="AN557" s="25"/>
    </row>
    <row r="558" spans="1:40" ht="14.25" customHeight="1" x14ac:dyDescent="0.2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K558" s="25"/>
      <c r="AL558" s="25"/>
      <c r="AM558" s="25"/>
      <c r="AN558" s="25"/>
    </row>
    <row r="559" spans="1:40" ht="14.25" customHeight="1" x14ac:dyDescent="0.2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K559" s="25"/>
      <c r="AL559" s="25"/>
      <c r="AM559" s="25"/>
      <c r="AN559" s="25"/>
    </row>
    <row r="560" spans="1:40" ht="14.25" customHeight="1" x14ac:dyDescent="0.2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K560" s="25"/>
      <c r="AL560" s="25"/>
      <c r="AM560" s="25"/>
      <c r="AN560" s="25"/>
    </row>
    <row r="561" spans="1:40" ht="14.25" customHeight="1" x14ac:dyDescent="0.2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K561" s="25"/>
      <c r="AL561" s="25"/>
      <c r="AM561" s="25"/>
      <c r="AN561" s="25"/>
    </row>
    <row r="562" spans="1:40" ht="14.25" customHeight="1" x14ac:dyDescent="0.2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K562" s="25"/>
      <c r="AL562" s="25"/>
      <c r="AM562" s="25"/>
      <c r="AN562" s="25"/>
    </row>
    <row r="563" spans="1:40" ht="14.25" customHeight="1" x14ac:dyDescent="0.2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K563" s="25"/>
      <c r="AL563" s="25"/>
      <c r="AM563" s="25"/>
      <c r="AN563" s="25"/>
    </row>
    <row r="564" spans="1:40" ht="14.25" customHeight="1" x14ac:dyDescent="0.2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K564" s="25"/>
      <c r="AL564" s="25"/>
      <c r="AM564" s="25"/>
      <c r="AN564" s="25"/>
    </row>
    <row r="565" spans="1:40" ht="14.25" customHeight="1" x14ac:dyDescent="0.2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K565" s="25"/>
      <c r="AL565" s="25"/>
      <c r="AM565" s="25"/>
      <c r="AN565" s="25"/>
    </row>
    <row r="566" spans="1:40" ht="14.25" customHeight="1" x14ac:dyDescent="0.2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K566" s="25"/>
      <c r="AL566" s="25"/>
      <c r="AM566" s="25"/>
      <c r="AN566" s="25"/>
    </row>
    <row r="567" spans="1:40" ht="14.25" customHeight="1" x14ac:dyDescent="0.2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K567" s="25"/>
      <c r="AL567" s="25"/>
      <c r="AM567" s="25"/>
      <c r="AN567" s="25"/>
    </row>
    <row r="568" spans="1:40" ht="14.25" customHeight="1" x14ac:dyDescent="0.2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K568" s="25"/>
      <c r="AL568" s="25"/>
      <c r="AM568" s="25"/>
      <c r="AN568" s="25"/>
    </row>
    <row r="569" spans="1:40" ht="14.25" customHeight="1" x14ac:dyDescent="0.2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K569" s="25"/>
      <c r="AL569" s="25"/>
      <c r="AM569" s="25"/>
      <c r="AN569" s="25"/>
    </row>
    <row r="570" spans="1:40" ht="14.25" customHeight="1" x14ac:dyDescent="0.2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K570" s="25"/>
      <c r="AL570" s="25"/>
      <c r="AM570" s="25"/>
      <c r="AN570" s="25"/>
    </row>
    <row r="571" spans="1:40" ht="14.25" customHeight="1" x14ac:dyDescent="0.2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K571" s="25"/>
      <c r="AL571" s="25"/>
      <c r="AM571" s="25"/>
      <c r="AN571" s="25"/>
    </row>
    <row r="572" spans="1:40" ht="14.25" customHeight="1" x14ac:dyDescent="0.2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K572" s="25"/>
      <c r="AL572" s="25"/>
      <c r="AM572" s="25"/>
      <c r="AN572" s="25"/>
    </row>
    <row r="573" spans="1:40" ht="14.25" customHeight="1" x14ac:dyDescent="0.2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K573" s="25"/>
      <c r="AL573" s="25"/>
      <c r="AM573" s="25"/>
      <c r="AN573" s="25"/>
    </row>
    <row r="574" spans="1:40" ht="14.25" customHeight="1" x14ac:dyDescent="0.2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K574" s="25"/>
      <c r="AL574" s="25"/>
      <c r="AM574" s="25"/>
      <c r="AN574" s="25"/>
    </row>
    <row r="575" spans="1:40" ht="14.25" customHeight="1" x14ac:dyDescent="0.2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K575" s="25"/>
      <c r="AL575" s="25"/>
      <c r="AM575" s="25"/>
      <c r="AN575" s="25"/>
    </row>
    <row r="576" spans="1:40" ht="14.25" customHeight="1" x14ac:dyDescent="0.2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K576" s="25"/>
      <c r="AL576" s="25"/>
      <c r="AM576" s="25"/>
      <c r="AN576" s="25"/>
    </row>
    <row r="577" spans="1:40" ht="14.25" customHeight="1" x14ac:dyDescent="0.2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  <c r="AK577" s="25"/>
      <c r="AL577" s="25"/>
      <c r="AM577" s="25"/>
      <c r="AN577" s="25"/>
    </row>
    <row r="578" spans="1:40" ht="14.25" customHeight="1" x14ac:dyDescent="0.2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K578" s="25"/>
      <c r="AL578" s="25"/>
      <c r="AM578" s="25"/>
      <c r="AN578" s="25"/>
    </row>
    <row r="579" spans="1:40" ht="14.25" customHeight="1" x14ac:dyDescent="0.2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K579" s="25"/>
      <c r="AL579" s="25"/>
      <c r="AM579" s="25"/>
      <c r="AN579" s="25"/>
    </row>
    <row r="580" spans="1:40" ht="14.25" customHeight="1" x14ac:dyDescent="0.2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K580" s="25"/>
      <c r="AL580" s="25"/>
      <c r="AM580" s="25"/>
      <c r="AN580" s="25"/>
    </row>
    <row r="581" spans="1:40" ht="14.25" customHeight="1" x14ac:dyDescent="0.2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  <c r="AK581" s="25"/>
      <c r="AL581" s="25"/>
      <c r="AM581" s="25"/>
      <c r="AN581" s="25"/>
    </row>
    <row r="582" spans="1:40" ht="14.25" customHeight="1" x14ac:dyDescent="0.2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K582" s="25"/>
      <c r="AL582" s="25"/>
      <c r="AM582" s="25"/>
      <c r="AN582" s="25"/>
    </row>
    <row r="583" spans="1:40" ht="14.25" customHeight="1" x14ac:dyDescent="0.2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K583" s="25"/>
      <c r="AL583" s="25"/>
      <c r="AM583" s="25"/>
      <c r="AN583" s="25"/>
    </row>
    <row r="584" spans="1:40" ht="14.25" customHeight="1" x14ac:dyDescent="0.2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K584" s="25"/>
      <c r="AL584" s="25"/>
      <c r="AM584" s="25"/>
      <c r="AN584" s="25"/>
    </row>
    <row r="585" spans="1:40" ht="14.25" customHeight="1" x14ac:dyDescent="0.2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K585" s="25"/>
      <c r="AL585" s="25"/>
      <c r="AM585" s="25"/>
      <c r="AN585" s="25"/>
    </row>
    <row r="586" spans="1:40" ht="14.25" customHeight="1" x14ac:dyDescent="0.2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K586" s="25"/>
      <c r="AL586" s="25"/>
      <c r="AM586" s="25"/>
      <c r="AN586" s="25"/>
    </row>
    <row r="587" spans="1:40" ht="14.25" customHeight="1" x14ac:dyDescent="0.2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K587" s="25"/>
      <c r="AL587" s="25"/>
      <c r="AM587" s="25"/>
      <c r="AN587" s="25"/>
    </row>
    <row r="588" spans="1:40" ht="14.25" customHeight="1" x14ac:dyDescent="0.2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K588" s="25"/>
      <c r="AL588" s="25"/>
      <c r="AM588" s="25"/>
      <c r="AN588" s="25"/>
    </row>
    <row r="589" spans="1:40" ht="14.25" customHeight="1" x14ac:dyDescent="0.2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K589" s="25"/>
      <c r="AL589" s="25"/>
      <c r="AM589" s="25"/>
      <c r="AN589" s="25"/>
    </row>
    <row r="590" spans="1:40" ht="14.25" customHeight="1" x14ac:dyDescent="0.2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K590" s="25"/>
      <c r="AL590" s="25"/>
      <c r="AM590" s="25"/>
      <c r="AN590" s="25"/>
    </row>
    <row r="591" spans="1:40" ht="14.25" customHeight="1" x14ac:dyDescent="0.2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K591" s="25"/>
      <c r="AL591" s="25"/>
      <c r="AM591" s="25"/>
      <c r="AN591" s="25"/>
    </row>
    <row r="592" spans="1:40" ht="14.25" customHeight="1" x14ac:dyDescent="0.2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K592" s="25"/>
      <c r="AL592" s="25"/>
      <c r="AM592" s="25"/>
      <c r="AN592" s="25"/>
    </row>
    <row r="593" spans="1:40" ht="14.25" customHeight="1" x14ac:dyDescent="0.2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  <c r="AK593" s="25"/>
      <c r="AL593" s="25"/>
      <c r="AM593" s="25"/>
      <c r="AN593" s="25"/>
    </row>
    <row r="594" spans="1:40" ht="14.25" customHeight="1" x14ac:dyDescent="0.2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K594" s="25"/>
      <c r="AL594" s="25"/>
      <c r="AM594" s="25"/>
      <c r="AN594" s="25"/>
    </row>
    <row r="595" spans="1:40" ht="14.25" customHeight="1" x14ac:dyDescent="0.2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  <c r="AK595" s="25"/>
      <c r="AL595" s="25"/>
      <c r="AM595" s="25"/>
      <c r="AN595" s="25"/>
    </row>
    <row r="596" spans="1:40" ht="14.25" customHeight="1" x14ac:dyDescent="0.2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K596" s="25"/>
      <c r="AL596" s="25"/>
      <c r="AM596" s="25"/>
      <c r="AN596" s="25"/>
    </row>
    <row r="597" spans="1:40" ht="14.25" customHeight="1" x14ac:dyDescent="0.2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K597" s="25"/>
      <c r="AL597" s="25"/>
      <c r="AM597" s="25"/>
      <c r="AN597" s="25"/>
    </row>
    <row r="598" spans="1:40" ht="14.25" customHeight="1" x14ac:dyDescent="0.2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K598" s="25"/>
      <c r="AL598" s="25"/>
      <c r="AM598" s="25"/>
      <c r="AN598" s="25"/>
    </row>
    <row r="599" spans="1:40" ht="14.25" customHeight="1" x14ac:dyDescent="0.2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  <c r="AK599" s="25"/>
      <c r="AL599" s="25"/>
      <c r="AM599" s="25"/>
      <c r="AN599" s="25"/>
    </row>
    <row r="600" spans="1:40" ht="14.25" customHeight="1" x14ac:dyDescent="0.2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K600" s="25"/>
      <c r="AL600" s="25"/>
      <c r="AM600" s="25"/>
      <c r="AN600" s="25"/>
    </row>
    <row r="601" spans="1:40" ht="14.25" customHeight="1" x14ac:dyDescent="0.2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  <c r="AK601" s="25"/>
      <c r="AL601" s="25"/>
      <c r="AM601" s="25"/>
      <c r="AN601" s="25"/>
    </row>
    <row r="602" spans="1:40" ht="14.25" customHeight="1" x14ac:dyDescent="0.2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K602" s="25"/>
      <c r="AL602" s="25"/>
      <c r="AM602" s="25"/>
      <c r="AN602" s="25"/>
    </row>
    <row r="603" spans="1:40" ht="14.25" customHeight="1" x14ac:dyDescent="0.2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  <c r="AK603" s="25"/>
      <c r="AL603" s="25"/>
      <c r="AM603" s="25"/>
      <c r="AN603" s="25"/>
    </row>
    <row r="604" spans="1:40" ht="14.25" customHeight="1" x14ac:dyDescent="0.2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K604" s="25"/>
      <c r="AL604" s="25"/>
      <c r="AM604" s="25"/>
      <c r="AN604" s="25"/>
    </row>
    <row r="605" spans="1:40" ht="14.25" customHeight="1" x14ac:dyDescent="0.2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  <c r="AK605" s="25"/>
      <c r="AL605" s="25"/>
      <c r="AM605" s="25"/>
      <c r="AN605" s="25"/>
    </row>
    <row r="606" spans="1:40" ht="14.25" customHeight="1" x14ac:dyDescent="0.2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K606" s="25"/>
      <c r="AL606" s="25"/>
      <c r="AM606" s="25"/>
      <c r="AN606" s="25"/>
    </row>
    <row r="607" spans="1:40" ht="14.25" customHeight="1" x14ac:dyDescent="0.2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  <c r="AK607" s="25"/>
      <c r="AL607" s="25"/>
      <c r="AM607" s="25"/>
      <c r="AN607" s="25"/>
    </row>
    <row r="608" spans="1:40" ht="14.25" customHeight="1" x14ac:dyDescent="0.2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K608" s="25"/>
      <c r="AL608" s="25"/>
      <c r="AM608" s="25"/>
      <c r="AN608" s="25"/>
    </row>
    <row r="609" spans="1:40" ht="14.25" customHeight="1" x14ac:dyDescent="0.2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  <c r="AK609" s="25"/>
      <c r="AL609" s="25"/>
      <c r="AM609" s="25"/>
      <c r="AN609" s="25"/>
    </row>
    <row r="610" spans="1:40" ht="14.25" customHeight="1" x14ac:dyDescent="0.2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  <c r="AK610" s="25"/>
      <c r="AL610" s="25"/>
      <c r="AM610" s="25"/>
      <c r="AN610" s="25"/>
    </row>
    <row r="611" spans="1:40" ht="14.25" customHeight="1" x14ac:dyDescent="0.2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K611" s="25"/>
      <c r="AL611" s="25"/>
      <c r="AM611" s="25"/>
      <c r="AN611" s="25"/>
    </row>
    <row r="612" spans="1:40" ht="14.25" customHeight="1" x14ac:dyDescent="0.2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  <c r="AK612" s="25"/>
      <c r="AL612" s="25"/>
      <c r="AM612" s="25"/>
      <c r="AN612" s="25"/>
    </row>
    <row r="613" spans="1:40" ht="14.25" customHeight="1" x14ac:dyDescent="0.2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  <c r="AK613" s="25"/>
      <c r="AL613" s="25"/>
      <c r="AM613" s="25"/>
      <c r="AN613" s="25"/>
    </row>
    <row r="614" spans="1:40" ht="14.25" customHeight="1" x14ac:dyDescent="0.2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K614" s="25"/>
      <c r="AL614" s="25"/>
      <c r="AM614" s="25"/>
      <c r="AN614" s="25"/>
    </row>
    <row r="615" spans="1:40" ht="14.25" customHeight="1" x14ac:dyDescent="0.2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K615" s="25"/>
      <c r="AL615" s="25"/>
      <c r="AM615" s="25"/>
      <c r="AN615" s="25"/>
    </row>
    <row r="616" spans="1:40" ht="14.25" customHeight="1" x14ac:dyDescent="0.2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K616" s="25"/>
      <c r="AL616" s="25"/>
      <c r="AM616" s="25"/>
      <c r="AN616" s="25"/>
    </row>
    <row r="617" spans="1:40" ht="14.25" customHeight="1" x14ac:dyDescent="0.2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K617" s="25"/>
      <c r="AL617" s="25"/>
      <c r="AM617" s="25"/>
      <c r="AN617" s="25"/>
    </row>
    <row r="618" spans="1:40" ht="14.25" customHeight="1" x14ac:dyDescent="0.2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K618" s="25"/>
      <c r="AL618" s="25"/>
      <c r="AM618" s="25"/>
      <c r="AN618" s="25"/>
    </row>
    <row r="619" spans="1:40" ht="14.25" customHeight="1" x14ac:dyDescent="0.2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  <c r="AK619" s="25"/>
      <c r="AL619" s="25"/>
      <c r="AM619" s="25"/>
      <c r="AN619" s="25"/>
    </row>
    <row r="620" spans="1:40" ht="14.25" customHeight="1" x14ac:dyDescent="0.2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K620" s="25"/>
      <c r="AL620" s="25"/>
      <c r="AM620" s="25"/>
      <c r="AN620" s="25"/>
    </row>
    <row r="621" spans="1:40" ht="14.25" customHeight="1" x14ac:dyDescent="0.2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K621" s="25"/>
      <c r="AL621" s="25"/>
      <c r="AM621" s="25"/>
      <c r="AN621" s="25"/>
    </row>
    <row r="622" spans="1:40" ht="14.25" customHeight="1" x14ac:dyDescent="0.2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K622" s="25"/>
      <c r="AL622" s="25"/>
      <c r="AM622" s="25"/>
      <c r="AN622" s="25"/>
    </row>
    <row r="623" spans="1:40" ht="14.25" customHeight="1" x14ac:dyDescent="0.2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  <c r="AK623" s="25"/>
      <c r="AL623" s="25"/>
      <c r="AM623" s="25"/>
      <c r="AN623" s="25"/>
    </row>
    <row r="624" spans="1:40" ht="14.25" customHeight="1" x14ac:dyDescent="0.2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  <c r="AK624" s="25"/>
      <c r="AL624" s="25"/>
      <c r="AM624" s="25"/>
      <c r="AN624" s="25"/>
    </row>
    <row r="625" spans="1:40" ht="14.25" customHeight="1" x14ac:dyDescent="0.2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  <c r="AK625" s="25"/>
      <c r="AL625" s="25"/>
      <c r="AM625" s="25"/>
      <c r="AN625" s="25"/>
    </row>
    <row r="626" spans="1:40" ht="14.25" customHeight="1" x14ac:dyDescent="0.2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K626" s="25"/>
      <c r="AL626" s="25"/>
      <c r="AM626" s="25"/>
      <c r="AN626" s="25"/>
    </row>
    <row r="627" spans="1:40" ht="14.25" customHeight="1" x14ac:dyDescent="0.2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  <c r="AK627" s="25"/>
      <c r="AL627" s="25"/>
      <c r="AM627" s="25"/>
      <c r="AN627" s="25"/>
    </row>
    <row r="628" spans="1:40" ht="14.25" customHeight="1" x14ac:dyDescent="0.2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K628" s="25"/>
      <c r="AL628" s="25"/>
      <c r="AM628" s="25"/>
      <c r="AN628" s="25"/>
    </row>
    <row r="629" spans="1:40" ht="14.25" customHeight="1" x14ac:dyDescent="0.2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  <c r="AK629" s="25"/>
      <c r="AL629" s="25"/>
      <c r="AM629" s="25"/>
      <c r="AN629" s="25"/>
    </row>
    <row r="630" spans="1:40" ht="14.25" customHeight="1" x14ac:dyDescent="0.2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  <c r="AK630" s="25"/>
      <c r="AL630" s="25"/>
      <c r="AM630" s="25"/>
      <c r="AN630" s="25"/>
    </row>
    <row r="631" spans="1:40" ht="14.25" customHeight="1" x14ac:dyDescent="0.2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  <c r="AD631" s="25"/>
      <c r="AK631" s="25"/>
      <c r="AL631" s="25"/>
      <c r="AM631" s="25"/>
      <c r="AN631" s="25"/>
    </row>
    <row r="632" spans="1:40" ht="14.25" customHeight="1" x14ac:dyDescent="0.2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5"/>
      <c r="AK632" s="25"/>
      <c r="AL632" s="25"/>
      <c r="AM632" s="25"/>
      <c r="AN632" s="25"/>
    </row>
    <row r="633" spans="1:40" ht="14.25" customHeight="1" x14ac:dyDescent="0.2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5"/>
      <c r="AK633" s="25"/>
      <c r="AL633" s="25"/>
      <c r="AM633" s="25"/>
      <c r="AN633" s="25"/>
    </row>
    <row r="634" spans="1:40" ht="14.25" customHeight="1" x14ac:dyDescent="0.2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  <c r="AK634" s="25"/>
      <c r="AL634" s="25"/>
      <c r="AM634" s="25"/>
      <c r="AN634" s="25"/>
    </row>
    <row r="635" spans="1:40" ht="14.25" customHeight="1" x14ac:dyDescent="0.2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  <c r="AD635" s="25"/>
      <c r="AK635" s="25"/>
      <c r="AL635" s="25"/>
      <c r="AM635" s="25"/>
      <c r="AN635" s="25"/>
    </row>
    <row r="636" spans="1:40" ht="14.25" customHeight="1" x14ac:dyDescent="0.2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5"/>
      <c r="AK636" s="25"/>
      <c r="AL636" s="25"/>
      <c r="AM636" s="25"/>
      <c r="AN636" s="25"/>
    </row>
    <row r="637" spans="1:40" ht="14.25" customHeight="1" x14ac:dyDescent="0.2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5"/>
      <c r="AK637" s="25"/>
      <c r="AL637" s="25"/>
      <c r="AM637" s="25"/>
      <c r="AN637" s="25"/>
    </row>
    <row r="638" spans="1:40" ht="14.25" customHeight="1" x14ac:dyDescent="0.2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  <c r="AK638" s="25"/>
      <c r="AL638" s="25"/>
      <c r="AM638" s="25"/>
      <c r="AN638" s="25"/>
    </row>
    <row r="639" spans="1:40" ht="14.25" customHeight="1" x14ac:dyDescent="0.2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  <c r="AK639" s="25"/>
      <c r="AL639" s="25"/>
      <c r="AM639" s="25"/>
      <c r="AN639" s="25"/>
    </row>
    <row r="640" spans="1:40" ht="14.25" customHeight="1" x14ac:dyDescent="0.2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  <c r="AK640" s="25"/>
      <c r="AL640" s="25"/>
      <c r="AM640" s="25"/>
      <c r="AN640" s="25"/>
    </row>
    <row r="641" spans="1:40" ht="14.25" customHeight="1" x14ac:dyDescent="0.2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5"/>
      <c r="AK641" s="25"/>
      <c r="AL641" s="25"/>
      <c r="AM641" s="25"/>
      <c r="AN641" s="25"/>
    </row>
    <row r="642" spans="1:40" ht="14.25" customHeight="1" x14ac:dyDescent="0.2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  <c r="AK642" s="25"/>
      <c r="AL642" s="25"/>
      <c r="AM642" s="25"/>
      <c r="AN642" s="25"/>
    </row>
    <row r="643" spans="1:40" ht="14.25" customHeight="1" x14ac:dyDescent="0.2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  <c r="AK643" s="25"/>
      <c r="AL643" s="25"/>
      <c r="AM643" s="25"/>
      <c r="AN643" s="25"/>
    </row>
    <row r="644" spans="1:40" ht="14.25" customHeight="1" x14ac:dyDescent="0.2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  <c r="AK644" s="25"/>
      <c r="AL644" s="25"/>
      <c r="AM644" s="25"/>
      <c r="AN644" s="25"/>
    </row>
    <row r="645" spans="1:40" ht="14.25" customHeight="1" x14ac:dyDescent="0.2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  <c r="AK645" s="25"/>
      <c r="AL645" s="25"/>
      <c r="AM645" s="25"/>
      <c r="AN645" s="25"/>
    </row>
    <row r="646" spans="1:40" ht="14.25" customHeight="1" x14ac:dyDescent="0.2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  <c r="AK646" s="25"/>
      <c r="AL646" s="25"/>
      <c r="AM646" s="25"/>
      <c r="AN646" s="25"/>
    </row>
    <row r="647" spans="1:40" ht="14.25" customHeight="1" x14ac:dyDescent="0.2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  <c r="AK647" s="25"/>
      <c r="AL647" s="25"/>
      <c r="AM647" s="25"/>
      <c r="AN647" s="25"/>
    </row>
    <row r="648" spans="1:40" ht="14.25" customHeight="1" x14ac:dyDescent="0.2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  <c r="AK648" s="25"/>
      <c r="AL648" s="25"/>
      <c r="AM648" s="25"/>
      <c r="AN648" s="25"/>
    </row>
    <row r="649" spans="1:40" ht="14.25" customHeight="1" x14ac:dyDescent="0.2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  <c r="AD649" s="25"/>
      <c r="AK649" s="25"/>
      <c r="AL649" s="25"/>
      <c r="AM649" s="25"/>
      <c r="AN649" s="25"/>
    </row>
    <row r="650" spans="1:40" ht="14.25" customHeight="1" x14ac:dyDescent="0.2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  <c r="AD650" s="25"/>
      <c r="AK650" s="25"/>
      <c r="AL650" s="25"/>
      <c r="AM650" s="25"/>
      <c r="AN650" s="25"/>
    </row>
    <row r="651" spans="1:40" ht="14.25" customHeight="1" x14ac:dyDescent="0.2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  <c r="AD651" s="25"/>
      <c r="AK651" s="25"/>
      <c r="AL651" s="25"/>
      <c r="AM651" s="25"/>
      <c r="AN651" s="25"/>
    </row>
    <row r="652" spans="1:40" ht="14.25" customHeight="1" x14ac:dyDescent="0.2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  <c r="AD652" s="25"/>
      <c r="AK652" s="25"/>
      <c r="AL652" s="25"/>
      <c r="AM652" s="25"/>
      <c r="AN652" s="25"/>
    </row>
    <row r="653" spans="1:40" ht="14.25" customHeight="1" x14ac:dyDescent="0.2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  <c r="AD653" s="25"/>
      <c r="AK653" s="25"/>
      <c r="AL653" s="25"/>
      <c r="AM653" s="25"/>
      <c r="AN653" s="25"/>
    </row>
    <row r="654" spans="1:40" ht="14.25" customHeight="1" x14ac:dyDescent="0.2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5"/>
      <c r="AK654" s="25"/>
      <c r="AL654" s="25"/>
      <c r="AM654" s="25"/>
      <c r="AN654" s="25"/>
    </row>
    <row r="655" spans="1:40" ht="14.25" customHeight="1" x14ac:dyDescent="0.2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  <c r="AD655" s="25"/>
      <c r="AK655" s="25"/>
      <c r="AL655" s="25"/>
      <c r="AM655" s="25"/>
      <c r="AN655" s="25"/>
    </row>
    <row r="656" spans="1:40" ht="14.25" customHeight="1" x14ac:dyDescent="0.2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  <c r="AD656" s="25"/>
      <c r="AK656" s="25"/>
      <c r="AL656" s="25"/>
      <c r="AM656" s="25"/>
      <c r="AN656" s="25"/>
    </row>
    <row r="657" spans="1:40" ht="14.25" customHeight="1" x14ac:dyDescent="0.2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  <c r="AD657" s="25"/>
      <c r="AK657" s="25"/>
      <c r="AL657" s="25"/>
      <c r="AM657" s="25"/>
      <c r="AN657" s="25"/>
    </row>
    <row r="658" spans="1:40" ht="14.25" customHeight="1" x14ac:dyDescent="0.2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  <c r="AK658" s="25"/>
      <c r="AL658" s="25"/>
      <c r="AM658" s="25"/>
      <c r="AN658" s="25"/>
    </row>
    <row r="659" spans="1:40" ht="14.25" customHeight="1" x14ac:dyDescent="0.2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  <c r="AD659" s="25"/>
      <c r="AK659" s="25"/>
      <c r="AL659" s="25"/>
      <c r="AM659" s="25"/>
      <c r="AN659" s="25"/>
    </row>
    <row r="660" spans="1:40" ht="14.25" customHeight="1" x14ac:dyDescent="0.2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  <c r="AD660" s="25"/>
      <c r="AK660" s="25"/>
      <c r="AL660" s="25"/>
      <c r="AM660" s="25"/>
      <c r="AN660" s="25"/>
    </row>
    <row r="661" spans="1:40" ht="14.25" customHeight="1" x14ac:dyDescent="0.2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  <c r="AD661" s="25"/>
      <c r="AK661" s="25"/>
      <c r="AL661" s="25"/>
      <c r="AM661" s="25"/>
      <c r="AN661" s="25"/>
    </row>
    <row r="662" spans="1:40" ht="14.25" customHeight="1" x14ac:dyDescent="0.2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  <c r="AD662" s="25"/>
      <c r="AK662" s="25"/>
      <c r="AL662" s="25"/>
      <c r="AM662" s="25"/>
      <c r="AN662" s="25"/>
    </row>
    <row r="663" spans="1:40" ht="14.25" customHeight="1" x14ac:dyDescent="0.2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  <c r="AK663" s="25"/>
      <c r="AL663" s="25"/>
      <c r="AM663" s="25"/>
      <c r="AN663" s="25"/>
    </row>
    <row r="664" spans="1:40" ht="14.25" customHeight="1" x14ac:dyDescent="0.2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  <c r="AK664" s="25"/>
      <c r="AL664" s="25"/>
      <c r="AM664" s="25"/>
      <c r="AN664" s="25"/>
    </row>
    <row r="665" spans="1:40" ht="14.25" customHeight="1" x14ac:dyDescent="0.2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  <c r="AK665" s="25"/>
      <c r="AL665" s="25"/>
      <c r="AM665" s="25"/>
      <c r="AN665" s="25"/>
    </row>
    <row r="666" spans="1:40" ht="14.25" customHeight="1" x14ac:dyDescent="0.2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  <c r="AK666" s="25"/>
      <c r="AL666" s="25"/>
      <c r="AM666" s="25"/>
      <c r="AN666" s="25"/>
    </row>
    <row r="667" spans="1:40" ht="14.25" customHeight="1" x14ac:dyDescent="0.2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  <c r="AK667" s="25"/>
      <c r="AL667" s="25"/>
      <c r="AM667" s="25"/>
      <c r="AN667" s="25"/>
    </row>
    <row r="668" spans="1:40" ht="14.25" customHeight="1" x14ac:dyDescent="0.2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  <c r="AK668" s="25"/>
      <c r="AL668" s="25"/>
      <c r="AM668" s="25"/>
      <c r="AN668" s="25"/>
    </row>
    <row r="669" spans="1:40" ht="14.25" customHeight="1" x14ac:dyDescent="0.2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  <c r="AK669" s="25"/>
      <c r="AL669" s="25"/>
      <c r="AM669" s="25"/>
      <c r="AN669" s="25"/>
    </row>
    <row r="670" spans="1:40" ht="14.25" customHeight="1" x14ac:dyDescent="0.2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  <c r="AD670" s="25"/>
      <c r="AK670" s="25"/>
      <c r="AL670" s="25"/>
      <c r="AM670" s="25"/>
      <c r="AN670" s="25"/>
    </row>
    <row r="671" spans="1:40" ht="14.25" customHeight="1" x14ac:dyDescent="0.2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  <c r="AD671" s="25"/>
      <c r="AK671" s="25"/>
      <c r="AL671" s="25"/>
      <c r="AM671" s="25"/>
      <c r="AN671" s="25"/>
    </row>
    <row r="672" spans="1:40" ht="14.25" customHeight="1" x14ac:dyDescent="0.2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  <c r="AD672" s="25"/>
      <c r="AK672" s="25"/>
      <c r="AL672" s="25"/>
      <c r="AM672" s="25"/>
      <c r="AN672" s="25"/>
    </row>
    <row r="673" spans="1:40" ht="14.25" customHeight="1" x14ac:dyDescent="0.2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  <c r="AD673" s="25"/>
      <c r="AK673" s="25"/>
      <c r="AL673" s="25"/>
      <c r="AM673" s="25"/>
      <c r="AN673" s="25"/>
    </row>
    <row r="674" spans="1:40" ht="14.25" customHeight="1" x14ac:dyDescent="0.2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  <c r="AD674" s="25"/>
      <c r="AK674" s="25"/>
      <c r="AL674" s="25"/>
      <c r="AM674" s="25"/>
      <c r="AN674" s="25"/>
    </row>
    <row r="675" spans="1:40" ht="14.25" customHeight="1" x14ac:dyDescent="0.2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  <c r="AD675" s="25"/>
      <c r="AK675" s="25"/>
      <c r="AL675" s="25"/>
      <c r="AM675" s="25"/>
      <c r="AN675" s="25"/>
    </row>
    <row r="676" spans="1:40" ht="14.25" customHeight="1" x14ac:dyDescent="0.2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  <c r="AD676" s="25"/>
      <c r="AK676" s="25"/>
      <c r="AL676" s="25"/>
      <c r="AM676" s="25"/>
      <c r="AN676" s="25"/>
    </row>
    <row r="677" spans="1:40" ht="14.25" customHeight="1" x14ac:dyDescent="0.2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  <c r="AD677" s="25"/>
      <c r="AK677" s="25"/>
      <c r="AL677" s="25"/>
      <c r="AM677" s="25"/>
      <c r="AN677" s="25"/>
    </row>
    <row r="678" spans="1:40" ht="14.25" customHeight="1" x14ac:dyDescent="0.2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  <c r="AD678" s="25"/>
      <c r="AK678" s="25"/>
      <c r="AL678" s="25"/>
      <c r="AM678" s="25"/>
      <c r="AN678" s="25"/>
    </row>
    <row r="679" spans="1:40" ht="14.25" customHeight="1" x14ac:dyDescent="0.2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  <c r="AD679" s="25"/>
      <c r="AK679" s="25"/>
      <c r="AL679" s="25"/>
      <c r="AM679" s="25"/>
      <c r="AN679" s="25"/>
    </row>
    <row r="680" spans="1:40" ht="14.25" customHeight="1" x14ac:dyDescent="0.2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  <c r="AD680" s="25"/>
      <c r="AK680" s="25"/>
      <c r="AL680" s="25"/>
      <c r="AM680" s="25"/>
      <c r="AN680" s="25"/>
    </row>
    <row r="681" spans="1:40" ht="14.25" customHeight="1" x14ac:dyDescent="0.2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  <c r="AD681" s="25"/>
      <c r="AK681" s="25"/>
      <c r="AL681" s="25"/>
      <c r="AM681" s="25"/>
      <c r="AN681" s="25"/>
    </row>
    <row r="682" spans="1:40" ht="14.25" customHeight="1" x14ac:dyDescent="0.2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  <c r="AD682" s="25"/>
      <c r="AK682" s="25"/>
      <c r="AL682" s="25"/>
      <c r="AM682" s="25"/>
      <c r="AN682" s="25"/>
    </row>
    <row r="683" spans="1:40" ht="14.25" customHeight="1" x14ac:dyDescent="0.2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  <c r="AD683" s="25"/>
      <c r="AK683" s="25"/>
      <c r="AL683" s="25"/>
      <c r="AM683" s="25"/>
      <c r="AN683" s="25"/>
    </row>
    <row r="684" spans="1:40" ht="14.25" customHeight="1" x14ac:dyDescent="0.2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  <c r="AD684" s="25"/>
      <c r="AK684" s="25"/>
      <c r="AL684" s="25"/>
      <c r="AM684" s="25"/>
      <c r="AN684" s="25"/>
    </row>
    <row r="685" spans="1:40" ht="14.25" customHeight="1" x14ac:dyDescent="0.2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  <c r="AD685" s="25"/>
      <c r="AK685" s="25"/>
      <c r="AL685" s="25"/>
      <c r="AM685" s="25"/>
      <c r="AN685" s="25"/>
    </row>
    <row r="686" spans="1:40" ht="14.25" customHeight="1" x14ac:dyDescent="0.2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  <c r="AD686" s="25"/>
      <c r="AK686" s="25"/>
      <c r="AL686" s="25"/>
      <c r="AM686" s="25"/>
      <c r="AN686" s="25"/>
    </row>
    <row r="687" spans="1:40" ht="14.25" customHeight="1" x14ac:dyDescent="0.2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  <c r="AD687" s="25"/>
      <c r="AK687" s="25"/>
      <c r="AL687" s="25"/>
      <c r="AM687" s="25"/>
      <c r="AN687" s="25"/>
    </row>
    <row r="688" spans="1:40" ht="14.25" customHeight="1" x14ac:dyDescent="0.2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  <c r="AD688" s="25"/>
      <c r="AK688" s="25"/>
      <c r="AL688" s="25"/>
      <c r="AM688" s="25"/>
      <c r="AN688" s="25"/>
    </row>
    <row r="689" spans="1:40" ht="14.25" customHeight="1" x14ac:dyDescent="0.2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  <c r="AD689" s="25"/>
      <c r="AK689" s="25"/>
      <c r="AL689" s="25"/>
      <c r="AM689" s="25"/>
      <c r="AN689" s="25"/>
    </row>
    <row r="690" spans="1:40" ht="14.25" customHeight="1" x14ac:dyDescent="0.2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5"/>
      <c r="AK690" s="25"/>
      <c r="AL690" s="25"/>
      <c r="AM690" s="25"/>
      <c r="AN690" s="25"/>
    </row>
    <row r="691" spans="1:40" ht="14.25" customHeight="1" x14ac:dyDescent="0.2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  <c r="AD691" s="25"/>
      <c r="AK691" s="25"/>
      <c r="AL691" s="25"/>
      <c r="AM691" s="25"/>
      <c r="AN691" s="25"/>
    </row>
    <row r="692" spans="1:40" ht="14.25" customHeight="1" x14ac:dyDescent="0.2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  <c r="AD692" s="25"/>
      <c r="AK692" s="25"/>
      <c r="AL692" s="25"/>
      <c r="AM692" s="25"/>
      <c r="AN692" s="25"/>
    </row>
    <row r="693" spans="1:40" ht="14.25" customHeight="1" x14ac:dyDescent="0.2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  <c r="AD693" s="25"/>
      <c r="AK693" s="25"/>
      <c r="AL693" s="25"/>
      <c r="AM693" s="25"/>
      <c r="AN693" s="25"/>
    </row>
    <row r="694" spans="1:40" ht="14.25" customHeight="1" x14ac:dyDescent="0.2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  <c r="AD694" s="25"/>
      <c r="AK694" s="25"/>
      <c r="AL694" s="25"/>
      <c r="AM694" s="25"/>
      <c r="AN694" s="25"/>
    </row>
    <row r="695" spans="1:40" ht="14.25" customHeight="1" x14ac:dyDescent="0.2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  <c r="AD695" s="25"/>
      <c r="AK695" s="25"/>
      <c r="AL695" s="25"/>
      <c r="AM695" s="25"/>
      <c r="AN695" s="25"/>
    </row>
    <row r="696" spans="1:40" ht="14.25" customHeight="1" x14ac:dyDescent="0.2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  <c r="AD696" s="25"/>
      <c r="AK696" s="25"/>
      <c r="AL696" s="25"/>
      <c r="AM696" s="25"/>
      <c r="AN696" s="25"/>
    </row>
    <row r="697" spans="1:40" ht="14.25" customHeight="1" x14ac:dyDescent="0.2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  <c r="AD697" s="25"/>
      <c r="AK697" s="25"/>
      <c r="AL697" s="25"/>
      <c r="AM697" s="25"/>
      <c r="AN697" s="25"/>
    </row>
    <row r="698" spans="1:40" ht="14.25" customHeight="1" x14ac:dyDescent="0.2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5"/>
      <c r="AK698" s="25"/>
      <c r="AL698" s="25"/>
      <c r="AM698" s="25"/>
      <c r="AN698" s="25"/>
    </row>
    <row r="699" spans="1:40" ht="14.25" customHeight="1" x14ac:dyDescent="0.2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  <c r="AD699" s="25"/>
      <c r="AK699" s="25"/>
      <c r="AL699" s="25"/>
      <c r="AM699" s="25"/>
      <c r="AN699" s="25"/>
    </row>
    <row r="700" spans="1:40" ht="14.25" customHeight="1" x14ac:dyDescent="0.2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5"/>
      <c r="AK700" s="25"/>
      <c r="AL700" s="25"/>
      <c r="AM700" s="25"/>
      <c r="AN700" s="25"/>
    </row>
    <row r="701" spans="1:40" ht="14.25" customHeight="1" x14ac:dyDescent="0.2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  <c r="AK701" s="25"/>
      <c r="AL701" s="25"/>
      <c r="AM701" s="25"/>
      <c r="AN701" s="25"/>
    </row>
    <row r="702" spans="1:40" ht="14.25" customHeight="1" x14ac:dyDescent="0.2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K702" s="25"/>
      <c r="AL702" s="25"/>
      <c r="AM702" s="25"/>
      <c r="AN702" s="25"/>
    </row>
    <row r="703" spans="1:40" ht="14.25" customHeight="1" x14ac:dyDescent="0.2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  <c r="AD703" s="25"/>
      <c r="AK703" s="25"/>
      <c r="AL703" s="25"/>
      <c r="AM703" s="25"/>
      <c r="AN703" s="25"/>
    </row>
    <row r="704" spans="1:40" ht="14.25" customHeight="1" x14ac:dyDescent="0.2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  <c r="AD704" s="25"/>
      <c r="AK704" s="25"/>
      <c r="AL704" s="25"/>
      <c r="AM704" s="25"/>
      <c r="AN704" s="25"/>
    </row>
    <row r="705" spans="1:40" ht="14.25" customHeight="1" x14ac:dyDescent="0.2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  <c r="AD705" s="25"/>
      <c r="AK705" s="25"/>
      <c r="AL705" s="25"/>
      <c r="AM705" s="25"/>
      <c r="AN705" s="25"/>
    </row>
    <row r="706" spans="1:40" ht="14.25" customHeight="1" x14ac:dyDescent="0.2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  <c r="AD706" s="25"/>
      <c r="AK706" s="25"/>
      <c r="AL706" s="25"/>
      <c r="AM706" s="25"/>
      <c r="AN706" s="25"/>
    </row>
    <row r="707" spans="1:40" ht="14.25" customHeight="1" x14ac:dyDescent="0.2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  <c r="AD707" s="25"/>
      <c r="AK707" s="25"/>
      <c r="AL707" s="25"/>
      <c r="AM707" s="25"/>
      <c r="AN707" s="25"/>
    </row>
    <row r="708" spans="1:40" ht="14.25" customHeight="1" x14ac:dyDescent="0.2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  <c r="AD708" s="25"/>
      <c r="AK708" s="25"/>
      <c r="AL708" s="25"/>
      <c r="AM708" s="25"/>
      <c r="AN708" s="25"/>
    </row>
    <row r="709" spans="1:40" ht="14.25" customHeight="1" x14ac:dyDescent="0.2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  <c r="AD709" s="25"/>
      <c r="AK709" s="25"/>
      <c r="AL709" s="25"/>
      <c r="AM709" s="25"/>
      <c r="AN709" s="25"/>
    </row>
    <row r="710" spans="1:40" ht="14.25" customHeight="1" x14ac:dyDescent="0.2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  <c r="AD710" s="25"/>
      <c r="AK710" s="25"/>
      <c r="AL710" s="25"/>
      <c r="AM710" s="25"/>
      <c r="AN710" s="25"/>
    </row>
    <row r="711" spans="1:40" ht="14.25" customHeight="1" x14ac:dyDescent="0.2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  <c r="AD711" s="25"/>
      <c r="AK711" s="25"/>
      <c r="AL711" s="25"/>
      <c r="AM711" s="25"/>
      <c r="AN711" s="25"/>
    </row>
    <row r="712" spans="1:40" ht="14.25" customHeight="1" x14ac:dyDescent="0.2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  <c r="AD712" s="25"/>
      <c r="AK712" s="25"/>
      <c r="AL712" s="25"/>
      <c r="AM712" s="25"/>
      <c r="AN712" s="25"/>
    </row>
    <row r="713" spans="1:40" ht="14.25" customHeight="1" x14ac:dyDescent="0.2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  <c r="AD713" s="25"/>
      <c r="AK713" s="25"/>
      <c r="AL713" s="25"/>
      <c r="AM713" s="25"/>
      <c r="AN713" s="25"/>
    </row>
    <row r="714" spans="1:40" ht="14.25" customHeight="1" x14ac:dyDescent="0.2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5"/>
      <c r="AK714" s="25"/>
      <c r="AL714" s="25"/>
      <c r="AM714" s="25"/>
      <c r="AN714" s="25"/>
    </row>
    <row r="715" spans="1:40" ht="14.25" customHeight="1" x14ac:dyDescent="0.2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  <c r="AD715" s="25"/>
      <c r="AK715" s="25"/>
      <c r="AL715" s="25"/>
      <c r="AM715" s="25"/>
      <c r="AN715" s="25"/>
    </row>
    <row r="716" spans="1:40" ht="14.25" customHeight="1" x14ac:dyDescent="0.2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  <c r="AD716" s="25"/>
      <c r="AK716" s="25"/>
      <c r="AL716" s="25"/>
      <c r="AM716" s="25"/>
      <c r="AN716" s="25"/>
    </row>
    <row r="717" spans="1:40" ht="14.25" customHeight="1" x14ac:dyDescent="0.2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  <c r="AD717" s="25"/>
      <c r="AK717" s="25"/>
      <c r="AL717" s="25"/>
      <c r="AM717" s="25"/>
      <c r="AN717" s="25"/>
    </row>
    <row r="718" spans="1:40" ht="14.25" customHeight="1" x14ac:dyDescent="0.2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  <c r="AD718" s="25"/>
      <c r="AK718" s="25"/>
      <c r="AL718" s="25"/>
      <c r="AM718" s="25"/>
      <c r="AN718" s="25"/>
    </row>
    <row r="719" spans="1:40" ht="14.25" customHeight="1" x14ac:dyDescent="0.2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  <c r="AD719" s="25"/>
      <c r="AK719" s="25"/>
      <c r="AL719" s="25"/>
      <c r="AM719" s="25"/>
      <c r="AN719" s="25"/>
    </row>
    <row r="720" spans="1:40" ht="14.25" customHeight="1" x14ac:dyDescent="0.2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  <c r="AD720" s="25"/>
      <c r="AK720" s="25"/>
      <c r="AL720" s="25"/>
      <c r="AM720" s="25"/>
      <c r="AN720" s="25"/>
    </row>
    <row r="721" spans="1:40" ht="14.25" customHeight="1" x14ac:dyDescent="0.2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  <c r="AD721" s="25"/>
      <c r="AK721" s="25"/>
      <c r="AL721" s="25"/>
      <c r="AM721" s="25"/>
      <c r="AN721" s="25"/>
    </row>
    <row r="722" spans="1:40" ht="14.25" customHeight="1" x14ac:dyDescent="0.2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  <c r="AD722" s="25"/>
      <c r="AK722" s="25"/>
      <c r="AL722" s="25"/>
      <c r="AM722" s="25"/>
      <c r="AN722" s="25"/>
    </row>
    <row r="723" spans="1:40" ht="14.25" customHeight="1" x14ac:dyDescent="0.2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  <c r="AD723" s="25"/>
      <c r="AK723" s="25"/>
      <c r="AL723" s="25"/>
      <c r="AM723" s="25"/>
      <c r="AN723" s="25"/>
    </row>
    <row r="724" spans="1:40" ht="14.25" customHeight="1" x14ac:dyDescent="0.2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  <c r="AD724" s="25"/>
      <c r="AK724" s="25"/>
      <c r="AL724" s="25"/>
      <c r="AM724" s="25"/>
      <c r="AN724" s="25"/>
    </row>
    <row r="725" spans="1:40" ht="14.25" customHeight="1" x14ac:dyDescent="0.2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  <c r="AD725" s="25"/>
      <c r="AK725" s="25"/>
      <c r="AL725" s="25"/>
      <c r="AM725" s="25"/>
      <c r="AN725" s="25"/>
    </row>
    <row r="726" spans="1:40" ht="14.25" customHeight="1" x14ac:dyDescent="0.2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  <c r="AK726" s="25"/>
      <c r="AL726" s="25"/>
      <c r="AM726" s="25"/>
      <c r="AN726" s="25"/>
    </row>
    <row r="727" spans="1:40" ht="14.25" customHeight="1" x14ac:dyDescent="0.2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  <c r="AK727" s="25"/>
      <c r="AL727" s="25"/>
      <c r="AM727" s="25"/>
      <c r="AN727" s="25"/>
    </row>
    <row r="728" spans="1:40" ht="14.25" customHeight="1" x14ac:dyDescent="0.2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  <c r="AK728" s="25"/>
      <c r="AL728" s="25"/>
      <c r="AM728" s="25"/>
      <c r="AN728" s="25"/>
    </row>
    <row r="729" spans="1:40" ht="14.25" customHeight="1" x14ac:dyDescent="0.2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  <c r="AK729" s="25"/>
      <c r="AL729" s="25"/>
      <c r="AM729" s="25"/>
      <c r="AN729" s="25"/>
    </row>
    <row r="730" spans="1:40" ht="14.25" customHeight="1" x14ac:dyDescent="0.2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  <c r="AK730" s="25"/>
      <c r="AL730" s="25"/>
      <c r="AM730" s="25"/>
      <c r="AN730" s="25"/>
    </row>
    <row r="731" spans="1:40" ht="14.25" customHeight="1" x14ac:dyDescent="0.2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  <c r="AK731" s="25"/>
      <c r="AL731" s="25"/>
      <c r="AM731" s="25"/>
      <c r="AN731" s="25"/>
    </row>
    <row r="732" spans="1:40" ht="14.25" customHeight="1" x14ac:dyDescent="0.2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  <c r="AK732" s="25"/>
      <c r="AL732" s="25"/>
      <c r="AM732" s="25"/>
      <c r="AN732" s="25"/>
    </row>
    <row r="733" spans="1:40" ht="14.25" customHeight="1" x14ac:dyDescent="0.2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  <c r="AD733" s="25"/>
      <c r="AK733" s="25"/>
      <c r="AL733" s="25"/>
      <c r="AM733" s="25"/>
      <c r="AN733" s="25"/>
    </row>
    <row r="734" spans="1:40" ht="14.25" customHeight="1" x14ac:dyDescent="0.2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  <c r="AD734" s="25"/>
      <c r="AK734" s="25"/>
      <c r="AL734" s="25"/>
      <c r="AM734" s="25"/>
      <c r="AN734" s="25"/>
    </row>
    <row r="735" spans="1:40" ht="14.25" customHeight="1" x14ac:dyDescent="0.2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  <c r="AD735" s="25"/>
      <c r="AK735" s="25"/>
      <c r="AL735" s="25"/>
      <c r="AM735" s="25"/>
      <c r="AN735" s="25"/>
    </row>
    <row r="736" spans="1:40" ht="14.25" customHeight="1" x14ac:dyDescent="0.2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  <c r="AD736" s="25"/>
      <c r="AK736" s="25"/>
      <c r="AL736" s="25"/>
      <c r="AM736" s="25"/>
      <c r="AN736" s="25"/>
    </row>
    <row r="737" spans="1:40" ht="14.25" customHeight="1" x14ac:dyDescent="0.2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  <c r="AD737" s="25"/>
      <c r="AK737" s="25"/>
      <c r="AL737" s="25"/>
      <c r="AM737" s="25"/>
      <c r="AN737" s="25"/>
    </row>
    <row r="738" spans="1:40" ht="14.25" customHeight="1" x14ac:dyDescent="0.2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  <c r="AD738" s="25"/>
      <c r="AK738" s="25"/>
      <c r="AL738" s="25"/>
      <c r="AM738" s="25"/>
      <c r="AN738" s="25"/>
    </row>
    <row r="739" spans="1:40" ht="14.25" customHeight="1" x14ac:dyDescent="0.2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  <c r="AD739" s="25"/>
      <c r="AK739" s="25"/>
      <c r="AL739" s="25"/>
      <c r="AM739" s="25"/>
      <c r="AN739" s="25"/>
    </row>
    <row r="740" spans="1:40" ht="14.25" customHeight="1" x14ac:dyDescent="0.2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  <c r="AD740" s="25"/>
      <c r="AK740" s="25"/>
      <c r="AL740" s="25"/>
      <c r="AM740" s="25"/>
      <c r="AN740" s="25"/>
    </row>
    <row r="741" spans="1:40" ht="14.25" customHeight="1" x14ac:dyDescent="0.2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  <c r="AD741" s="25"/>
      <c r="AK741" s="25"/>
      <c r="AL741" s="25"/>
      <c r="AM741" s="25"/>
      <c r="AN741" s="25"/>
    </row>
    <row r="742" spans="1:40" ht="14.25" customHeight="1" x14ac:dyDescent="0.2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  <c r="AD742" s="25"/>
      <c r="AK742" s="25"/>
      <c r="AL742" s="25"/>
      <c r="AM742" s="25"/>
      <c r="AN742" s="25"/>
    </row>
    <row r="743" spans="1:40" ht="14.25" customHeight="1" x14ac:dyDescent="0.2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  <c r="AD743" s="25"/>
      <c r="AK743" s="25"/>
      <c r="AL743" s="25"/>
      <c r="AM743" s="25"/>
      <c r="AN743" s="25"/>
    </row>
    <row r="744" spans="1:40" ht="14.25" customHeight="1" x14ac:dyDescent="0.2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  <c r="AD744" s="25"/>
      <c r="AK744" s="25"/>
      <c r="AL744" s="25"/>
      <c r="AM744" s="25"/>
      <c r="AN744" s="25"/>
    </row>
    <row r="745" spans="1:40" ht="14.25" customHeight="1" x14ac:dyDescent="0.2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  <c r="AD745" s="25"/>
      <c r="AK745" s="25"/>
      <c r="AL745" s="25"/>
      <c r="AM745" s="25"/>
      <c r="AN745" s="25"/>
    </row>
    <row r="746" spans="1:40" ht="14.25" customHeight="1" x14ac:dyDescent="0.2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  <c r="AD746" s="25"/>
      <c r="AK746" s="25"/>
      <c r="AL746" s="25"/>
      <c r="AM746" s="25"/>
      <c r="AN746" s="25"/>
    </row>
    <row r="747" spans="1:40" ht="14.25" customHeight="1" x14ac:dyDescent="0.2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  <c r="AK747" s="25"/>
      <c r="AL747" s="25"/>
      <c r="AM747" s="25"/>
      <c r="AN747" s="25"/>
    </row>
    <row r="748" spans="1:40" ht="14.25" customHeight="1" x14ac:dyDescent="0.2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  <c r="AK748" s="25"/>
      <c r="AL748" s="25"/>
      <c r="AM748" s="25"/>
      <c r="AN748" s="25"/>
    </row>
    <row r="749" spans="1:40" ht="14.25" customHeight="1" x14ac:dyDescent="0.2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  <c r="AK749" s="25"/>
      <c r="AL749" s="25"/>
      <c r="AM749" s="25"/>
      <c r="AN749" s="25"/>
    </row>
    <row r="750" spans="1:40" ht="14.25" customHeight="1" x14ac:dyDescent="0.2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  <c r="AK750" s="25"/>
      <c r="AL750" s="25"/>
      <c r="AM750" s="25"/>
      <c r="AN750" s="25"/>
    </row>
    <row r="751" spans="1:40" ht="14.25" customHeight="1" x14ac:dyDescent="0.2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  <c r="AK751" s="25"/>
      <c r="AL751" s="25"/>
      <c r="AM751" s="25"/>
      <c r="AN751" s="25"/>
    </row>
    <row r="752" spans="1:40" ht="14.25" customHeight="1" x14ac:dyDescent="0.2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  <c r="AK752" s="25"/>
      <c r="AL752" s="25"/>
      <c r="AM752" s="25"/>
      <c r="AN752" s="25"/>
    </row>
    <row r="753" spans="1:40" ht="14.25" customHeight="1" x14ac:dyDescent="0.2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  <c r="AK753" s="25"/>
      <c r="AL753" s="25"/>
      <c r="AM753" s="25"/>
      <c r="AN753" s="25"/>
    </row>
    <row r="754" spans="1:40" ht="14.25" customHeight="1" x14ac:dyDescent="0.2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  <c r="AD754" s="25"/>
      <c r="AK754" s="25"/>
      <c r="AL754" s="25"/>
      <c r="AM754" s="25"/>
      <c r="AN754" s="25"/>
    </row>
    <row r="755" spans="1:40" ht="14.25" customHeight="1" x14ac:dyDescent="0.2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  <c r="AD755" s="25"/>
      <c r="AK755" s="25"/>
      <c r="AL755" s="25"/>
      <c r="AM755" s="25"/>
      <c r="AN755" s="25"/>
    </row>
    <row r="756" spans="1:40" ht="14.25" customHeight="1" x14ac:dyDescent="0.2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  <c r="AD756" s="25"/>
      <c r="AK756" s="25"/>
      <c r="AL756" s="25"/>
      <c r="AM756" s="25"/>
      <c r="AN756" s="25"/>
    </row>
    <row r="757" spans="1:40" ht="14.25" customHeight="1" x14ac:dyDescent="0.2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  <c r="AD757" s="25"/>
      <c r="AK757" s="25"/>
      <c r="AL757" s="25"/>
      <c r="AM757" s="25"/>
      <c r="AN757" s="25"/>
    </row>
    <row r="758" spans="1:40" ht="14.25" customHeight="1" x14ac:dyDescent="0.2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  <c r="AD758" s="25"/>
      <c r="AK758" s="25"/>
      <c r="AL758" s="25"/>
      <c r="AM758" s="25"/>
      <c r="AN758" s="25"/>
    </row>
    <row r="759" spans="1:40" ht="14.25" customHeight="1" x14ac:dyDescent="0.2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  <c r="AD759" s="25"/>
      <c r="AK759" s="25"/>
      <c r="AL759" s="25"/>
      <c r="AM759" s="25"/>
      <c r="AN759" s="25"/>
    </row>
    <row r="760" spans="1:40" ht="14.25" customHeight="1" x14ac:dyDescent="0.2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  <c r="AD760" s="25"/>
      <c r="AK760" s="25"/>
      <c r="AL760" s="25"/>
      <c r="AM760" s="25"/>
      <c r="AN760" s="25"/>
    </row>
    <row r="761" spans="1:40" ht="14.25" customHeight="1" x14ac:dyDescent="0.2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  <c r="AD761" s="25"/>
      <c r="AK761" s="25"/>
      <c r="AL761" s="25"/>
      <c r="AM761" s="25"/>
      <c r="AN761" s="25"/>
    </row>
    <row r="762" spans="1:40" ht="14.25" customHeight="1" x14ac:dyDescent="0.2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  <c r="AD762" s="25"/>
      <c r="AK762" s="25"/>
      <c r="AL762" s="25"/>
      <c r="AM762" s="25"/>
      <c r="AN762" s="25"/>
    </row>
    <row r="763" spans="1:40" ht="14.25" customHeight="1" x14ac:dyDescent="0.2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  <c r="AD763" s="25"/>
      <c r="AK763" s="25"/>
      <c r="AL763" s="25"/>
      <c r="AM763" s="25"/>
      <c r="AN763" s="25"/>
    </row>
    <row r="764" spans="1:40" ht="14.25" customHeight="1" x14ac:dyDescent="0.2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  <c r="AD764" s="25"/>
      <c r="AK764" s="25"/>
      <c r="AL764" s="25"/>
      <c r="AM764" s="25"/>
      <c r="AN764" s="25"/>
    </row>
    <row r="765" spans="1:40" ht="14.25" customHeight="1" x14ac:dyDescent="0.2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  <c r="AD765" s="25"/>
      <c r="AK765" s="25"/>
      <c r="AL765" s="25"/>
      <c r="AM765" s="25"/>
      <c r="AN765" s="25"/>
    </row>
    <row r="766" spans="1:40" ht="14.25" customHeight="1" x14ac:dyDescent="0.2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  <c r="AD766" s="25"/>
      <c r="AK766" s="25"/>
      <c r="AL766" s="25"/>
      <c r="AM766" s="25"/>
      <c r="AN766" s="25"/>
    </row>
    <row r="767" spans="1:40" ht="14.25" customHeight="1" x14ac:dyDescent="0.2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  <c r="AD767" s="25"/>
      <c r="AK767" s="25"/>
      <c r="AL767" s="25"/>
      <c r="AM767" s="25"/>
      <c r="AN767" s="25"/>
    </row>
    <row r="768" spans="1:40" ht="14.25" customHeight="1" x14ac:dyDescent="0.2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  <c r="AK768" s="25"/>
      <c r="AL768" s="25"/>
      <c r="AM768" s="25"/>
      <c r="AN768" s="25"/>
    </row>
    <row r="769" spans="1:40" ht="14.25" customHeight="1" x14ac:dyDescent="0.2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  <c r="AK769" s="25"/>
      <c r="AL769" s="25"/>
      <c r="AM769" s="25"/>
      <c r="AN769" s="25"/>
    </row>
    <row r="770" spans="1:40" ht="14.25" customHeight="1" x14ac:dyDescent="0.2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  <c r="AK770" s="25"/>
      <c r="AL770" s="25"/>
      <c r="AM770" s="25"/>
      <c r="AN770" s="25"/>
    </row>
    <row r="771" spans="1:40" ht="14.25" customHeight="1" x14ac:dyDescent="0.2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  <c r="AK771" s="25"/>
      <c r="AL771" s="25"/>
      <c r="AM771" s="25"/>
      <c r="AN771" s="25"/>
    </row>
    <row r="772" spans="1:40" ht="14.25" customHeight="1" x14ac:dyDescent="0.2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  <c r="AK772" s="25"/>
      <c r="AL772" s="25"/>
      <c r="AM772" s="25"/>
      <c r="AN772" s="25"/>
    </row>
    <row r="773" spans="1:40" ht="14.25" customHeight="1" x14ac:dyDescent="0.2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  <c r="AK773" s="25"/>
      <c r="AL773" s="25"/>
      <c r="AM773" s="25"/>
      <c r="AN773" s="25"/>
    </row>
    <row r="774" spans="1:40" ht="14.25" customHeight="1" x14ac:dyDescent="0.2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  <c r="AK774" s="25"/>
      <c r="AL774" s="25"/>
      <c r="AM774" s="25"/>
      <c r="AN774" s="25"/>
    </row>
    <row r="775" spans="1:40" ht="14.25" customHeight="1" x14ac:dyDescent="0.2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  <c r="AD775" s="25"/>
      <c r="AK775" s="25"/>
      <c r="AL775" s="25"/>
      <c r="AM775" s="25"/>
      <c r="AN775" s="25"/>
    </row>
    <row r="776" spans="1:40" ht="14.25" customHeight="1" x14ac:dyDescent="0.2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  <c r="AD776" s="25"/>
      <c r="AK776" s="25"/>
      <c r="AL776" s="25"/>
      <c r="AM776" s="25"/>
      <c r="AN776" s="25"/>
    </row>
    <row r="777" spans="1:40" ht="14.25" customHeight="1" x14ac:dyDescent="0.2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  <c r="AD777" s="25"/>
      <c r="AK777" s="25"/>
      <c r="AL777" s="25"/>
      <c r="AM777" s="25"/>
      <c r="AN777" s="25"/>
    </row>
    <row r="778" spans="1:40" ht="14.25" customHeight="1" x14ac:dyDescent="0.2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  <c r="AD778" s="25"/>
      <c r="AK778" s="25"/>
      <c r="AL778" s="25"/>
      <c r="AM778" s="25"/>
      <c r="AN778" s="25"/>
    </row>
    <row r="779" spans="1:40" ht="14.25" customHeight="1" x14ac:dyDescent="0.2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  <c r="AD779" s="25"/>
      <c r="AK779" s="25"/>
      <c r="AL779" s="25"/>
      <c r="AM779" s="25"/>
      <c r="AN779" s="25"/>
    </row>
    <row r="780" spans="1:40" ht="14.25" customHeight="1" x14ac:dyDescent="0.2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  <c r="AD780" s="25"/>
      <c r="AK780" s="25"/>
      <c r="AL780" s="25"/>
      <c r="AM780" s="25"/>
      <c r="AN780" s="25"/>
    </row>
    <row r="781" spans="1:40" ht="14.25" customHeight="1" x14ac:dyDescent="0.2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  <c r="AD781" s="25"/>
      <c r="AK781" s="25"/>
      <c r="AL781" s="25"/>
      <c r="AM781" s="25"/>
      <c r="AN781" s="25"/>
    </row>
    <row r="782" spans="1:40" ht="14.25" customHeight="1" x14ac:dyDescent="0.2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  <c r="AD782" s="25"/>
      <c r="AK782" s="25"/>
      <c r="AL782" s="25"/>
      <c r="AM782" s="25"/>
      <c r="AN782" s="25"/>
    </row>
    <row r="783" spans="1:40" ht="14.25" customHeight="1" x14ac:dyDescent="0.2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  <c r="AD783" s="25"/>
      <c r="AK783" s="25"/>
      <c r="AL783" s="25"/>
      <c r="AM783" s="25"/>
      <c r="AN783" s="25"/>
    </row>
    <row r="784" spans="1:40" ht="14.25" customHeight="1" x14ac:dyDescent="0.2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  <c r="AD784" s="25"/>
      <c r="AK784" s="25"/>
      <c r="AL784" s="25"/>
      <c r="AM784" s="25"/>
      <c r="AN784" s="25"/>
    </row>
    <row r="785" spans="1:40" ht="14.25" customHeight="1" x14ac:dyDescent="0.2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  <c r="AD785" s="25"/>
      <c r="AK785" s="25"/>
      <c r="AL785" s="25"/>
      <c r="AM785" s="25"/>
      <c r="AN785" s="25"/>
    </row>
    <row r="786" spans="1:40" ht="14.25" customHeight="1" x14ac:dyDescent="0.2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  <c r="AD786" s="25"/>
      <c r="AK786" s="25"/>
      <c r="AL786" s="25"/>
      <c r="AM786" s="25"/>
      <c r="AN786" s="25"/>
    </row>
    <row r="787" spans="1:40" ht="14.25" customHeight="1" x14ac:dyDescent="0.2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  <c r="AD787" s="25"/>
      <c r="AK787" s="25"/>
      <c r="AL787" s="25"/>
      <c r="AM787" s="25"/>
      <c r="AN787" s="25"/>
    </row>
    <row r="788" spans="1:40" ht="14.25" customHeight="1" x14ac:dyDescent="0.2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  <c r="AD788" s="25"/>
      <c r="AK788" s="25"/>
      <c r="AL788" s="25"/>
      <c r="AM788" s="25"/>
      <c r="AN788" s="25"/>
    </row>
    <row r="789" spans="1:40" ht="14.25" customHeight="1" x14ac:dyDescent="0.2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  <c r="AK789" s="25"/>
      <c r="AL789" s="25"/>
      <c r="AM789" s="25"/>
      <c r="AN789" s="25"/>
    </row>
    <row r="790" spans="1:40" ht="14.25" customHeight="1" x14ac:dyDescent="0.2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  <c r="AK790" s="25"/>
      <c r="AL790" s="25"/>
      <c r="AM790" s="25"/>
      <c r="AN790" s="25"/>
    </row>
    <row r="791" spans="1:40" ht="14.25" customHeight="1" x14ac:dyDescent="0.2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  <c r="AK791" s="25"/>
      <c r="AL791" s="25"/>
      <c r="AM791" s="25"/>
      <c r="AN791" s="25"/>
    </row>
    <row r="792" spans="1:40" ht="14.25" customHeight="1" x14ac:dyDescent="0.2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  <c r="AK792" s="25"/>
      <c r="AL792" s="25"/>
      <c r="AM792" s="25"/>
      <c r="AN792" s="25"/>
    </row>
    <row r="793" spans="1:40" ht="14.25" customHeight="1" x14ac:dyDescent="0.2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  <c r="AK793" s="25"/>
      <c r="AL793" s="25"/>
      <c r="AM793" s="25"/>
      <c r="AN793" s="25"/>
    </row>
    <row r="794" spans="1:40" ht="14.25" customHeight="1" x14ac:dyDescent="0.2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  <c r="AK794" s="25"/>
      <c r="AL794" s="25"/>
      <c r="AM794" s="25"/>
      <c r="AN794" s="25"/>
    </row>
    <row r="795" spans="1:40" ht="14.25" customHeight="1" x14ac:dyDescent="0.2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  <c r="AK795" s="25"/>
      <c r="AL795" s="25"/>
      <c r="AM795" s="25"/>
      <c r="AN795" s="25"/>
    </row>
    <row r="796" spans="1:40" ht="14.25" customHeight="1" x14ac:dyDescent="0.2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  <c r="AD796" s="25"/>
      <c r="AK796" s="25"/>
      <c r="AL796" s="25"/>
      <c r="AM796" s="25"/>
      <c r="AN796" s="25"/>
    </row>
    <row r="797" spans="1:40" ht="14.25" customHeight="1" x14ac:dyDescent="0.2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  <c r="AD797" s="25"/>
      <c r="AK797" s="25"/>
      <c r="AL797" s="25"/>
      <c r="AM797" s="25"/>
      <c r="AN797" s="25"/>
    </row>
    <row r="798" spans="1:40" ht="14.25" customHeight="1" x14ac:dyDescent="0.2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  <c r="AD798" s="25"/>
      <c r="AK798" s="25"/>
      <c r="AL798" s="25"/>
      <c r="AM798" s="25"/>
      <c r="AN798" s="25"/>
    </row>
    <row r="799" spans="1:40" ht="14.25" customHeight="1" x14ac:dyDescent="0.2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  <c r="AD799" s="25"/>
      <c r="AK799" s="25"/>
      <c r="AL799" s="25"/>
      <c r="AM799" s="25"/>
      <c r="AN799" s="25"/>
    </row>
    <row r="800" spans="1:40" ht="14.25" customHeight="1" x14ac:dyDescent="0.2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  <c r="AD800" s="25"/>
      <c r="AK800" s="25"/>
      <c r="AL800" s="25"/>
      <c r="AM800" s="25"/>
      <c r="AN800" s="25"/>
    </row>
    <row r="801" spans="1:40" ht="14.25" customHeight="1" x14ac:dyDescent="0.2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  <c r="AD801" s="25"/>
      <c r="AK801" s="25"/>
      <c r="AL801" s="25"/>
      <c r="AM801" s="25"/>
      <c r="AN801" s="25"/>
    </row>
    <row r="802" spans="1:40" ht="14.25" customHeight="1" x14ac:dyDescent="0.2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  <c r="AD802" s="25"/>
      <c r="AK802" s="25"/>
      <c r="AL802" s="25"/>
      <c r="AM802" s="25"/>
      <c r="AN802" s="25"/>
    </row>
    <row r="803" spans="1:40" ht="14.25" customHeight="1" x14ac:dyDescent="0.2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  <c r="AD803" s="25"/>
      <c r="AK803" s="25"/>
      <c r="AL803" s="25"/>
      <c r="AM803" s="25"/>
      <c r="AN803" s="25"/>
    </row>
    <row r="804" spans="1:40" ht="14.25" customHeight="1" x14ac:dyDescent="0.2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5"/>
      <c r="AK804" s="25"/>
      <c r="AL804" s="25"/>
      <c r="AM804" s="25"/>
      <c r="AN804" s="25"/>
    </row>
    <row r="805" spans="1:40" ht="14.25" customHeight="1" x14ac:dyDescent="0.2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  <c r="AD805" s="25"/>
      <c r="AK805" s="25"/>
      <c r="AL805" s="25"/>
      <c r="AM805" s="25"/>
      <c r="AN805" s="25"/>
    </row>
    <row r="806" spans="1:40" ht="14.25" customHeight="1" x14ac:dyDescent="0.2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  <c r="AD806" s="25"/>
      <c r="AK806" s="25"/>
      <c r="AL806" s="25"/>
      <c r="AM806" s="25"/>
      <c r="AN806" s="25"/>
    </row>
    <row r="807" spans="1:40" ht="14.25" customHeight="1" x14ac:dyDescent="0.2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  <c r="AD807" s="25"/>
      <c r="AK807" s="25"/>
      <c r="AL807" s="25"/>
      <c r="AM807" s="25"/>
      <c r="AN807" s="25"/>
    </row>
    <row r="808" spans="1:40" ht="14.25" customHeight="1" x14ac:dyDescent="0.2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  <c r="AD808" s="25"/>
      <c r="AK808" s="25"/>
      <c r="AL808" s="25"/>
      <c r="AM808" s="25"/>
      <c r="AN808" s="25"/>
    </row>
    <row r="809" spans="1:40" ht="14.25" customHeight="1" x14ac:dyDescent="0.2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  <c r="AD809" s="25"/>
      <c r="AK809" s="25"/>
      <c r="AL809" s="25"/>
      <c r="AM809" s="25"/>
      <c r="AN809" s="25"/>
    </row>
    <row r="810" spans="1:40" ht="14.25" customHeight="1" x14ac:dyDescent="0.2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  <c r="AK810" s="25"/>
      <c r="AL810" s="25"/>
      <c r="AM810" s="25"/>
      <c r="AN810" s="25"/>
    </row>
    <row r="811" spans="1:40" ht="14.25" customHeight="1" x14ac:dyDescent="0.2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  <c r="AK811" s="25"/>
      <c r="AL811" s="25"/>
      <c r="AM811" s="25"/>
      <c r="AN811" s="25"/>
    </row>
    <row r="812" spans="1:40" ht="14.25" customHeight="1" x14ac:dyDescent="0.2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  <c r="AK812" s="25"/>
      <c r="AL812" s="25"/>
      <c r="AM812" s="25"/>
      <c r="AN812" s="25"/>
    </row>
    <row r="813" spans="1:40" ht="14.25" customHeight="1" x14ac:dyDescent="0.2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  <c r="AK813" s="25"/>
      <c r="AL813" s="25"/>
      <c r="AM813" s="25"/>
      <c r="AN813" s="25"/>
    </row>
    <row r="814" spans="1:40" ht="14.25" customHeight="1" x14ac:dyDescent="0.2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  <c r="AK814" s="25"/>
      <c r="AL814" s="25"/>
      <c r="AM814" s="25"/>
      <c r="AN814" s="25"/>
    </row>
    <row r="815" spans="1:40" ht="14.25" customHeight="1" x14ac:dyDescent="0.2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  <c r="AK815" s="25"/>
      <c r="AL815" s="25"/>
      <c r="AM815" s="25"/>
      <c r="AN815" s="25"/>
    </row>
    <row r="816" spans="1:40" ht="14.25" customHeight="1" x14ac:dyDescent="0.2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  <c r="AK816" s="25"/>
      <c r="AL816" s="25"/>
      <c r="AM816" s="25"/>
      <c r="AN816" s="25"/>
    </row>
    <row r="817" spans="1:40" ht="14.25" customHeight="1" x14ac:dyDescent="0.2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  <c r="AD817" s="25"/>
      <c r="AK817" s="25"/>
      <c r="AL817" s="25"/>
      <c r="AM817" s="25"/>
      <c r="AN817" s="25"/>
    </row>
    <row r="818" spans="1:40" ht="14.25" customHeight="1" x14ac:dyDescent="0.2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  <c r="AD818" s="25"/>
      <c r="AK818" s="25"/>
      <c r="AL818" s="25"/>
      <c r="AM818" s="25"/>
      <c r="AN818" s="25"/>
    </row>
    <row r="819" spans="1:40" ht="14.25" customHeight="1" x14ac:dyDescent="0.2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  <c r="AD819" s="25"/>
      <c r="AK819" s="25"/>
      <c r="AL819" s="25"/>
      <c r="AM819" s="25"/>
      <c r="AN819" s="25"/>
    </row>
    <row r="820" spans="1:40" ht="14.25" customHeight="1" x14ac:dyDescent="0.2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  <c r="AD820" s="25"/>
      <c r="AK820" s="25"/>
      <c r="AL820" s="25"/>
      <c r="AM820" s="25"/>
      <c r="AN820" s="25"/>
    </row>
    <row r="821" spans="1:40" ht="14.25" customHeight="1" x14ac:dyDescent="0.2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  <c r="AD821" s="25"/>
      <c r="AK821" s="25"/>
      <c r="AL821" s="25"/>
      <c r="AM821" s="25"/>
      <c r="AN821" s="25"/>
    </row>
    <row r="822" spans="1:40" ht="14.25" customHeight="1" x14ac:dyDescent="0.2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5"/>
      <c r="AK822" s="25"/>
      <c r="AL822" s="25"/>
      <c r="AM822" s="25"/>
      <c r="AN822" s="25"/>
    </row>
    <row r="823" spans="1:40" ht="14.25" customHeight="1" x14ac:dyDescent="0.2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  <c r="AD823" s="25"/>
      <c r="AK823" s="25"/>
      <c r="AL823" s="25"/>
      <c r="AM823" s="25"/>
      <c r="AN823" s="25"/>
    </row>
    <row r="824" spans="1:40" ht="14.25" customHeight="1" x14ac:dyDescent="0.2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  <c r="AD824" s="25"/>
      <c r="AK824" s="25"/>
      <c r="AL824" s="25"/>
      <c r="AM824" s="25"/>
      <c r="AN824" s="25"/>
    </row>
    <row r="825" spans="1:40" ht="14.25" customHeight="1" x14ac:dyDescent="0.2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  <c r="AD825" s="25"/>
      <c r="AK825" s="25"/>
      <c r="AL825" s="25"/>
      <c r="AM825" s="25"/>
      <c r="AN825" s="25"/>
    </row>
    <row r="826" spans="1:40" ht="14.25" customHeight="1" x14ac:dyDescent="0.2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  <c r="AD826" s="25"/>
      <c r="AK826" s="25"/>
      <c r="AL826" s="25"/>
      <c r="AM826" s="25"/>
      <c r="AN826" s="25"/>
    </row>
    <row r="827" spans="1:40" ht="14.25" customHeight="1" x14ac:dyDescent="0.2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  <c r="AD827" s="25"/>
      <c r="AK827" s="25"/>
      <c r="AL827" s="25"/>
      <c r="AM827" s="25"/>
      <c r="AN827" s="25"/>
    </row>
    <row r="828" spans="1:40" ht="14.25" customHeight="1" x14ac:dyDescent="0.2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  <c r="AD828" s="25"/>
      <c r="AK828" s="25"/>
      <c r="AL828" s="25"/>
      <c r="AM828" s="25"/>
      <c r="AN828" s="25"/>
    </row>
    <row r="829" spans="1:40" ht="14.25" customHeight="1" x14ac:dyDescent="0.2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  <c r="AD829" s="25"/>
      <c r="AK829" s="25"/>
      <c r="AL829" s="25"/>
      <c r="AM829" s="25"/>
      <c r="AN829" s="25"/>
    </row>
    <row r="830" spans="1:40" ht="14.25" customHeight="1" x14ac:dyDescent="0.2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  <c r="AD830" s="25"/>
      <c r="AK830" s="25"/>
      <c r="AL830" s="25"/>
      <c r="AM830" s="25"/>
      <c r="AN830" s="25"/>
    </row>
    <row r="831" spans="1:40" ht="14.25" customHeight="1" x14ac:dyDescent="0.2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  <c r="AK831" s="25"/>
      <c r="AL831" s="25"/>
      <c r="AM831" s="25"/>
      <c r="AN831" s="25"/>
    </row>
    <row r="832" spans="1:40" ht="14.25" customHeight="1" x14ac:dyDescent="0.2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  <c r="AK832" s="25"/>
      <c r="AL832" s="25"/>
      <c r="AM832" s="25"/>
      <c r="AN832" s="25"/>
    </row>
    <row r="833" spans="1:40" ht="14.25" customHeight="1" x14ac:dyDescent="0.2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  <c r="AK833" s="25"/>
      <c r="AL833" s="25"/>
      <c r="AM833" s="25"/>
      <c r="AN833" s="25"/>
    </row>
    <row r="834" spans="1:40" ht="14.25" customHeight="1" x14ac:dyDescent="0.2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  <c r="AK834" s="25"/>
      <c r="AL834" s="25"/>
      <c r="AM834" s="25"/>
      <c r="AN834" s="25"/>
    </row>
    <row r="835" spans="1:40" ht="14.25" customHeight="1" x14ac:dyDescent="0.2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5"/>
      <c r="AK835" s="25"/>
      <c r="AL835" s="25"/>
      <c r="AM835" s="25"/>
      <c r="AN835" s="25"/>
    </row>
    <row r="836" spans="1:40" ht="14.25" customHeight="1" x14ac:dyDescent="0.2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  <c r="AK836" s="25"/>
      <c r="AL836" s="25"/>
      <c r="AM836" s="25"/>
      <c r="AN836" s="25"/>
    </row>
    <row r="837" spans="1:40" ht="14.25" customHeight="1" x14ac:dyDescent="0.2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  <c r="AK837" s="25"/>
      <c r="AL837" s="25"/>
      <c r="AM837" s="25"/>
      <c r="AN837" s="25"/>
    </row>
    <row r="838" spans="1:40" ht="14.25" customHeight="1" x14ac:dyDescent="0.2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  <c r="AD838" s="25"/>
      <c r="AK838" s="25"/>
      <c r="AL838" s="25"/>
      <c r="AM838" s="25"/>
      <c r="AN838" s="25"/>
    </row>
    <row r="839" spans="1:40" ht="14.25" customHeight="1" x14ac:dyDescent="0.2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  <c r="AD839" s="25"/>
      <c r="AK839" s="25"/>
      <c r="AL839" s="25"/>
      <c r="AM839" s="25"/>
      <c r="AN839" s="25"/>
    </row>
    <row r="840" spans="1:40" ht="14.25" customHeight="1" x14ac:dyDescent="0.2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  <c r="AD840" s="25"/>
      <c r="AK840" s="25"/>
      <c r="AL840" s="25"/>
      <c r="AM840" s="25"/>
      <c r="AN840" s="25"/>
    </row>
    <row r="841" spans="1:40" ht="14.25" customHeight="1" x14ac:dyDescent="0.2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  <c r="AD841" s="25"/>
      <c r="AK841" s="25"/>
      <c r="AL841" s="25"/>
      <c r="AM841" s="25"/>
      <c r="AN841" s="25"/>
    </row>
    <row r="842" spans="1:40" ht="14.25" customHeight="1" x14ac:dyDescent="0.2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  <c r="AD842" s="25"/>
      <c r="AK842" s="25"/>
      <c r="AL842" s="25"/>
      <c r="AM842" s="25"/>
      <c r="AN842" s="25"/>
    </row>
    <row r="843" spans="1:40" ht="14.25" customHeight="1" x14ac:dyDescent="0.2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  <c r="AD843" s="25"/>
      <c r="AK843" s="25"/>
      <c r="AL843" s="25"/>
      <c r="AM843" s="25"/>
      <c r="AN843" s="25"/>
    </row>
    <row r="844" spans="1:40" ht="14.25" customHeight="1" x14ac:dyDescent="0.2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  <c r="AD844" s="25"/>
      <c r="AK844" s="25"/>
      <c r="AL844" s="25"/>
      <c r="AM844" s="25"/>
      <c r="AN844" s="25"/>
    </row>
    <row r="845" spans="1:40" ht="14.25" customHeight="1" x14ac:dyDescent="0.2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  <c r="AD845" s="25"/>
      <c r="AK845" s="25"/>
      <c r="AL845" s="25"/>
      <c r="AM845" s="25"/>
      <c r="AN845" s="25"/>
    </row>
    <row r="846" spans="1:40" ht="14.25" customHeight="1" x14ac:dyDescent="0.2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5"/>
      <c r="AK846" s="25"/>
      <c r="AL846" s="25"/>
      <c r="AM846" s="25"/>
      <c r="AN846" s="25"/>
    </row>
    <row r="847" spans="1:40" ht="14.25" customHeight="1" x14ac:dyDescent="0.2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  <c r="AD847" s="25"/>
      <c r="AK847" s="25"/>
      <c r="AL847" s="25"/>
      <c r="AM847" s="25"/>
      <c r="AN847" s="25"/>
    </row>
    <row r="848" spans="1:40" ht="14.25" customHeight="1" x14ac:dyDescent="0.2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5"/>
      <c r="AK848" s="25"/>
      <c r="AL848" s="25"/>
      <c r="AM848" s="25"/>
      <c r="AN848" s="25"/>
    </row>
    <row r="849" spans="1:40" ht="14.25" customHeight="1" x14ac:dyDescent="0.2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  <c r="AD849" s="25"/>
      <c r="AK849" s="25"/>
      <c r="AL849" s="25"/>
      <c r="AM849" s="25"/>
      <c r="AN849" s="25"/>
    </row>
    <row r="850" spans="1:40" ht="14.25" customHeight="1" x14ac:dyDescent="0.2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  <c r="AD850" s="25"/>
      <c r="AK850" s="25"/>
      <c r="AL850" s="25"/>
      <c r="AM850" s="25"/>
      <c r="AN850" s="25"/>
    </row>
    <row r="851" spans="1:40" ht="14.25" customHeight="1" x14ac:dyDescent="0.2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  <c r="AD851" s="25"/>
      <c r="AK851" s="25"/>
      <c r="AL851" s="25"/>
      <c r="AM851" s="25"/>
      <c r="AN851" s="25"/>
    </row>
    <row r="852" spans="1:40" ht="14.25" customHeight="1" x14ac:dyDescent="0.2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  <c r="AK852" s="25"/>
      <c r="AL852" s="25"/>
      <c r="AM852" s="25"/>
      <c r="AN852" s="25"/>
    </row>
    <row r="853" spans="1:40" ht="14.25" customHeight="1" x14ac:dyDescent="0.2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  <c r="AK853" s="25"/>
      <c r="AL853" s="25"/>
      <c r="AM853" s="25"/>
      <c r="AN853" s="25"/>
    </row>
    <row r="854" spans="1:40" ht="14.25" customHeight="1" x14ac:dyDescent="0.2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  <c r="AK854" s="25"/>
      <c r="AL854" s="25"/>
      <c r="AM854" s="25"/>
      <c r="AN854" s="25"/>
    </row>
    <row r="855" spans="1:40" ht="14.25" customHeight="1" x14ac:dyDescent="0.2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  <c r="AK855" s="25"/>
      <c r="AL855" s="25"/>
      <c r="AM855" s="25"/>
      <c r="AN855" s="25"/>
    </row>
    <row r="856" spans="1:40" ht="14.25" customHeight="1" x14ac:dyDescent="0.2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  <c r="AK856" s="25"/>
      <c r="AL856" s="25"/>
      <c r="AM856" s="25"/>
      <c r="AN856" s="25"/>
    </row>
    <row r="857" spans="1:40" ht="14.25" customHeight="1" x14ac:dyDescent="0.2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  <c r="AK857" s="25"/>
      <c r="AL857" s="25"/>
      <c r="AM857" s="25"/>
      <c r="AN857" s="25"/>
    </row>
    <row r="858" spans="1:40" ht="14.25" customHeight="1" x14ac:dyDescent="0.2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  <c r="AK858" s="25"/>
      <c r="AL858" s="25"/>
      <c r="AM858" s="25"/>
      <c r="AN858" s="25"/>
    </row>
    <row r="859" spans="1:40" ht="14.25" customHeight="1" x14ac:dyDescent="0.2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  <c r="AD859" s="25"/>
      <c r="AK859" s="25"/>
      <c r="AL859" s="25"/>
      <c r="AM859" s="25"/>
      <c r="AN859" s="25"/>
    </row>
    <row r="860" spans="1:40" ht="14.25" customHeight="1" x14ac:dyDescent="0.2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  <c r="AD860" s="25"/>
      <c r="AK860" s="25"/>
      <c r="AL860" s="25"/>
      <c r="AM860" s="25"/>
      <c r="AN860" s="25"/>
    </row>
    <row r="861" spans="1:40" ht="14.25" customHeight="1" x14ac:dyDescent="0.2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  <c r="AD861" s="25"/>
      <c r="AK861" s="25"/>
      <c r="AL861" s="25"/>
      <c r="AM861" s="25"/>
      <c r="AN861" s="25"/>
    </row>
    <row r="862" spans="1:40" ht="14.25" customHeight="1" x14ac:dyDescent="0.2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5"/>
      <c r="AK862" s="25"/>
      <c r="AL862" s="25"/>
      <c r="AM862" s="25"/>
      <c r="AN862" s="25"/>
    </row>
    <row r="863" spans="1:40" ht="14.25" customHeight="1" x14ac:dyDescent="0.2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  <c r="AD863" s="25"/>
      <c r="AK863" s="25"/>
      <c r="AL863" s="25"/>
      <c r="AM863" s="25"/>
      <c r="AN863" s="25"/>
    </row>
    <row r="864" spans="1:40" ht="14.25" customHeight="1" x14ac:dyDescent="0.2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  <c r="AD864" s="25"/>
      <c r="AK864" s="25"/>
      <c r="AL864" s="25"/>
      <c r="AM864" s="25"/>
      <c r="AN864" s="25"/>
    </row>
    <row r="865" spans="1:40" ht="14.25" customHeight="1" x14ac:dyDescent="0.2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  <c r="AD865" s="25"/>
      <c r="AK865" s="25"/>
      <c r="AL865" s="25"/>
      <c r="AM865" s="25"/>
      <c r="AN865" s="25"/>
    </row>
    <row r="866" spans="1:40" ht="14.25" customHeight="1" x14ac:dyDescent="0.2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5"/>
      <c r="AK866" s="25"/>
      <c r="AL866" s="25"/>
      <c r="AM866" s="25"/>
      <c r="AN866" s="25"/>
    </row>
    <row r="867" spans="1:40" ht="14.25" customHeight="1" x14ac:dyDescent="0.2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  <c r="AK867" s="25"/>
      <c r="AL867" s="25"/>
      <c r="AM867" s="25"/>
      <c r="AN867" s="25"/>
    </row>
    <row r="868" spans="1:40" ht="14.25" customHeight="1" x14ac:dyDescent="0.2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  <c r="AK868" s="25"/>
      <c r="AL868" s="25"/>
      <c r="AM868" s="25"/>
      <c r="AN868" s="25"/>
    </row>
    <row r="869" spans="1:40" ht="14.25" customHeight="1" x14ac:dyDescent="0.2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5"/>
      <c r="AK869" s="25"/>
      <c r="AL869" s="25"/>
      <c r="AM869" s="25"/>
      <c r="AN869" s="25"/>
    </row>
    <row r="870" spans="1:40" ht="14.25" customHeight="1" x14ac:dyDescent="0.2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5"/>
      <c r="AK870" s="25"/>
      <c r="AL870" s="25"/>
      <c r="AM870" s="25"/>
      <c r="AN870" s="25"/>
    </row>
    <row r="871" spans="1:40" ht="14.25" customHeight="1" x14ac:dyDescent="0.2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  <c r="AD871" s="25"/>
      <c r="AK871" s="25"/>
      <c r="AL871" s="25"/>
      <c r="AM871" s="25"/>
      <c r="AN871" s="25"/>
    </row>
    <row r="872" spans="1:40" ht="14.25" customHeight="1" x14ac:dyDescent="0.2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  <c r="AD872" s="25"/>
      <c r="AK872" s="25"/>
      <c r="AL872" s="25"/>
      <c r="AM872" s="25"/>
      <c r="AN872" s="25"/>
    </row>
    <row r="873" spans="1:40" ht="14.25" customHeight="1" x14ac:dyDescent="0.2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  <c r="AK873" s="25"/>
      <c r="AL873" s="25"/>
      <c r="AM873" s="25"/>
      <c r="AN873" s="25"/>
    </row>
    <row r="874" spans="1:40" ht="14.25" customHeight="1" x14ac:dyDescent="0.2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  <c r="AK874" s="25"/>
      <c r="AL874" s="25"/>
      <c r="AM874" s="25"/>
      <c r="AN874" s="25"/>
    </row>
    <row r="875" spans="1:40" ht="14.25" customHeight="1" x14ac:dyDescent="0.2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  <c r="AK875" s="25"/>
      <c r="AL875" s="25"/>
      <c r="AM875" s="25"/>
      <c r="AN875" s="25"/>
    </row>
    <row r="876" spans="1:40" ht="14.25" customHeight="1" x14ac:dyDescent="0.2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  <c r="AK876" s="25"/>
      <c r="AL876" s="25"/>
      <c r="AM876" s="25"/>
      <c r="AN876" s="25"/>
    </row>
    <row r="877" spans="1:40" ht="14.25" customHeight="1" x14ac:dyDescent="0.2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5"/>
      <c r="AK877" s="25"/>
      <c r="AL877" s="25"/>
      <c r="AM877" s="25"/>
      <c r="AN877" s="25"/>
    </row>
    <row r="878" spans="1:40" ht="14.25" customHeight="1" x14ac:dyDescent="0.2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  <c r="AK878" s="25"/>
      <c r="AL878" s="25"/>
      <c r="AM878" s="25"/>
      <c r="AN878" s="25"/>
    </row>
    <row r="879" spans="1:40" ht="14.25" customHeight="1" x14ac:dyDescent="0.2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5"/>
      <c r="AK879" s="25"/>
      <c r="AL879" s="25"/>
      <c r="AM879" s="25"/>
      <c r="AN879" s="25"/>
    </row>
    <row r="880" spans="1:40" ht="14.25" customHeight="1" x14ac:dyDescent="0.2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  <c r="AD880" s="25"/>
      <c r="AK880" s="25"/>
      <c r="AL880" s="25"/>
      <c r="AM880" s="25"/>
      <c r="AN880" s="25"/>
    </row>
    <row r="881" spans="1:40" ht="14.25" customHeight="1" x14ac:dyDescent="0.2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  <c r="AD881" s="25"/>
      <c r="AK881" s="25"/>
      <c r="AL881" s="25"/>
      <c r="AM881" s="25"/>
      <c r="AN881" s="25"/>
    </row>
    <row r="882" spans="1:40" ht="14.25" customHeight="1" x14ac:dyDescent="0.2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  <c r="AD882" s="25"/>
      <c r="AK882" s="25"/>
      <c r="AL882" s="25"/>
      <c r="AM882" s="25"/>
      <c r="AN882" s="25"/>
    </row>
    <row r="883" spans="1:40" ht="14.25" customHeight="1" x14ac:dyDescent="0.2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  <c r="AD883" s="25"/>
      <c r="AK883" s="25"/>
      <c r="AL883" s="25"/>
      <c r="AM883" s="25"/>
      <c r="AN883" s="25"/>
    </row>
    <row r="884" spans="1:40" ht="14.25" customHeight="1" x14ac:dyDescent="0.2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  <c r="AD884" s="25"/>
      <c r="AK884" s="25"/>
      <c r="AL884" s="25"/>
      <c r="AM884" s="25"/>
      <c r="AN884" s="25"/>
    </row>
    <row r="885" spans="1:40" ht="14.25" customHeight="1" x14ac:dyDescent="0.2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  <c r="AD885" s="25"/>
      <c r="AK885" s="25"/>
      <c r="AL885" s="25"/>
      <c r="AM885" s="25"/>
      <c r="AN885" s="25"/>
    </row>
    <row r="886" spans="1:40" ht="14.25" customHeight="1" x14ac:dyDescent="0.2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  <c r="AD886" s="25"/>
      <c r="AK886" s="25"/>
      <c r="AL886" s="25"/>
      <c r="AM886" s="25"/>
      <c r="AN886" s="25"/>
    </row>
    <row r="887" spans="1:40" ht="14.25" customHeight="1" x14ac:dyDescent="0.2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  <c r="AD887" s="25"/>
      <c r="AK887" s="25"/>
      <c r="AL887" s="25"/>
      <c r="AM887" s="25"/>
      <c r="AN887" s="25"/>
    </row>
    <row r="888" spans="1:40" ht="14.25" customHeight="1" x14ac:dyDescent="0.2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  <c r="AD888" s="25"/>
      <c r="AK888" s="25"/>
      <c r="AL888" s="25"/>
      <c r="AM888" s="25"/>
      <c r="AN888" s="25"/>
    </row>
    <row r="889" spans="1:40" ht="14.25" customHeight="1" x14ac:dyDescent="0.2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  <c r="AD889" s="25"/>
      <c r="AK889" s="25"/>
      <c r="AL889" s="25"/>
      <c r="AM889" s="25"/>
      <c r="AN889" s="25"/>
    </row>
    <row r="890" spans="1:40" ht="14.25" customHeight="1" x14ac:dyDescent="0.2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  <c r="AD890" s="25"/>
      <c r="AK890" s="25"/>
      <c r="AL890" s="25"/>
      <c r="AM890" s="25"/>
      <c r="AN890" s="25"/>
    </row>
    <row r="891" spans="1:40" ht="14.25" customHeight="1" x14ac:dyDescent="0.2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  <c r="AD891" s="25"/>
      <c r="AK891" s="25"/>
      <c r="AL891" s="25"/>
      <c r="AM891" s="25"/>
      <c r="AN891" s="25"/>
    </row>
    <row r="892" spans="1:40" ht="14.25" customHeight="1" x14ac:dyDescent="0.2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  <c r="AD892" s="25"/>
      <c r="AK892" s="25"/>
      <c r="AL892" s="25"/>
      <c r="AM892" s="25"/>
      <c r="AN892" s="25"/>
    </row>
    <row r="893" spans="1:40" ht="14.25" customHeight="1" x14ac:dyDescent="0.2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  <c r="AD893" s="25"/>
      <c r="AK893" s="25"/>
      <c r="AL893" s="25"/>
      <c r="AM893" s="25"/>
      <c r="AN893" s="25"/>
    </row>
    <row r="894" spans="1:40" ht="14.25" customHeight="1" x14ac:dyDescent="0.2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  <c r="AK894" s="25"/>
      <c r="AL894" s="25"/>
      <c r="AM894" s="25"/>
      <c r="AN894" s="25"/>
    </row>
    <row r="895" spans="1:40" ht="14.25" customHeight="1" x14ac:dyDescent="0.2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5"/>
      <c r="AK895" s="25"/>
      <c r="AL895" s="25"/>
      <c r="AM895" s="25"/>
      <c r="AN895" s="25"/>
    </row>
    <row r="896" spans="1:40" ht="14.25" customHeight="1" x14ac:dyDescent="0.2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5"/>
      <c r="AK896" s="25"/>
      <c r="AL896" s="25"/>
      <c r="AM896" s="25"/>
      <c r="AN896" s="25"/>
    </row>
    <row r="897" spans="1:40" ht="14.25" customHeight="1" x14ac:dyDescent="0.2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5"/>
      <c r="AK897" s="25"/>
      <c r="AL897" s="25"/>
      <c r="AM897" s="25"/>
      <c r="AN897" s="25"/>
    </row>
    <row r="898" spans="1:40" ht="14.25" customHeight="1" x14ac:dyDescent="0.2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  <c r="AK898" s="25"/>
      <c r="AL898" s="25"/>
      <c r="AM898" s="25"/>
      <c r="AN898" s="25"/>
    </row>
    <row r="899" spans="1:40" ht="14.25" customHeight="1" x14ac:dyDescent="0.2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5"/>
      <c r="AK899" s="25"/>
      <c r="AL899" s="25"/>
      <c r="AM899" s="25"/>
      <c r="AN899" s="25"/>
    </row>
    <row r="900" spans="1:40" ht="14.25" customHeight="1" x14ac:dyDescent="0.2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  <c r="AD900" s="25"/>
      <c r="AK900" s="25"/>
      <c r="AL900" s="25"/>
      <c r="AM900" s="25"/>
      <c r="AN900" s="25"/>
    </row>
    <row r="901" spans="1:40" ht="14.25" customHeight="1" x14ac:dyDescent="0.2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  <c r="AD901" s="25"/>
      <c r="AK901" s="25"/>
      <c r="AL901" s="25"/>
      <c r="AM901" s="25"/>
      <c r="AN901" s="25"/>
    </row>
    <row r="902" spans="1:40" ht="14.25" customHeight="1" x14ac:dyDescent="0.2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  <c r="AD902" s="25"/>
      <c r="AK902" s="25"/>
      <c r="AL902" s="25"/>
      <c r="AM902" s="25"/>
      <c r="AN902" s="25"/>
    </row>
    <row r="903" spans="1:40" ht="14.25" customHeight="1" x14ac:dyDescent="0.2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  <c r="AD903" s="25"/>
      <c r="AK903" s="25"/>
      <c r="AL903" s="25"/>
      <c r="AM903" s="25"/>
      <c r="AN903" s="25"/>
    </row>
    <row r="904" spans="1:40" ht="14.25" customHeight="1" x14ac:dyDescent="0.2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  <c r="AD904" s="25"/>
      <c r="AK904" s="25"/>
      <c r="AL904" s="25"/>
      <c r="AM904" s="25"/>
      <c r="AN904" s="25"/>
    </row>
    <row r="905" spans="1:40" ht="14.25" customHeight="1" x14ac:dyDescent="0.2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  <c r="AD905" s="25"/>
      <c r="AK905" s="25"/>
      <c r="AL905" s="25"/>
      <c r="AM905" s="25"/>
      <c r="AN905" s="25"/>
    </row>
    <row r="906" spans="1:40" ht="14.25" customHeight="1" x14ac:dyDescent="0.2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  <c r="AD906" s="25"/>
      <c r="AK906" s="25"/>
      <c r="AL906" s="25"/>
      <c r="AM906" s="25"/>
      <c r="AN906" s="25"/>
    </row>
    <row r="907" spans="1:40" ht="14.25" customHeight="1" x14ac:dyDescent="0.2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  <c r="AD907" s="25"/>
      <c r="AK907" s="25"/>
      <c r="AL907" s="25"/>
      <c r="AM907" s="25"/>
      <c r="AN907" s="25"/>
    </row>
    <row r="908" spans="1:40" ht="14.25" customHeight="1" x14ac:dyDescent="0.2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  <c r="AD908" s="25"/>
      <c r="AK908" s="25"/>
      <c r="AL908" s="25"/>
      <c r="AM908" s="25"/>
      <c r="AN908" s="25"/>
    </row>
    <row r="909" spans="1:40" ht="14.25" customHeight="1" x14ac:dyDescent="0.2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  <c r="AD909" s="25"/>
      <c r="AK909" s="25"/>
      <c r="AL909" s="25"/>
      <c r="AM909" s="25"/>
      <c r="AN909" s="25"/>
    </row>
    <row r="910" spans="1:40" ht="14.25" customHeight="1" x14ac:dyDescent="0.2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  <c r="AD910" s="25"/>
      <c r="AK910" s="25"/>
      <c r="AL910" s="25"/>
      <c r="AM910" s="25"/>
      <c r="AN910" s="25"/>
    </row>
    <row r="911" spans="1:40" ht="14.25" customHeight="1" x14ac:dyDescent="0.2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  <c r="AD911" s="25"/>
      <c r="AK911" s="25"/>
      <c r="AL911" s="25"/>
      <c r="AM911" s="25"/>
      <c r="AN911" s="25"/>
    </row>
    <row r="912" spans="1:40" ht="14.25" customHeight="1" x14ac:dyDescent="0.2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  <c r="AD912" s="25"/>
      <c r="AK912" s="25"/>
      <c r="AL912" s="25"/>
      <c r="AM912" s="25"/>
      <c r="AN912" s="25"/>
    </row>
    <row r="913" spans="1:40" ht="14.25" customHeight="1" x14ac:dyDescent="0.2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  <c r="AD913" s="25"/>
      <c r="AK913" s="25"/>
      <c r="AL913" s="25"/>
      <c r="AM913" s="25"/>
      <c r="AN913" s="25"/>
    </row>
    <row r="914" spans="1:40" ht="14.25" customHeight="1" x14ac:dyDescent="0.2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  <c r="AD914" s="25"/>
      <c r="AK914" s="25"/>
      <c r="AL914" s="25"/>
      <c r="AM914" s="25"/>
      <c r="AN914" s="25"/>
    </row>
    <row r="915" spans="1:40" ht="14.25" customHeight="1" x14ac:dyDescent="0.2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  <c r="AD915" s="25"/>
      <c r="AK915" s="25"/>
      <c r="AL915" s="25"/>
      <c r="AM915" s="25"/>
      <c r="AN915" s="25"/>
    </row>
    <row r="916" spans="1:40" ht="14.25" customHeight="1" x14ac:dyDescent="0.2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  <c r="AD916" s="25"/>
      <c r="AK916" s="25"/>
      <c r="AL916" s="25"/>
      <c r="AM916" s="25"/>
      <c r="AN916" s="25"/>
    </row>
    <row r="917" spans="1:40" ht="14.25" customHeight="1" x14ac:dyDescent="0.2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  <c r="AD917" s="25"/>
      <c r="AK917" s="25"/>
      <c r="AL917" s="25"/>
      <c r="AM917" s="25"/>
      <c r="AN917" s="25"/>
    </row>
    <row r="918" spans="1:40" ht="14.25" customHeight="1" x14ac:dyDescent="0.2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  <c r="AD918" s="25"/>
      <c r="AK918" s="25"/>
      <c r="AL918" s="25"/>
      <c r="AM918" s="25"/>
      <c r="AN918" s="25"/>
    </row>
    <row r="919" spans="1:40" ht="14.25" customHeight="1" x14ac:dyDescent="0.2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  <c r="AD919" s="25"/>
      <c r="AK919" s="25"/>
      <c r="AL919" s="25"/>
      <c r="AM919" s="25"/>
      <c r="AN919" s="25"/>
    </row>
    <row r="920" spans="1:40" ht="14.25" customHeight="1" x14ac:dyDescent="0.2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  <c r="AD920" s="25"/>
      <c r="AK920" s="25"/>
      <c r="AL920" s="25"/>
      <c r="AM920" s="25"/>
      <c r="AN920" s="25"/>
    </row>
    <row r="921" spans="1:40" ht="14.25" customHeight="1" x14ac:dyDescent="0.2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  <c r="AD921" s="25"/>
      <c r="AK921" s="25"/>
      <c r="AL921" s="25"/>
      <c r="AM921" s="25"/>
      <c r="AN921" s="25"/>
    </row>
    <row r="922" spans="1:40" ht="14.25" customHeight="1" x14ac:dyDescent="0.2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  <c r="AD922" s="25"/>
      <c r="AK922" s="25"/>
      <c r="AL922" s="25"/>
      <c r="AM922" s="25"/>
      <c r="AN922" s="25"/>
    </row>
    <row r="923" spans="1:40" ht="14.25" customHeight="1" x14ac:dyDescent="0.2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  <c r="AD923" s="25"/>
      <c r="AK923" s="25"/>
      <c r="AL923" s="25"/>
      <c r="AM923" s="25"/>
      <c r="AN923" s="25"/>
    </row>
    <row r="924" spans="1:40" ht="14.25" customHeight="1" x14ac:dyDescent="0.2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  <c r="AD924" s="25"/>
      <c r="AK924" s="25"/>
      <c r="AL924" s="25"/>
      <c r="AM924" s="25"/>
      <c r="AN924" s="25"/>
    </row>
    <row r="925" spans="1:40" ht="14.25" customHeight="1" x14ac:dyDescent="0.2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  <c r="AD925" s="25"/>
      <c r="AK925" s="25"/>
      <c r="AL925" s="25"/>
      <c r="AM925" s="25"/>
      <c r="AN925" s="25"/>
    </row>
    <row r="926" spans="1:40" ht="14.25" customHeight="1" x14ac:dyDescent="0.2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  <c r="AD926" s="25"/>
      <c r="AK926" s="25"/>
      <c r="AL926" s="25"/>
      <c r="AM926" s="25"/>
      <c r="AN926" s="25"/>
    </row>
    <row r="927" spans="1:40" ht="14.25" customHeight="1" x14ac:dyDescent="0.2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  <c r="AD927" s="25"/>
      <c r="AK927" s="25"/>
      <c r="AL927" s="25"/>
      <c r="AM927" s="25"/>
      <c r="AN927" s="25"/>
    </row>
    <row r="928" spans="1:40" ht="14.25" customHeight="1" x14ac:dyDescent="0.2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  <c r="AD928" s="25"/>
      <c r="AK928" s="25"/>
      <c r="AL928" s="25"/>
      <c r="AM928" s="25"/>
      <c r="AN928" s="25"/>
    </row>
    <row r="929" spans="1:40" ht="14.25" customHeight="1" x14ac:dyDescent="0.2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  <c r="AD929" s="25"/>
      <c r="AK929" s="25"/>
      <c r="AL929" s="25"/>
      <c r="AM929" s="25"/>
      <c r="AN929" s="25"/>
    </row>
    <row r="930" spans="1:40" ht="14.25" customHeight="1" x14ac:dyDescent="0.2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  <c r="AD930" s="25"/>
      <c r="AK930" s="25"/>
      <c r="AL930" s="25"/>
      <c r="AM930" s="25"/>
      <c r="AN930" s="25"/>
    </row>
    <row r="931" spans="1:40" ht="14.25" customHeight="1" x14ac:dyDescent="0.2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  <c r="AD931" s="25"/>
      <c r="AK931" s="25"/>
      <c r="AL931" s="25"/>
      <c r="AM931" s="25"/>
      <c r="AN931" s="25"/>
    </row>
    <row r="932" spans="1:40" ht="14.25" customHeight="1" x14ac:dyDescent="0.2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  <c r="AD932" s="25"/>
      <c r="AK932" s="25"/>
      <c r="AL932" s="25"/>
      <c r="AM932" s="25"/>
      <c r="AN932" s="25"/>
    </row>
    <row r="933" spans="1:40" ht="14.25" customHeight="1" x14ac:dyDescent="0.2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  <c r="AD933" s="25"/>
      <c r="AK933" s="25"/>
      <c r="AL933" s="25"/>
      <c r="AM933" s="25"/>
      <c r="AN933" s="25"/>
    </row>
    <row r="934" spans="1:40" ht="14.25" customHeight="1" x14ac:dyDescent="0.2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  <c r="AD934" s="25"/>
      <c r="AK934" s="25"/>
      <c r="AL934" s="25"/>
      <c r="AM934" s="25"/>
      <c r="AN934" s="25"/>
    </row>
    <row r="935" spans="1:40" ht="14.25" customHeight="1" x14ac:dyDescent="0.2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  <c r="AD935" s="25"/>
      <c r="AK935" s="25"/>
      <c r="AL935" s="25"/>
      <c r="AM935" s="25"/>
      <c r="AN935" s="25"/>
    </row>
    <row r="936" spans="1:40" ht="14.25" customHeight="1" x14ac:dyDescent="0.2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  <c r="AD936" s="25"/>
      <c r="AK936" s="25"/>
      <c r="AL936" s="25"/>
      <c r="AM936" s="25"/>
      <c r="AN936" s="25"/>
    </row>
    <row r="937" spans="1:40" ht="14.25" customHeight="1" x14ac:dyDescent="0.2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  <c r="AD937" s="25"/>
      <c r="AK937" s="25"/>
      <c r="AL937" s="25"/>
      <c r="AM937" s="25"/>
      <c r="AN937" s="25"/>
    </row>
    <row r="938" spans="1:40" ht="14.25" customHeight="1" x14ac:dyDescent="0.2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  <c r="AD938" s="25"/>
      <c r="AK938" s="25"/>
      <c r="AL938" s="25"/>
      <c r="AM938" s="25"/>
      <c r="AN938" s="25"/>
    </row>
    <row r="939" spans="1:40" ht="14.25" customHeight="1" x14ac:dyDescent="0.2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  <c r="AD939" s="25"/>
      <c r="AK939" s="25"/>
      <c r="AL939" s="25"/>
      <c r="AM939" s="25"/>
      <c r="AN939" s="25"/>
    </row>
    <row r="940" spans="1:40" ht="14.25" customHeight="1" x14ac:dyDescent="0.2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  <c r="AD940" s="25"/>
      <c r="AK940" s="25"/>
      <c r="AL940" s="25"/>
      <c r="AM940" s="25"/>
      <c r="AN940" s="25"/>
    </row>
    <row r="941" spans="1:40" ht="14.25" customHeight="1" x14ac:dyDescent="0.2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  <c r="AD941" s="25"/>
      <c r="AK941" s="25"/>
      <c r="AL941" s="25"/>
      <c r="AM941" s="25"/>
      <c r="AN941" s="25"/>
    </row>
    <row r="942" spans="1:40" ht="14.25" customHeight="1" x14ac:dyDescent="0.2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  <c r="AD942" s="25"/>
      <c r="AK942" s="25"/>
      <c r="AL942" s="25"/>
      <c r="AM942" s="25"/>
      <c r="AN942" s="25"/>
    </row>
    <row r="943" spans="1:40" ht="14.25" customHeight="1" x14ac:dyDescent="0.2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  <c r="AD943" s="25"/>
      <c r="AK943" s="25"/>
      <c r="AL943" s="25"/>
      <c r="AM943" s="25"/>
      <c r="AN943" s="25"/>
    </row>
    <row r="944" spans="1:40" ht="14.25" customHeight="1" x14ac:dyDescent="0.2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  <c r="AD944" s="25"/>
      <c r="AK944" s="25"/>
      <c r="AL944" s="25"/>
      <c r="AM944" s="25"/>
      <c r="AN944" s="25"/>
    </row>
    <row r="945" spans="1:40" ht="14.25" customHeight="1" x14ac:dyDescent="0.2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  <c r="AD945" s="25"/>
      <c r="AK945" s="25"/>
      <c r="AL945" s="25"/>
      <c r="AM945" s="25"/>
      <c r="AN945" s="25"/>
    </row>
    <row r="946" spans="1:40" ht="14.25" customHeight="1" x14ac:dyDescent="0.2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  <c r="AD946" s="25"/>
      <c r="AK946" s="25"/>
      <c r="AL946" s="25"/>
      <c r="AM946" s="25"/>
      <c r="AN946" s="25"/>
    </row>
    <row r="947" spans="1:40" ht="14.25" customHeight="1" x14ac:dyDescent="0.2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  <c r="AD947" s="25"/>
      <c r="AK947" s="25"/>
      <c r="AL947" s="25"/>
      <c r="AM947" s="25"/>
      <c r="AN947" s="25"/>
    </row>
    <row r="948" spans="1:40" ht="14.25" customHeight="1" x14ac:dyDescent="0.2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  <c r="AD948" s="25"/>
      <c r="AK948" s="25"/>
      <c r="AL948" s="25"/>
      <c r="AM948" s="25"/>
      <c r="AN948" s="25"/>
    </row>
    <row r="949" spans="1:40" ht="14.25" customHeight="1" x14ac:dyDescent="0.2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  <c r="AD949" s="25"/>
      <c r="AK949" s="25"/>
      <c r="AL949" s="25"/>
      <c r="AM949" s="25"/>
      <c r="AN949" s="25"/>
    </row>
    <row r="950" spans="1:40" ht="14.25" customHeight="1" x14ac:dyDescent="0.2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  <c r="AD950" s="25"/>
      <c r="AK950" s="25"/>
      <c r="AL950" s="25"/>
      <c r="AM950" s="25"/>
      <c r="AN950" s="25"/>
    </row>
    <row r="951" spans="1:40" ht="14.25" customHeight="1" x14ac:dyDescent="0.2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  <c r="AD951" s="25"/>
      <c r="AK951" s="25"/>
      <c r="AL951" s="25"/>
      <c r="AM951" s="25"/>
      <c r="AN951" s="25"/>
    </row>
    <row r="952" spans="1:40" ht="14.25" customHeight="1" x14ac:dyDescent="0.2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  <c r="AD952" s="25"/>
      <c r="AK952" s="25"/>
      <c r="AL952" s="25"/>
      <c r="AM952" s="25"/>
      <c r="AN952" s="25"/>
    </row>
    <row r="953" spans="1:40" ht="14.25" customHeight="1" x14ac:dyDescent="0.2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  <c r="AD953" s="25"/>
      <c r="AK953" s="25"/>
      <c r="AL953" s="25"/>
      <c r="AM953" s="25"/>
      <c r="AN953" s="25"/>
    </row>
    <row r="954" spans="1:40" ht="14.25" customHeight="1" x14ac:dyDescent="0.2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  <c r="AD954" s="25"/>
      <c r="AK954" s="25"/>
      <c r="AL954" s="25"/>
      <c r="AM954" s="25"/>
      <c r="AN954" s="25"/>
    </row>
    <row r="955" spans="1:40" ht="14.25" customHeight="1" x14ac:dyDescent="0.2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  <c r="AD955" s="25"/>
      <c r="AK955" s="25"/>
      <c r="AL955" s="25"/>
      <c r="AM955" s="25"/>
      <c r="AN955" s="25"/>
    </row>
    <row r="956" spans="1:40" ht="14.25" customHeight="1" x14ac:dyDescent="0.2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  <c r="AD956" s="25"/>
      <c r="AK956" s="25"/>
      <c r="AL956" s="25"/>
      <c r="AM956" s="25"/>
      <c r="AN956" s="25"/>
    </row>
    <row r="957" spans="1:40" ht="14.25" customHeight="1" x14ac:dyDescent="0.2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  <c r="AD957" s="25"/>
      <c r="AK957" s="25"/>
      <c r="AL957" s="25"/>
      <c r="AM957" s="25"/>
      <c r="AN957" s="25"/>
    </row>
    <row r="958" spans="1:40" ht="14.25" customHeight="1" x14ac:dyDescent="0.2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  <c r="AD958" s="25"/>
      <c r="AK958" s="25"/>
      <c r="AL958" s="25"/>
      <c r="AM958" s="25"/>
      <c r="AN958" s="25"/>
    </row>
    <row r="959" spans="1:40" ht="14.25" customHeight="1" x14ac:dyDescent="0.2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  <c r="AD959" s="25"/>
      <c r="AK959" s="25"/>
      <c r="AL959" s="25"/>
      <c r="AM959" s="25"/>
      <c r="AN959" s="25"/>
    </row>
    <row r="960" spans="1:40" ht="14.25" customHeight="1" x14ac:dyDescent="0.2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  <c r="AD960" s="25"/>
      <c r="AK960" s="25"/>
      <c r="AL960" s="25"/>
      <c r="AM960" s="25"/>
      <c r="AN960" s="25"/>
    </row>
    <row r="961" spans="1:40" ht="14.25" customHeight="1" x14ac:dyDescent="0.2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  <c r="AD961" s="25"/>
      <c r="AK961" s="25"/>
      <c r="AL961" s="25"/>
      <c r="AM961" s="25"/>
      <c r="AN961" s="25"/>
    </row>
    <row r="962" spans="1:40" ht="14.25" customHeight="1" x14ac:dyDescent="0.2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  <c r="AD962" s="25"/>
      <c r="AK962" s="25"/>
      <c r="AL962" s="25"/>
      <c r="AM962" s="25"/>
      <c r="AN962" s="25"/>
    </row>
    <row r="963" spans="1:40" ht="14.25" customHeight="1" x14ac:dyDescent="0.2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  <c r="AD963" s="25"/>
      <c r="AK963" s="25"/>
      <c r="AL963" s="25"/>
      <c r="AM963" s="25"/>
      <c r="AN963" s="25"/>
    </row>
    <row r="964" spans="1:40" ht="14.25" customHeight="1" x14ac:dyDescent="0.2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  <c r="AD964" s="25"/>
      <c r="AK964" s="25"/>
      <c r="AL964" s="25"/>
      <c r="AM964" s="25"/>
      <c r="AN964" s="25"/>
    </row>
    <row r="965" spans="1:40" ht="14.25" customHeight="1" x14ac:dyDescent="0.2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  <c r="AD965" s="25"/>
      <c r="AK965" s="25"/>
      <c r="AL965" s="25"/>
      <c r="AM965" s="25"/>
      <c r="AN965" s="25"/>
    </row>
    <row r="966" spans="1:40" ht="14.25" customHeight="1" x14ac:dyDescent="0.2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  <c r="AD966" s="25"/>
      <c r="AK966" s="25"/>
      <c r="AL966" s="25"/>
      <c r="AM966" s="25"/>
      <c r="AN966" s="25"/>
    </row>
    <row r="967" spans="1:40" ht="14.25" customHeight="1" x14ac:dyDescent="0.2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  <c r="AD967" s="25"/>
      <c r="AK967" s="25"/>
      <c r="AL967" s="25"/>
      <c r="AM967" s="25"/>
      <c r="AN967" s="25"/>
    </row>
    <row r="968" spans="1:40" ht="14.25" customHeight="1" x14ac:dyDescent="0.2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  <c r="AD968" s="25"/>
      <c r="AK968" s="25"/>
      <c r="AL968" s="25"/>
      <c r="AM968" s="25"/>
      <c r="AN968" s="25"/>
    </row>
    <row r="969" spans="1:40" ht="14.25" customHeight="1" x14ac:dyDescent="0.2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  <c r="AD969" s="25"/>
      <c r="AK969" s="25"/>
      <c r="AL969" s="25"/>
      <c r="AM969" s="25"/>
      <c r="AN969" s="25"/>
    </row>
    <row r="970" spans="1:40" ht="14.25" customHeight="1" x14ac:dyDescent="0.2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  <c r="AD970" s="25"/>
      <c r="AK970" s="25"/>
      <c r="AL970" s="25"/>
      <c r="AM970" s="25"/>
      <c r="AN970" s="25"/>
    </row>
    <row r="971" spans="1:40" ht="14.25" customHeight="1" x14ac:dyDescent="0.2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  <c r="AD971" s="25"/>
      <c r="AK971" s="25"/>
      <c r="AL971" s="25"/>
      <c r="AM971" s="25"/>
      <c r="AN971" s="25"/>
    </row>
    <row r="972" spans="1:40" ht="14.25" customHeight="1" x14ac:dyDescent="0.2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  <c r="AD972" s="25"/>
      <c r="AK972" s="25"/>
      <c r="AL972" s="25"/>
      <c r="AM972" s="25"/>
      <c r="AN972" s="25"/>
    </row>
    <row r="973" spans="1:40" ht="14.25" customHeight="1" x14ac:dyDescent="0.2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  <c r="AD973" s="25"/>
      <c r="AK973" s="25"/>
      <c r="AL973" s="25"/>
      <c r="AM973" s="25"/>
      <c r="AN973" s="25"/>
    </row>
    <row r="974" spans="1:40" ht="14.25" customHeight="1" x14ac:dyDescent="0.2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  <c r="AD974" s="25"/>
      <c r="AK974" s="25"/>
      <c r="AL974" s="25"/>
      <c r="AM974" s="25"/>
      <c r="AN974" s="25"/>
    </row>
    <row r="975" spans="1:40" ht="14.25" customHeight="1" x14ac:dyDescent="0.2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  <c r="AD975" s="25"/>
      <c r="AK975" s="25"/>
      <c r="AL975" s="25"/>
      <c r="AM975" s="25"/>
      <c r="AN975" s="25"/>
    </row>
    <row r="976" spans="1:40" ht="14.25" customHeight="1" x14ac:dyDescent="0.2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  <c r="AD976" s="25"/>
      <c r="AK976" s="25"/>
      <c r="AL976" s="25"/>
      <c r="AM976" s="25"/>
      <c r="AN976" s="25"/>
    </row>
    <row r="977" spans="1:40" ht="14.25" customHeight="1" x14ac:dyDescent="0.2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  <c r="AD977" s="25"/>
      <c r="AK977" s="25"/>
      <c r="AL977" s="25"/>
      <c r="AM977" s="25"/>
      <c r="AN977" s="25"/>
    </row>
    <row r="978" spans="1:40" ht="14.25" customHeight="1" x14ac:dyDescent="0.2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  <c r="AD978" s="25"/>
      <c r="AK978" s="25"/>
      <c r="AL978" s="25"/>
      <c r="AM978" s="25"/>
      <c r="AN978" s="25"/>
    </row>
    <row r="979" spans="1:40" ht="14.25" customHeight="1" x14ac:dyDescent="0.2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  <c r="AD979" s="25"/>
      <c r="AK979" s="25"/>
      <c r="AL979" s="25"/>
      <c r="AM979" s="25"/>
      <c r="AN979" s="25"/>
    </row>
    <row r="980" spans="1:40" ht="14.25" customHeight="1" x14ac:dyDescent="0.2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  <c r="AD980" s="25"/>
      <c r="AK980" s="25"/>
      <c r="AL980" s="25"/>
      <c r="AM980" s="25"/>
      <c r="AN980" s="25"/>
    </row>
    <row r="981" spans="1:40" ht="14.25" customHeight="1" x14ac:dyDescent="0.2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  <c r="AD981" s="25"/>
      <c r="AK981" s="25"/>
      <c r="AL981" s="25"/>
      <c r="AM981" s="25"/>
      <c r="AN981" s="25"/>
    </row>
    <row r="982" spans="1:40" ht="14.25" customHeight="1" x14ac:dyDescent="0.2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  <c r="AD982" s="25"/>
      <c r="AK982" s="25"/>
      <c r="AL982" s="25"/>
      <c r="AM982" s="25"/>
      <c r="AN982" s="25"/>
    </row>
    <row r="983" spans="1:40" ht="14.25" customHeight="1" x14ac:dyDescent="0.2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  <c r="AD983" s="25"/>
      <c r="AK983" s="25"/>
      <c r="AL983" s="25"/>
      <c r="AM983" s="25"/>
      <c r="AN983" s="25"/>
    </row>
    <row r="984" spans="1:40" ht="14.25" customHeight="1" x14ac:dyDescent="0.2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  <c r="AD984" s="25"/>
      <c r="AK984" s="25"/>
      <c r="AL984" s="25"/>
      <c r="AM984" s="25"/>
      <c r="AN984" s="25"/>
    </row>
    <row r="985" spans="1:40" ht="14.25" customHeight="1" x14ac:dyDescent="0.2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  <c r="AD985" s="25"/>
      <c r="AK985" s="25"/>
      <c r="AL985" s="25"/>
      <c r="AM985" s="25"/>
      <c r="AN985" s="25"/>
    </row>
    <row r="986" spans="1:40" ht="14.25" customHeight="1" x14ac:dyDescent="0.2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  <c r="AD986" s="25"/>
      <c r="AK986" s="25"/>
      <c r="AL986" s="25"/>
      <c r="AM986" s="25"/>
      <c r="AN986" s="25"/>
    </row>
    <row r="987" spans="1:40" ht="14.25" customHeight="1" x14ac:dyDescent="0.2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  <c r="AD987" s="25"/>
      <c r="AK987" s="25"/>
      <c r="AL987" s="25"/>
      <c r="AM987" s="25"/>
      <c r="AN987" s="25"/>
    </row>
    <row r="988" spans="1:40" ht="14.25" customHeight="1" x14ac:dyDescent="0.2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  <c r="AD988" s="25"/>
      <c r="AK988" s="25"/>
      <c r="AL988" s="25"/>
      <c r="AM988" s="25"/>
      <c r="AN988" s="25"/>
    </row>
    <row r="989" spans="1:40" ht="14.25" customHeight="1" x14ac:dyDescent="0.2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  <c r="AD989" s="25"/>
      <c r="AK989" s="25"/>
      <c r="AL989" s="25"/>
      <c r="AM989" s="25"/>
      <c r="AN989" s="25"/>
    </row>
    <row r="990" spans="1:40" ht="14.25" customHeight="1" x14ac:dyDescent="0.2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  <c r="AD990" s="25"/>
      <c r="AK990" s="25"/>
      <c r="AL990" s="25"/>
      <c r="AM990" s="25"/>
      <c r="AN990" s="25"/>
    </row>
    <row r="991" spans="1:40" ht="14.25" customHeight="1" x14ac:dyDescent="0.2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  <c r="AD991" s="25"/>
      <c r="AK991" s="25"/>
      <c r="AL991" s="25"/>
      <c r="AM991" s="25"/>
      <c r="AN991" s="25"/>
    </row>
    <row r="992" spans="1:40" ht="14.25" customHeight="1" x14ac:dyDescent="0.2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  <c r="AD992" s="25"/>
      <c r="AK992" s="25"/>
      <c r="AL992" s="25"/>
      <c r="AM992" s="25"/>
      <c r="AN992" s="25"/>
    </row>
    <row r="993" spans="1:40" ht="14.25" customHeight="1" x14ac:dyDescent="0.2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  <c r="AD993" s="25"/>
      <c r="AK993" s="25"/>
      <c r="AL993" s="25"/>
      <c r="AM993" s="25"/>
      <c r="AN993" s="25"/>
    </row>
    <row r="994" spans="1:40" ht="14.25" customHeight="1" x14ac:dyDescent="0.2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  <c r="AD994" s="25"/>
      <c r="AK994" s="25"/>
      <c r="AL994" s="25"/>
      <c r="AM994" s="25"/>
      <c r="AN994" s="25"/>
    </row>
    <row r="995" spans="1:40" ht="14.25" customHeight="1" x14ac:dyDescent="0.2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  <c r="AD995" s="25"/>
      <c r="AK995" s="25"/>
      <c r="AL995" s="25"/>
      <c r="AM995" s="25"/>
      <c r="AN995" s="25"/>
    </row>
    <row r="996" spans="1:40" ht="14.25" customHeight="1" x14ac:dyDescent="0.2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  <c r="AD996" s="25"/>
      <c r="AK996" s="25"/>
      <c r="AL996" s="25"/>
      <c r="AM996" s="25"/>
      <c r="AN996" s="25"/>
    </row>
    <row r="997" spans="1:40" ht="14.25" customHeight="1" x14ac:dyDescent="0.2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  <c r="AD997" s="25"/>
      <c r="AK997" s="25"/>
      <c r="AL997" s="25"/>
      <c r="AM997" s="25"/>
      <c r="AN997" s="25"/>
    </row>
    <row r="998" spans="1:40" ht="14.25" customHeight="1" x14ac:dyDescent="0.2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  <c r="AD998" s="25"/>
      <c r="AK998" s="25"/>
      <c r="AL998" s="25"/>
      <c r="AM998" s="25"/>
      <c r="AN998" s="25"/>
    </row>
    <row r="999" spans="1:40" ht="14.25" customHeight="1" x14ac:dyDescent="0.2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  <c r="AD999" s="25"/>
      <c r="AK999" s="25"/>
      <c r="AL999" s="25"/>
      <c r="AM999" s="25"/>
      <c r="AN999" s="25"/>
    </row>
    <row r="1000" spans="1:40" ht="14.25" customHeight="1" x14ac:dyDescent="0.2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25"/>
      <c r="AD1000" s="25"/>
      <c r="AK1000" s="25"/>
      <c r="AL1000" s="25"/>
      <c r="AM1000" s="25"/>
      <c r="AN1000" s="25"/>
    </row>
  </sheetData>
  <mergeCells count="22">
    <mergeCell ref="AC4:AC5"/>
    <mergeCell ref="AD4:AD5"/>
    <mergeCell ref="V4:V5"/>
    <mergeCell ref="W4:W5"/>
    <mergeCell ref="X4:X5"/>
    <mergeCell ref="Y4:Y5"/>
    <mergeCell ref="Z4:Z5"/>
    <mergeCell ref="AA4:AA5"/>
    <mergeCell ref="AB4:AB5"/>
    <mergeCell ref="U4:U5"/>
    <mergeCell ref="J2:W3"/>
    <mergeCell ref="A4:A5"/>
    <mergeCell ref="B4:B5"/>
    <mergeCell ref="C4:C5"/>
    <mergeCell ref="D4:D5"/>
    <mergeCell ref="E4:E5"/>
    <mergeCell ref="F4:G4"/>
    <mergeCell ref="H4:L4"/>
    <mergeCell ref="M4:M5"/>
    <mergeCell ref="N4:P4"/>
    <mergeCell ref="Q4:Q5"/>
    <mergeCell ref="R4:T4"/>
  </mergeCells>
  <pageMargins left="0.7" right="0.7" top="0.75" bottom="0.75" header="0" footer="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0"/>
  <sheetViews>
    <sheetView showGridLines="0" rightToLeft="1" tabSelected="1" workbookViewId="0">
      <selection activeCell="I11" sqref="I11"/>
    </sheetView>
  </sheetViews>
  <sheetFormatPr defaultColWidth="12.625" defaultRowHeight="15" customHeight="1" x14ac:dyDescent="0.2"/>
  <cols>
    <col min="1" max="1" width="3" customWidth="1"/>
    <col min="2" max="2" width="13.75" customWidth="1"/>
    <col min="3" max="3" width="23.625" customWidth="1"/>
    <col min="4" max="4" width="17.625" customWidth="1"/>
    <col min="5" max="5" width="16" customWidth="1"/>
    <col min="6" max="26" width="17.625" customWidth="1"/>
  </cols>
  <sheetData>
    <row r="1" spans="1:26" ht="18" customHeight="1" x14ac:dyDescent="0.3">
      <c r="A1" s="44"/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</row>
    <row r="2" spans="1:26" ht="18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</row>
    <row r="3" spans="1:26" ht="45" customHeight="1" x14ac:dyDescent="0.3">
      <c r="A3" s="44"/>
      <c r="B3" s="111" t="s">
        <v>53</v>
      </c>
      <c r="C3" s="64"/>
      <c r="D3" s="44"/>
      <c r="E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</row>
    <row r="4" spans="1:26" ht="18" customHeight="1" x14ac:dyDescent="0.3">
      <c r="A4" s="44"/>
      <c r="B4" s="44"/>
      <c r="C4" s="44"/>
      <c r="D4" s="44"/>
      <c r="E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</row>
    <row r="5" spans="1:26" ht="18" customHeight="1" x14ac:dyDescent="0.3">
      <c r="A5" s="44"/>
      <c r="B5" s="112" t="s">
        <v>54</v>
      </c>
      <c r="C5" s="113"/>
      <c r="D5" s="113"/>
      <c r="E5" s="11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</row>
    <row r="6" spans="1:26" ht="18" customHeight="1" x14ac:dyDescent="0.3">
      <c r="A6" s="44"/>
      <c r="B6" s="2"/>
      <c r="C6" s="2"/>
      <c r="D6" s="2"/>
      <c r="E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</row>
    <row r="7" spans="1:26" ht="18" customHeight="1" x14ac:dyDescent="0.3">
      <c r="A7" s="44"/>
      <c r="B7" s="45" t="s">
        <v>19</v>
      </c>
      <c r="C7" s="46">
        <v>1</v>
      </c>
      <c r="D7" s="44"/>
      <c r="E7" s="44"/>
      <c r="G7" s="44"/>
      <c r="H7" s="47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</row>
    <row r="8" spans="1:26" ht="18" customHeight="1" x14ac:dyDescent="0.3">
      <c r="A8" s="44"/>
      <c r="B8" s="45" t="s">
        <v>20</v>
      </c>
      <c r="C8" s="46" t="str">
        <f>VLOOKUP(C7,'PAYRROLL- الشرائح'!A6:B55,2,FALSE)</f>
        <v>موظف 1</v>
      </c>
      <c r="D8" s="44"/>
      <c r="E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</row>
    <row r="9" spans="1:26" ht="18" customHeight="1" x14ac:dyDescent="0.3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 spans="1:26" ht="18" customHeight="1" x14ac:dyDescent="0.3">
      <c r="A10" s="44"/>
      <c r="B10" s="44"/>
      <c r="C10" s="115" t="s">
        <v>25</v>
      </c>
      <c r="D10" s="48" t="s">
        <v>55</v>
      </c>
      <c r="E10" s="49">
        <f t="array" ref="E10">INDEX('PAYRROLL- الشرائح'!E6:E55,MATCH($C$7,'PAYRROLL- الشرائح'!$A$6:$A$55,0),1)</f>
        <v>30</v>
      </c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</row>
    <row r="11" spans="1:26" ht="18" customHeight="1" x14ac:dyDescent="0.3">
      <c r="A11" s="44"/>
      <c r="B11" s="44"/>
      <c r="C11" s="116"/>
      <c r="D11" s="48" t="s">
        <v>56</v>
      </c>
      <c r="E11" s="50">
        <f t="array" ref="E11">INDEX('PAYRROLL- الشرائح'!$F$6:$AD$55,MATCH($C$7,'PAYRROLL- الشرائح'!$A$6:$A$55,0),5)</f>
        <v>700</v>
      </c>
      <c r="F11" s="51"/>
      <c r="G11" s="44"/>
      <c r="H11" s="52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 spans="1:26" ht="18" customHeight="1" x14ac:dyDescent="0.3">
      <c r="A12" s="44"/>
      <c r="B12" s="44"/>
      <c r="C12" s="116"/>
      <c r="D12" s="48" t="s">
        <v>57</v>
      </c>
      <c r="E12" s="50">
        <f t="array" ref="E12">INDEX('PAYRROLL- الشرائح'!$F$6:$AD$55,MATCH($C$7,'PAYRROLL- الشرائح'!$A$6:$A$55,0),6)</f>
        <v>0</v>
      </c>
      <c r="F12" s="51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</row>
    <row r="13" spans="1:26" ht="18" customHeight="1" x14ac:dyDescent="0.3">
      <c r="A13" s="44"/>
      <c r="B13" s="44"/>
      <c r="C13" s="117"/>
      <c r="D13" s="48" t="s">
        <v>58</v>
      </c>
      <c r="E13" s="50">
        <f t="array" ref="E13">INDEX('PAYRROLL- الشرائح'!$F$6:$AD$55,MATCH($C$7,'PAYRROLL- الشرائح'!$A$6:$A$55,0),4)</f>
        <v>4977</v>
      </c>
      <c r="F13" s="53"/>
      <c r="G13" s="52"/>
      <c r="H13" s="52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</row>
    <row r="14" spans="1:26" ht="18" customHeight="1" x14ac:dyDescent="0.3">
      <c r="A14" s="44"/>
      <c r="B14" s="44"/>
      <c r="C14" s="118" t="s">
        <v>45</v>
      </c>
      <c r="D14" s="119"/>
      <c r="E14" s="54">
        <f>SUM(E11:E13)</f>
        <v>5677</v>
      </c>
      <c r="F14" s="53"/>
      <c r="G14" s="52"/>
      <c r="H14" s="44"/>
      <c r="I14" s="52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</row>
    <row r="15" spans="1:26" ht="18" customHeight="1" x14ac:dyDescent="0.3">
      <c r="A15" s="44"/>
      <c r="B15" s="44"/>
      <c r="C15" s="120" t="s">
        <v>59</v>
      </c>
      <c r="D15" s="119"/>
      <c r="E15" s="55">
        <f t="array" ref="E15">INDEX('PAYRROLL- الشرائح'!$F$6:$AD$55,MATCH($C$7,'PAYRROLL- الشرائح'!$A$6:$A$55,0),12)</f>
        <v>5677</v>
      </c>
      <c r="F15" s="53"/>
      <c r="G15" s="52"/>
      <c r="H15" s="44"/>
      <c r="I15" s="52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</row>
    <row r="16" spans="1:26" ht="18" customHeight="1" x14ac:dyDescent="0.3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</row>
    <row r="17" spans="1:26" ht="18" customHeight="1" x14ac:dyDescent="0.3">
      <c r="A17" s="44"/>
      <c r="B17" s="44"/>
      <c r="C17" s="121" t="s">
        <v>60</v>
      </c>
      <c r="D17" s="48" t="s">
        <v>56</v>
      </c>
      <c r="E17" s="50">
        <f t="array" ref="E17">INDEX('PAYRROLL- الشرائح'!$F$6:$AD$55,MATCH($C$7,'PAYRROLL- الشرائح'!$A$6:$A$55,0),13)</f>
        <v>0</v>
      </c>
      <c r="F17" s="53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</row>
    <row r="18" spans="1:26" ht="19.5" customHeight="1" x14ac:dyDescent="0.3">
      <c r="A18" s="44"/>
      <c r="B18" s="44"/>
      <c r="C18" s="122"/>
      <c r="D18" s="48" t="s">
        <v>57</v>
      </c>
      <c r="E18" s="50">
        <f t="array" ref="E18">INDEX('PAYRROLL- الشرائح'!$F$6:$AD$55,MATCH($C$7,'PAYRROLL- الشرائح'!$A$6:$A$55,0),14)</f>
        <v>0</v>
      </c>
      <c r="F18" s="53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</row>
    <row r="19" spans="1:26" ht="18" customHeight="1" x14ac:dyDescent="0.3">
      <c r="A19" s="44"/>
      <c r="B19" s="44"/>
      <c r="C19" s="120" t="s">
        <v>45</v>
      </c>
      <c r="D19" s="119"/>
      <c r="E19" s="55">
        <f>E17+E18</f>
        <v>0</v>
      </c>
      <c r="F19" s="53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</row>
    <row r="20" spans="1:26" ht="18" customHeight="1" x14ac:dyDescent="0.3">
      <c r="A20" s="44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</row>
    <row r="21" spans="1:26" ht="18" customHeight="1" x14ac:dyDescent="0.3">
      <c r="A21" s="44"/>
      <c r="B21" s="44"/>
      <c r="C21" s="123" t="s">
        <v>61</v>
      </c>
      <c r="D21" s="119"/>
      <c r="E21" s="56">
        <f t="array" ref="E21">INDEX('PAYRROLL- الشرائح'!$F$6:$AD$55,MATCH($C$7,'PAYRROLL- الشرائح'!$A$6:$A$55,0),1)</f>
        <v>0</v>
      </c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</row>
    <row r="22" spans="1:26" ht="18" customHeight="1" x14ac:dyDescent="0.3">
      <c r="A22" s="44"/>
      <c r="B22" s="44"/>
      <c r="C22" s="123" t="s">
        <v>62</v>
      </c>
      <c r="D22" s="119"/>
      <c r="E22" s="56">
        <f t="array" ref="E22">INDEX('PAYRROLL- الشرائح'!$F$6:$AD$55,MATCH($C$7,'PAYRROLL- الشرائح'!$A$6:$A$55,0),2)</f>
        <v>0</v>
      </c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</row>
    <row r="23" spans="1:26" ht="18" customHeight="1" x14ac:dyDescent="0.3">
      <c r="A23" s="44"/>
      <c r="B23" s="44"/>
      <c r="C23" s="120" t="s">
        <v>45</v>
      </c>
      <c r="D23" s="119"/>
      <c r="E23" s="57">
        <f>SUM(E21:E22)</f>
        <v>0</v>
      </c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</row>
    <row r="24" spans="1:26" ht="18" customHeight="1" x14ac:dyDescent="0.3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</row>
    <row r="25" spans="1:26" ht="18" customHeight="1" x14ac:dyDescent="0.3">
      <c r="A25" s="44"/>
      <c r="B25" s="44"/>
      <c r="C25" s="124" t="s">
        <v>63</v>
      </c>
      <c r="D25" s="109"/>
      <c r="E25" s="58">
        <f t="array" ref="E25">INDEX('PAYRROLL- الشرائح'!$F$6:$AD$55,MATCH($C$7,'PAYRROLL- الشرائح'!$A$6:$A$55,0),21)</f>
        <v>0</v>
      </c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</row>
    <row r="26" spans="1:26" ht="18" customHeight="1" x14ac:dyDescent="0.3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</row>
    <row r="27" spans="1:26" ht="18" customHeight="1" x14ac:dyDescent="0.3">
      <c r="A27" s="44"/>
      <c r="B27" s="44"/>
      <c r="C27" s="125" t="s">
        <v>38</v>
      </c>
      <c r="D27" s="126"/>
      <c r="E27" s="59">
        <f>SUM(E19,E23,E25)</f>
        <v>0</v>
      </c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</row>
    <row r="28" spans="1:26" ht="18" customHeight="1" x14ac:dyDescent="0.3">
      <c r="A28" s="44"/>
      <c r="B28" s="44"/>
      <c r="C28" s="44"/>
      <c r="D28" s="44"/>
      <c r="E28" s="44"/>
      <c r="F28" s="60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</row>
    <row r="29" spans="1:26" ht="18" customHeight="1" x14ac:dyDescent="0.3">
      <c r="A29" s="44"/>
      <c r="B29" s="44"/>
      <c r="C29" s="108" t="s">
        <v>64</v>
      </c>
      <c r="D29" s="109"/>
      <c r="E29" s="61">
        <f>E15-E27</f>
        <v>5677</v>
      </c>
      <c r="F29" s="53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</row>
    <row r="30" spans="1:26" ht="18" customHeight="1" x14ac:dyDescent="0.3">
      <c r="A30" s="44"/>
      <c r="B30" s="44"/>
      <c r="C30" s="44"/>
      <c r="D30" s="44"/>
      <c r="E30" s="44"/>
      <c r="F30" s="53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</row>
    <row r="31" spans="1:26" ht="18" customHeight="1" x14ac:dyDescent="0.3">
      <c r="A31" s="44"/>
      <c r="B31" s="110" t="s">
        <v>65</v>
      </c>
      <c r="C31" s="64"/>
      <c r="D31" s="64"/>
      <c r="E31" s="6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</row>
    <row r="32" spans="1:26" ht="18" customHeight="1" x14ac:dyDescent="0.3">
      <c r="A32" s="44"/>
      <c r="B32" s="44"/>
      <c r="C32" s="44"/>
      <c r="D32" s="44"/>
      <c r="E32" s="44"/>
      <c r="F32" s="44"/>
      <c r="G32" s="52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</row>
    <row r="33" spans="1:26" ht="18" customHeight="1" x14ac:dyDescent="0.3">
      <c r="A33" s="44"/>
      <c r="B33" s="44"/>
      <c r="C33" s="62" t="s">
        <v>66</v>
      </c>
      <c r="D33" s="44"/>
      <c r="E33" s="44"/>
      <c r="F33" s="44"/>
      <c r="G33" s="52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</row>
    <row r="34" spans="1:26" ht="18" customHeight="1" x14ac:dyDescent="0.3">
      <c r="A34" s="44"/>
      <c r="B34" s="44"/>
      <c r="C34" s="44"/>
      <c r="D34" s="44"/>
      <c r="E34" s="44"/>
      <c r="F34" s="44"/>
      <c r="G34" s="52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</row>
    <row r="35" spans="1:26" ht="18" customHeight="1" x14ac:dyDescent="0.3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</row>
    <row r="36" spans="1:26" ht="18" customHeight="1" x14ac:dyDescent="0.3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</row>
    <row r="37" spans="1:26" ht="18" customHeight="1" x14ac:dyDescent="0.3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</row>
    <row r="38" spans="1:26" ht="18" customHeight="1" x14ac:dyDescent="0.3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</row>
    <row r="39" spans="1:26" ht="30" customHeight="1" x14ac:dyDescent="0.3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</row>
    <row r="40" spans="1:26" ht="30" customHeight="1" x14ac:dyDescent="0.3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</row>
    <row r="41" spans="1:26" ht="30" customHeight="1" x14ac:dyDescent="0.3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</row>
    <row r="42" spans="1:26" ht="30" customHeight="1" x14ac:dyDescent="0.3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</row>
    <row r="43" spans="1:26" ht="30" customHeight="1" x14ac:dyDescent="0.3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</row>
    <row r="44" spans="1:26" ht="18" customHeight="1" x14ac:dyDescent="0.3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</row>
    <row r="45" spans="1:26" ht="18" customHeight="1" x14ac:dyDescent="0.3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</row>
    <row r="46" spans="1:26" ht="18" customHeight="1" x14ac:dyDescent="0.3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</row>
    <row r="47" spans="1:26" ht="18" customHeight="1" x14ac:dyDescent="0.3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</row>
    <row r="48" spans="1:26" ht="18" customHeight="1" x14ac:dyDescent="0.3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</row>
    <row r="49" spans="1:26" ht="18" customHeight="1" x14ac:dyDescent="0.3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</row>
    <row r="50" spans="1:26" ht="18" customHeight="1" x14ac:dyDescent="0.3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</row>
    <row r="51" spans="1:26" ht="18" customHeight="1" x14ac:dyDescent="0.3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</row>
    <row r="52" spans="1:26" ht="18" customHeight="1" x14ac:dyDescent="0.3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</row>
    <row r="53" spans="1:26" ht="18" customHeight="1" x14ac:dyDescent="0.3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</row>
    <row r="54" spans="1:26" ht="18" customHeight="1" x14ac:dyDescent="0.3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</row>
    <row r="55" spans="1:26" ht="18" customHeight="1" x14ac:dyDescent="0.3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</row>
    <row r="56" spans="1:26" ht="18" customHeight="1" x14ac:dyDescent="0.3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</row>
    <row r="57" spans="1:26" ht="18" customHeight="1" x14ac:dyDescent="0.3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</row>
    <row r="58" spans="1:26" ht="18" customHeight="1" x14ac:dyDescent="0.3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</row>
    <row r="59" spans="1:26" ht="18" customHeight="1" x14ac:dyDescent="0.3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 spans="1:26" ht="18" customHeight="1" x14ac:dyDescent="0.3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</row>
    <row r="61" spans="1:26" ht="18" customHeight="1" x14ac:dyDescent="0.3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</row>
    <row r="62" spans="1:26" ht="18" customHeight="1" x14ac:dyDescent="0.3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</row>
    <row r="63" spans="1:26" ht="18" customHeight="1" x14ac:dyDescent="0.3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</row>
    <row r="64" spans="1:26" ht="18" customHeight="1" x14ac:dyDescent="0.3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</row>
    <row r="65" spans="1:26" ht="18" customHeight="1" x14ac:dyDescent="0.3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</row>
    <row r="66" spans="1:26" ht="18" customHeight="1" x14ac:dyDescent="0.3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</row>
    <row r="67" spans="1:26" ht="18" customHeight="1" x14ac:dyDescent="0.3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</row>
    <row r="68" spans="1:26" ht="18" customHeight="1" x14ac:dyDescent="0.3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</row>
    <row r="69" spans="1:26" ht="18" customHeight="1" x14ac:dyDescent="0.3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</row>
    <row r="70" spans="1:26" ht="18" customHeight="1" x14ac:dyDescent="0.3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</row>
    <row r="71" spans="1:26" ht="18" customHeight="1" x14ac:dyDescent="0.3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</row>
    <row r="72" spans="1:26" ht="18" customHeight="1" x14ac:dyDescent="0.3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</row>
    <row r="73" spans="1:26" ht="18" customHeight="1" x14ac:dyDescent="0.3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</row>
    <row r="74" spans="1:26" ht="18" customHeight="1" x14ac:dyDescent="0.3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</row>
    <row r="75" spans="1:26" ht="18" customHeight="1" x14ac:dyDescent="0.3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</row>
    <row r="76" spans="1:26" ht="18" customHeight="1" x14ac:dyDescent="0.3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</row>
    <row r="77" spans="1:26" ht="18" customHeight="1" x14ac:dyDescent="0.3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</row>
    <row r="78" spans="1:26" ht="18" customHeight="1" x14ac:dyDescent="0.3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</row>
    <row r="79" spans="1:26" ht="18" customHeight="1" x14ac:dyDescent="0.3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</row>
    <row r="80" spans="1:26" ht="18" customHeight="1" x14ac:dyDescent="0.3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</row>
    <row r="81" spans="1:26" ht="18" customHeight="1" x14ac:dyDescent="0.3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</row>
    <row r="82" spans="1:26" ht="18" customHeight="1" x14ac:dyDescent="0.3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</row>
    <row r="83" spans="1:26" ht="18" customHeight="1" x14ac:dyDescent="0.3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</row>
    <row r="84" spans="1:26" ht="18" customHeight="1" x14ac:dyDescent="0.3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</row>
    <row r="85" spans="1:26" ht="18" customHeight="1" x14ac:dyDescent="0.3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</row>
    <row r="86" spans="1:26" ht="18" customHeight="1" x14ac:dyDescent="0.3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</row>
    <row r="87" spans="1:26" ht="18" customHeight="1" x14ac:dyDescent="0.3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</row>
    <row r="88" spans="1:26" ht="18" customHeight="1" x14ac:dyDescent="0.3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</row>
    <row r="89" spans="1:26" ht="18" customHeight="1" x14ac:dyDescent="0.3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</row>
    <row r="90" spans="1:26" ht="18" customHeight="1" x14ac:dyDescent="0.3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</row>
    <row r="91" spans="1:26" ht="18" customHeight="1" x14ac:dyDescent="0.3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</row>
    <row r="92" spans="1:26" ht="18" customHeight="1" x14ac:dyDescent="0.3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</row>
    <row r="93" spans="1:26" ht="18" customHeight="1" x14ac:dyDescent="0.3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</row>
    <row r="94" spans="1:26" ht="18" customHeight="1" x14ac:dyDescent="0.3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</row>
    <row r="95" spans="1:26" ht="18" customHeight="1" x14ac:dyDescent="0.3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</row>
    <row r="96" spans="1:26" ht="18" customHeight="1" x14ac:dyDescent="0.3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</row>
    <row r="97" spans="1:26" ht="18" customHeight="1" x14ac:dyDescent="0.3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</row>
    <row r="98" spans="1:26" ht="18" customHeight="1" x14ac:dyDescent="0.3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</row>
    <row r="99" spans="1:26" ht="18" customHeight="1" x14ac:dyDescent="0.3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</row>
    <row r="100" spans="1:26" ht="18" customHeight="1" x14ac:dyDescent="0.3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</row>
    <row r="101" spans="1:26" ht="18" customHeight="1" x14ac:dyDescent="0.3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</row>
    <row r="102" spans="1:26" ht="18" customHeight="1" x14ac:dyDescent="0.3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</row>
    <row r="103" spans="1:26" ht="18" customHeight="1" x14ac:dyDescent="0.3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</row>
    <row r="104" spans="1:26" ht="18" customHeight="1" x14ac:dyDescent="0.3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</row>
    <row r="105" spans="1:26" ht="18" customHeight="1" x14ac:dyDescent="0.3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</row>
    <row r="106" spans="1:26" ht="18" customHeight="1" x14ac:dyDescent="0.3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</row>
    <row r="107" spans="1:26" ht="18" customHeight="1" x14ac:dyDescent="0.3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</row>
    <row r="108" spans="1:26" ht="18" customHeight="1" x14ac:dyDescent="0.3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</row>
    <row r="109" spans="1:26" ht="18" customHeight="1" x14ac:dyDescent="0.3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</row>
    <row r="110" spans="1:26" ht="18" customHeight="1" x14ac:dyDescent="0.3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</row>
    <row r="111" spans="1:26" ht="18" customHeight="1" x14ac:dyDescent="0.3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</row>
    <row r="112" spans="1:26" ht="18" customHeight="1" x14ac:dyDescent="0.3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</row>
    <row r="113" spans="1:26" ht="18" customHeight="1" x14ac:dyDescent="0.3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</row>
    <row r="114" spans="1:26" ht="18" customHeight="1" x14ac:dyDescent="0.3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</row>
    <row r="115" spans="1:26" ht="18" customHeight="1" x14ac:dyDescent="0.3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</row>
    <row r="116" spans="1:26" ht="18" customHeight="1" x14ac:dyDescent="0.3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</row>
    <row r="117" spans="1:26" ht="18" customHeight="1" x14ac:dyDescent="0.3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</row>
    <row r="118" spans="1:26" ht="18" customHeight="1" x14ac:dyDescent="0.3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</row>
    <row r="119" spans="1:26" ht="18" customHeight="1" x14ac:dyDescent="0.3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</row>
    <row r="120" spans="1:26" ht="18" customHeight="1" x14ac:dyDescent="0.3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</row>
    <row r="121" spans="1:26" ht="18" customHeight="1" x14ac:dyDescent="0.3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</row>
    <row r="122" spans="1:26" ht="18" customHeight="1" x14ac:dyDescent="0.3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</row>
    <row r="123" spans="1:26" ht="18" customHeight="1" x14ac:dyDescent="0.3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</row>
    <row r="124" spans="1:26" ht="18" customHeight="1" x14ac:dyDescent="0.3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</row>
    <row r="125" spans="1:26" ht="18" customHeight="1" x14ac:dyDescent="0.3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</row>
    <row r="126" spans="1:26" ht="18" customHeight="1" x14ac:dyDescent="0.3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</row>
    <row r="127" spans="1:26" ht="18" customHeight="1" x14ac:dyDescent="0.3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</row>
    <row r="128" spans="1:26" ht="18" customHeight="1" x14ac:dyDescent="0.3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</row>
    <row r="129" spans="1:26" ht="18" customHeight="1" x14ac:dyDescent="0.3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</row>
    <row r="130" spans="1:26" ht="18" customHeight="1" x14ac:dyDescent="0.3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</row>
    <row r="131" spans="1:26" ht="18" customHeight="1" x14ac:dyDescent="0.3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</row>
    <row r="132" spans="1:26" ht="18" customHeight="1" x14ac:dyDescent="0.3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</row>
    <row r="133" spans="1:26" ht="18" customHeight="1" x14ac:dyDescent="0.3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</row>
    <row r="134" spans="1:26" ht="18" customHeight="1" x14ac:dyDescent="0.3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</row>
    <row r="135" spans="1:26" ht="18" customHeight="1" x14ac:dyDescent="0.3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</row>
    <row r="136" spans="1:26" ht="18" customHeight="1" x14ac:dyDescent="0.3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</row>
    <row r="137" spans="1:26" ht="18" customHeight="1" x14ac:dyDescent="0.3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</row>
    <row r="138" spans="1:26" ht="18" customHeight="1" x14ac:dyDescent="0.3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</row>
    <row r="139" spans="1:26" ht="18" customHeight="1" x14ac:dyDescent="0.3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</row>
    <row r="140" spans="1:26" ht="18" customHeight="1" x14ac:dyDescent="0.3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</row>
    <row r="141" spans="1:26" ht="18" customHeight="1" x14ac:dyDescent="0.3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</row>
    <row r="142" spans="1:26" ht="18" customHeight="1" x14ac:dyDescent="0.3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</row>
    <row r="143" spans="1:26" ht="18" customHeight="1" x14ac:dyDescent="0.3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</row>
    <row r="144" spans="1:26" ht="18" customHeight="1" x14ac:dyDescent="0.3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</row>
    <row r="145" spans="1:26" ht="18" customHeight="1" x14ac:dyDescent="0.3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</row>
    <row r="146" spans="1:26" ht="18" customHeight="1" x14ac:dyDescent="0.3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</row>
    <row r="147" spans="1:26" ht="18" customHeight="1" x14ac:dyDescent="0.3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</row>
    <row r="148" spans="1:26" ht="18" customHeight="1" x14ac:dyDescent="0.3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</row>
    <row r="149" spans="1:26" ht="18" customHeight="1" x14ac:dyDescent="0.3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</row>
    <row r="150" spans="1:26" ht="18" customHeight="1" x14ac:dyDescent="0.3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</row>
    <row r="151" spans="1:26" ht="18" customHeight="1" x14ac:dyDescent="0.3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</row>
    <row r="152" spans="1:26" ht="18" customHeight="1" x14ac:dyDescent="0.3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</row>
    <row r="153" spans="1:26" ht="18" customHeight="1" x14ac:dyDescent="0.3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</row>
    <row r="154" spans="1:26" ht="18" customHeight="1" x14ac:dyDescent="0.3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</row>
    <row r="155" spans="1:26" ht="18" customHeight="1" x14ac:dyDescent="0.3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</row>
    <row r="156" spans="1:26" ht="18" customHeight="1" x14ac:dyDescent="0.3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</row>
    <row r="157" spans="1:26" ht="18" customHeight="1" x14ac:dyDescent="0.3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</row>
    <row r="158" spans="1:26" ht="18" customHeight="1" x14ac:dyDescent="0.3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</row>
    <row r="159" spans="1:26" ht="18" customHeight="1" x14ac:dyDescent="0.3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</row>
    <row r="160" spans="1:26" ht="18" customHeight="1" x14ac:dyDescent="0.3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</row>
    <row r="161" spans="1:26" ht="18" customHeight="1" x14ac:dyDescent="0.3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</row>
    <row r="162" spans="1:26" ht="18" customHeight="1" x14ac:dyDescent="0.3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</row>
    <row r="163" spans="1:26" ht="18" customHeight="1" x14ac:dyDescent="0.3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</row>
    <row r="164" spans="1:26" ht="18" customHeight="1" x14ac:dyDescent="0.3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</row>
    <row r="165" spans="1:26" ht="18" customHeight="1" x14ac:dyDescent="0.3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</row>
    <row r="166" spans="1:26" ht="18" customHeight="1" x14ac:dyDescent="0.3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</row>
    <row r="167" spans="1:26" ht="18" customHeight="1" x14ac:dyDescent="0.3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</row>
    <row r="168" spans="1:26" ht="18" customHeight="1" x14ac:dyDescent="0.3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</row>
    <row r="169" spans="1:26" ht="18" customHeight="1" x14ac:dyDescent="0.3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</row>
    <row r="170" spans="1:26" ht="18" customHeight="1" x14ac:dyDescent="0.3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</row>
    <row r="171" spans="1:26" ht="18" customHeight="1" x14ac:dyDescent="0.3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</row>
    <row r="172" spans="1:26" ht="18" customHeight="1" x14ac:dyDescent="0.3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</row>
    <row r="173" spans="1:26" ht="18" customHeight="1" x14ac:dyDescent="0.3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</row>
    <row r="174" spans="1:26" ht="18" customHeight="1" x14ac:dyDescent="0.3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</row>
    <row r="175" spans="1:26" ht="18" customHeight="1" x14ac:dyDescent="0.3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</row>
    <row r="176" spans="1:26" ht="18" customHeight="1" x14ac:dyDescent="0.3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</row>
    <row r="177" spans="1:26" ht="18" customHeight="1" x14ac:dyDescent="0.3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</row>
    <row r="178" spans="1:26" ht="18" customHeight="1" x14ac:dyDescent="0.3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</row>
    <row r="179" spans="1:26" ht="18" customHeight="1" x14ac:dyDescent="0.3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</row>
    <row r="180" spans="1:26" ht="18" customHeight="1" x14ac:dyDescent="0.3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</row>
    <row r="181" spans="1:26" ht="18" customHeight="1" x14ac:dyDescent="0.3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</row>
    <row r="182" spans="1:26" ht="18" customHeight="1" x14ac:dyDescent="0.3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</row>
    <row r="183" spans="1:26" ht="18" customHeight="1" x14ac:dyDescent="0.3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</row>
    <row r="184" spans="1:26" ht="18" customHeight="1" x14ac:dyDescent="0.3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</row>
    <row r="185" spans="1:26" ht="18" customHeight="1" x14ac:dyDescent="0.3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</row>
    <row r="186" spans="1:26" ht="18" customHeight="1" x14ac:dyDescent="0.3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</row>
    <row r="187" spans="1:26" ht="18" customHeight="1" x14ac:dyDescent="0.3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</row>
    <row r="188" spans="1:26" ht="18" customHeight="1" x14ac:dyDescent="0.3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</row>
    <row r="189" spans="1:26" ht="18" customHeight="1" x14ac:dyDescent="0.3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</row>
    <row r="190" spans="1:26" ht="18" customHeight="1" x14ac:dyDescent="0.3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</row>
    <row r="191" spans="1:26" ht="18" customHeight="1" x14ac:dyDescent="0.3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</row>
    <row r="192" spans="1:26" ht="18" customHeight="1" x14ac:dyDescent="0.3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</row>
    <row r="193" spans="1:26" ht="18" customHeight="1" x14ac:dyDescent="0.3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</row>
    <row r="194" spans="1:26" ht="18" customHeight="1" x14ac:dyDescent="0.3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</row>
    <row r="195" spans="1:26" ht="18" customHeight="1" x14ac:dyDescent="0.3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</row>
    <row r="196" spans="1:26" ht="18" customHeight="1" x14ac:dyDescent="0.3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</row>
    <row r="197" spans="1:26" ht="18" customHeight="1" x14ac:dyDescent="0.3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</row>
    <row r="198" spans="1:26" ht="18" customHeight="1" x14ac:dyDescent="0.3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</row>
    <row r="199" spans="1:26" ht="18" customHeight="1" x14ac:dyDescent="0.3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</row>
    <row r="200" spans="1:26" ht="18" customHeight="1" x14ac:dyDescent="0.3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</row>
    <row r="201" spans="1:26" ht="18" customHeight="1" x14ac:dyDescent="0.3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</row>
    <row r="202" spans="1:26" ht="18" customHeight="1" x14ac:dyDescent="0.3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</row>
    <row r="203" spans="1:26" ht="18" customHeight="1" x14ac:dyDescent="0.3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</row>
    <row r="204" spans="1:26" ht="18" customHeight="1" x14ac:dyDescent="0.3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</row>
    <row r="205" spans="1:26" ht="18" customHeight="1" x14ac:dyDescent="0.3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</row>
    <row r="206" spans="1:26" ht="18" customHeight="1" x14ac:dyDescent="0.3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</row>
    <row r="207" spans="1:26" ht="18" customHeight="1" x14ac:dyDescent="0.3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</row>
    <row r="208" spans="1:26" ht="18" customHeight="1" x14ac:dyDescent="0.3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</row>
    <row r="209" spans="1:26" ht="18" customHeight="1" x14ac:dyDescent="0.3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</row>
    <row r="210" spans="1:26" ht="18" customHeight="1" x14ac:dyDescent="0.3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</row>
    <row r="211" spans="1:26" ht="18" customHeight="1" x14ac:dyDescent="0.3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</row>
    <row r="212" spans="1:26" ht="18" customHeight="1" x14ac:dyDescent="0.3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</row>
    <row r="213" spans="1:26" ht="18" customHeight="1" x14ac:dyDescent="0.3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</row>
    <row r="214" spans="1:26" ht="18" customHeight="1" x14ac:dyDescent="0.3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</row>
    <row r="215" spans="1:26" ht="18" customHeight="1" x14ac:dyDescent="0.3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</row>
    <row r="216" spans="1:26" ht="18" customHeight="1" x14ac:dyDescent="0.3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</row>
    <row r="217" spans="1:26" ht="18" customHeight="1" x14ac:dyDescent="0.3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</row>
    <row r="218" spans="1:26" ht="18" customHeight="1" x14ac:dyDescent="0.3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</row>
    <row r="219" spans="1:26" ht="18" customHeight="1" x14ac:dyDescent="0.3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</row>
    <row r="220" spans="1:26" ht="18" customHeight="1" x14ac:dyDescent="0.3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</row>
    <row r="221" spans="1:26" ht="18" customHeight="1" x14ac:dyDescent="0.3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</row>
    <row r="222" spans="1:26" ht="18" customHeight="1" x14ac:dyDescent="0.3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</row>
    <row r="223" spans="1:26" ht="18" customHeight="1" x14ac:dyDescent="0.3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</row>
    <row r="224" spans="1:26" ht="18" customHeight="1" x14ac:dyDescent="0.3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</row>
    <row r="225" spans="1:26" ht="18" customHeight="1" x14ac:dyDescent="0.3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</row>
    <row r="226" spans="1:26" ht="18" customHeight="1" x14ac:dyDescent="0.3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</row>
    <row r="227" spans="1:26" ht="18" customHeight="1" x14ac:dyDescent="0.3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</row>
    <row r="228" spans="1:26" ht="18" customHeight="1" x14ac:dyDescent="0.3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</row>
    <row r="229" spans="1:26" ht="18" customHeight="1" x14ac:dyDescent="0.3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</row>
    <row r="230" spans="1:26" ht="18" customHeight="1" x14ac:dyDescent="0.3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</row>
    <row r="231" spans="1:26" ht="18" customHeight="1" x14ac:dyDescent="0.3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</row>
    <row r="232" spans="1:26" ht="18" customHeight="1" x14ac:dyDescent="0.3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</row>
    <row r="233" spans="1:26" ht="18" customHeight="1" x14ac:dyDescent="0.3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</row>
    <row r="234" spans="1:26" ht="18" customHeight="1" x14ac:dyDescent="0.3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</row>
    <row r="235" spans="1:26" ht="18" customHeight="1" x14ac:dyDescent="0.3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</row>
    <row r="236" spans="1:26" ht="18" customHeight="1" x14ac:dyDescent="0.3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</row>
    <row r="237" spans="1:26" ht="18" customHeight="1" x14ac:dyDescent="0.3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</row>
    <row r="238" spans="1:26" ht="18" customHeight="1" x14ac:dyDescent="0.3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</row>
    <row r="239" spans="1:26" ht="18" customHeight="1" x14ac:dyDescent="0.3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</row>
    <row r="240" spans="1:26" ht="18" customHeight="1" x14ac:dyDescent="0.3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</row>
    <row r="241" spans="1:26" ht="18" customHeight="1" x14ac:dyDescent="0.3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</row>
    <row r="242" spans="1:26" ht="18" customHeight="1" x14ac:dyDescent="0.3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</row>
    <row r="243" spans="1:26" ht="18" customHeight="1" x14ac:dyDescent="0.3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</row>
    <row r="244" spans="1:26" ht="18" customHeight="1" x14ac:dyDescent="0.3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</row>
    <row r="245" spans="1:26" ht="18" customHeight="1" x14ac:dyDescent="0.3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</row>
    <row r="246" spans="1:26" ht="18" customHeight="1" x14ac:dyDescent="0.3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</row>
    <row r="247" spans="1:26" ht="18" customHeight="1" x14ac:dyDescent="0.3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</row>
    <row r="248" spans="1:26" ht="18" customHeight="1" x14ac:dyDescent="0.3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</row>
    <row r="249" spans="1:26" ht="18" customHeight="1" x14ac:dyDescent="0.3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</row>
    <row r="250" spans="1:26" ht="18" customHeight="1" x14ac:dyDescent="0.3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</row>
    <row r="251" spans="1:26" ht="18" customHeight="1" x14ac:dyDescent="0.3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</row>
    <row r="252" spans="1:26" ht="18" customHeight="1" x14ac:dyDescent="0.3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</row>
    <row r="253" spans="1:26" ht="18" customHeight="1" x14ac:dyDescent="0.3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</row>
    <row r="254" spans="1:26" ht="18" customHeight="1" x14ac:dyDescent="0.3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</row>
    <row r="255" spans="1:26" ht="18" customHeight="1" x14ac:dyDescent="0.3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</row>
    <row r="256" spans="1:26" ht="18" customHeight="1" x14ac:dyDescent="0.3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</row>
    <row r="257" spans="1:26" ht="18" customHeight="1" x14ac:dyDescent="0.3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</row>
    <row r="258" spans="1:26" ht="18" customHeight="1" x14ac:dyDescent="0.3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</row>
    <row r="259" spans="1:26" ht="18" customHeight="1" x14ac:dyDescent="0.3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</row>
    <row r="260" spans="1:26" ht="18" customHeight="1" x14ac:dyDescent="0.3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</row>
    <row r="261" spans="1:26" ht="18" customHeight="1" x14ac:dyDescent="0.3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</row>
    <row r="262" spans="1:26" ht="18" customHeight="1" x14ac:dyDescent="0.3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</row>
    <row r="263" spans="1:26" ht="18" customHeight="1" x14ac:dyDescent="0.3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</row>
    <row r="264" spans="1:26" ht="18" customHeight="1" x14ac:dyDescent="0.3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</row>
    <row r="265" spans="1:26" ht="18" customHeight="1" x14ac:dyDescent="0.3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</row>
    <row r="266" spans="1:26" ht="18" customHeight="1" x14ac:dyDescent="0.3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</row>
    <row r="267" spans="1:26" ht="18" customHeight="1" x14ac:dyDescent="0.3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</row>
    <row r="268" spans="1:26" ht="18" customHeight="1" x14ac:dyDescent="0.3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</row>
    <row r="269" spans="1:26" ht="18" customHeight="1" x14ac:dyDescent="0.3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</row>
    <row r="270" spans="1:26" ht="18" customHeight="1" x14ac:dyDescent="0.3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</row>
    <row r="271" spans="1:26" ht="18" customHeight="1" x14ac:dyDescent="0.3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</row>
    <row r="272" spans="1:26" ht="18" customHeight="1" x14ac:dyDescent="0.3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</row>
    <row r="273" spans="1:26" ht="18" customHeight="1" x14ac:dyDescent="0.3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</row>
    <row r="274" spans="1:26" ht="18" customHeight="1" x14ac:dyDescent="0.3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</row>
    <row r="275" spans="1:26" ht="18" customHeight="1" x14ac:dyDescent="0.3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</row>
    <row r="276" spans="1:26" ht="18" customHeight="1" x14ac:dyDescent="0.3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</row>
    <row r="277" spans="1:26" ht="18" customHeight="1" x14ac:dyDescent="0.3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</row>
    <row r="278" spans="1:26" ht="18" customHeight="1" x14ac:dyDescent="0.3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</row>
    <row r="279" spans="1:26" ht="18" customHeight="1" x14ac:dyDescent="0.3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</row>
    <row r="280" spans="1:26" ht="18" customHeight="1" x14ac:dyDescent="0.3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</row>
    <row r="281" spans="1:26" ht="18" customHeight="1" x14ac:dyDescent="0.3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</row>
    <row r="282" spans="1:26" ht="18" customHeight="1" x14ac:dyDescent="0.3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</row>
    <row r="283" spans="1:26" ht="18" customHeight="1" x14ac:dyDescent="0.3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</row>
    <row r="284" spans="1:26" ht="18" customHeight="1" x14ac:dyDescent="0.3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</row>
    <row r="285" spans="1:26" ht="18" customHeight="1" x14ac:dyDescent="0.3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</row>
    <row r="286" spans="1:26" ht="18" customHeight="1" x14ac:dyDescent="0.3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</row>
    <row r="287" spans="1:26" ht="18" customHeight="1" x14ac:dyDescent="0.3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</row>
    <row r="288" spans="1:26" ht="18" customHeight="1" x14ac:dyDescent="0.3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</row>
    <row r="289" spans="1:26" ht="18" customHeight="1" x14ac:dyDescent="0.3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</row>
    <row r="290" spans="1:26" ht="18" customHeight="1" x14ac:dyDescent="0.3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</row>
    <row r="291" spans="1:26" ht="18" customHeight="1" x14ac:dyDescent="0.3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</row>
    <row r="292" spans="1:26" ht="18" customHeight="1" x14ac:dyDescent="0.3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</row>
    <row r="293" spans="1:26" ht="18" customHeight="1" x14ac:dyDescent="0.3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</row>
    <row r="294" spans="1:26" ht="18" customHeight="1" x14ac:dyDescent="0.3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</row>
    <row r="295" spans="1:26" ht="18" customHeight="1" x14ac:dyDescent="0.3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</row>
    <row r="296" spans="1:26" ht="18" customHeight="1" x14ac:dyDescent="0.3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</row>
    <row r="297" spans="1:26" ht="18" customHeight="1" x14ac:dyDescent="0.3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</row>
    <row r="298" spans="1:26" ht="18" customHeight="1" x14ac:dyDescent="0.3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</row>
    <row r="299" spans="1:26" ht="18" customHeight="1" x14ac:dyDescent="0.3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</row>
    <row r="300" spans="1:26" ht="18" customHeight="1" x14ac:dyDescent="0.3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</row>
    <row r="301" spans="1:26" ht="18" customHeight="1" x14ac:dyDescent="0.3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</row>
    <row r="302" spans="1:26" ht="18" customHeight="1" x14ac:dyDescent="0.3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</row>
    <row r="303" spans="1:26" ht="18" customHeight="1" x14ac:dyDescent="0.3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</row>
    <row r="304" spans="1:26" ht="18" customHeight="1" x14ac:dyDescent="0.3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</row>
    <row r="305" spans="1:26" ht="18" customHeight="1" x14ac:dyDescent="0.3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</row>
    <row r="306" spans="1:26" ht="18" customHeight="1" x14ac:dyDescent="0.3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</row>
    <row r="307" spans="1:26" ht="18" customHeight="1" x14ac:dyDescent="0.3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</row>
    <row r="308" spans="1:26" ht="18" customHeight="1" x14ac:dyDescent="0.3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</row>
    <row r="309" spans="1:26" ht="18" customHeight="1" x14ac:dyDescent="0.3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</row>
    <row r="310" spans="1:26" ht="18" customHeight="1" x14ac:dyDescent="0.3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</row>
    <row r="311" spans="1:26" ht="18" customHeight="1" x14ac:dyDescent="0.3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</row>
    <row r="312" spans="1:26" ht="18" customHeight="1" x14ac:dyDescent="0.3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</row>
    <row r="313" spans="1:26" ht="18" customHeight="1" x14ac:dyDescent="0.3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</row>
    <row r="314" spans="1:26" ht="18" customHeight="1" x14ac:dyDescent="0.3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</row>
    <row r="315" spans="1:26" ht="18" customHeight="1" x14ac:dyDescent="0.3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</row>
    <row r="316" spans="1:26" ht="18" customHeight="1" x14ac:dyDescent="0.3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</row>
    <row r="317" spans="1:26" ht="18" customHeight="1" x14ac:dyDescent="0.3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</row>
    <row r="318" spans="1:26" ht="18" customHeight="1" x14ac:dyDescent="0.3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</row>
    <row r="319" spans="1:26" ht="18" customHeight="1" x14ac:dyDescent="0.3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</row>
    <row r="320" spans="1:26" ht="18" customHeight="1" x14ac:dyDescent="0.3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</row>
    <row r="321" spans="1:26" ht="18" customHeight="1" x14ac:dyDescent="0.3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</row>
    <row r="322" spans="1:26" ht="18" customHeight="1" x14ac:dyDescent="0.3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</row>
    <row r="323" spans="1:26" ht="18" customHeight="1" x14ac:dyDescent="0.3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</row>
    <row r="324" spans="1:26" ht="18" customHeight="1" x14ac:dyDescent="0.3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</row>
    <row r="325" spans="1:26" ht="18" customHeight="1" x14ac:dyDescent="0.3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</row>
    <row r="326" spans="1:26" ht="18" customHeight="1" x14ac:dyDescent="0.3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</row>
    <row r="327" spans="1:26" ht="18" customHeight="1" x14ac:dyDescent="0.3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</row>
    <row r="328" spans="1:26" ht="18" customHeight="1" x14ac:dyDescent="0.3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</row>
    <row r="329" spans="1:26" ht="18" customHeight="1" x14ac:dyDescent="0.3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</row>
    <row r="330" spans="1:26" ht="18" customHeight="1" x14ac:dyDescent="0.3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</row>
    <row r="331" spans="1:26" ht="18" customHeight="1" x14ac:dyDescent="0.3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</row>
    <row r="332" spans="1:26" ht="18" customHeight="1" x14ac:dyDescent="0.3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</row>
    <row r="333" spans="1:26" ht="18" customHeight="1" x14ac:dyDescent="0.3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</row>
    <row r="334" spans="1:26" ht="18" customHeight="1" x14ac:dyDescent="0.3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</row>
    <row r="335" spans="1:26" ht="18" customHeight="1" x14ac:dyDescent="0.3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</row>
    <row r="336" spans="1:26" ht="18" customHeight="1" x14ac:dyDescent="0.3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</row>
    <row r="337" spans="1:26" ht="18" customHeight="1" x14ac:dyDescent="0.3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</row>
    <row r="338" spans="1:26" ht="18" customHeight="1" x14ac:dyDescent="0.3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</row>
    <row r="339" spans="1:26" ht="18" customHeight="1" x14ac:dyDescent="0.3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</row>
    <row r="340" spans="1:26" ht="18" customHeight="1" x14ac:dyDescent="0.3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</row>
    <row r="341" spans="1:26" ht="18" customHeight="1" x14ac:dyDescent="0.3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</row>
    <row r="342" spans="1:26" ht="18" customHeight="1" x14ac:dyDescent="0.3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</row>
    <row r="343" spans="1:26" ht="18" customHeight="1" x14ac:dyDescent="0.3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</row>
    <row r="344" spans="1:26" ht="18" customHeight="1" x14ac:dyDescent="0.3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</row>
    <row r="345" spans="1:26" ht="18" customHeight="1" x14ac:dyDescent="0.3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</row>
    <row r="346" spans="1:26" ht="18" customHeight="1" x14ac:dyDescent="0.3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</row>
    <row r="347" spans="1:26" ht="18" customHeight="1" x14ac:dyDescent="0.3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</row>
    <row r="348" spans="1:26" ht="18" customHeight="1" x14ac:dyDescent="0.3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</row>
    <row r="349" spans="1:26" ht="18" customHeight="1" x14ac:dyDescent="0.3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</row>
    <row r="350" spans="1:26" ht="18" customHeight="1" x14ac:dyDescent="0.3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</row>
    <row r="351" spans="1:26" ht="18" customHeight="1" x14ac:dyDescent="0.3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</row>
    <row r="352" spans="1:26" ht="18" customHeight="1" x14ac:dyDescent="0.3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</row>
    <row r="353" spans="1:26" ht="18" customHeight="1" x14ac:dyDescent="0.3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</row>
    <row r="354" spans="1:26" ht="18" customHeight="1" x14ac:dyDescent="0.3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</row>
    <row r="355" spans="1:26" ht="18" customHeight="1" x14ac:dyDescent="0.3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</row>
    <row r="356" spans="1:26" ht="18" customHeight="1" x14ac:dyDescent="0.3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</row>
    <row r="357" spans="1:26" ht="18" customHeight="1" x14ac:dyDescent="0.3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</row>
    <row r="358" spans="1:26" ht="18" customHeight="1" x14ac:dyDescent="0.3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</row>
    <row r="359" spans="1:26" ht="18" customHeight="1" x14ac:dyDescent="0.3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</row>
    <row r="360" spans="1:26" ht="18" customHeight="1" x14ac:dyDescent="0.3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</row>
    <row r="361" spans="1:26" ht="18" customHeight="1" x14ac:dyDescent="0.3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</row>
    <row r="362" spans="1:26" ht="18" customHeight="1" x14ac:dyDescent="0.3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</row>
    <row r="363" spans="1:26" ht="18" customHeight="1" x14ac:dyDescent="0.3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</row>
    <row r="364" spans="1:26" ht="18" customHeight="1" x14ac:dyDescent="0.3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</row>
    <row r="365" spans="1:26" ht="18" customHeight="1" x14ac:dyDescent="0.3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</row>
    <row r="366" spans="1:26" ht="18" customHeight="1" x14ac:dyDescent="0.3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</row>
    <row r="367" spans="1:26" ht="18" customHeight="1" x14ac:dyDescent="0.3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</row>
    <row r="368" spans="1:26" ht="18" customHeight="1" x14ac:dyDescent="0.3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</row>
    <row r="369" spans="1:26" ht="18" customHeight="1" x14ac:dyDescent="0.3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</row>
    <row r="370" spans="1:26" ht="18" customHeight="1" x14ac:dyDescent="0.3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</row>
    <row r="371" spans="1:26" ht="18" customHeight="1" x14ac:dyDescent="0.3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</row>
    <row r="372" spans="1:26" ht="18" customHeight="1" x14ac:dyDescent="0.3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</row>
    <row r="373" spans="1:26" ht="18" customHeight="1" x14ac:dyDescent="0.3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</row>
    <row r="374" spans="1:26" ht="18" customHeight="1" x14ac:dyDescent="0.3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</row>
    <row r="375" spans="1:26" ht="18" customHeight="1" x14ac:dyDescent="0.3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</row>
    <row r="376" spans="1:26" ht="18" customHeight="1" x14ac:dyDescent="0.3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</row>
    <row r="377" spans="1:26" ht="18" customHeight="1" x14ac:dyDescent="0.3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</row>
    <row r="378" spans="1:26" ht="18" customHeight="1" x14ac:dyDescent="0.3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</row>
    <row r="379" spans="1:26" ht="18" customHeight="1" x14ac:dyDescent="0.3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</row>
    <row r="380" spans="1:26" ht="18" customHeight="1" x14ac:dyDescent="0.3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</row>
    <row r="381" spans="1:26" ht="18" customHeight="1" x14ac:dyDescent="0.3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</row>
    <row r="382" spans="1:26" ht="18" customHeight="1" x14ac:dyDescent="0.3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</row>
    <row r="383" spans="1:26" ht="18" customHeight="1" x14ac:dyDescent="0.3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</row>
    <row r="384" spans="1:26" ht="18" customHeight="1" x14ac:dyDescent="0.3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</row>
    <row r="385" spans="1:26" ht="18" customHeight="1" x14ac:dyDescent="0.3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</row>
    <row r="386" spans="1:26" ht="18" customHeight="1" x14ac:dyDescent="0.3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</row>
    <row r="387" spans="1:26" ht="18" customHeight="1" x14ac:dyDescent="0.3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</row>
    <row r="388" spans="1:26" ht="18" customHeight="1" x14ac:dyDescent="0.3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</row>
    <row r="389" spans="1:26" ht="18" customHeight="1" x14ac:dyDescent="0.3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</row>
    <row r="390" spans="1:26" ht="18" customHeight="1" x14ac:dyDescent="0.3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</row>
    <row r="391" spans="1:26" ht="18" customHeight="1" x14ac:dyDescent="0.3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</row>
    <row r="392" spans="1:26" ht="18" customHeight="1" x14ac:dyDescent="0.3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</row>
    <row r="393" spans="1:26" ht="18" customHeight="1" x14ac:dyDescent="0.3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</row>
    <row r="394" spans="1:26" ht="18" customHeight="1" x14ac:dyDescent="0.3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</row>
    <row r="395" spans="1:26" ht="18" customHeight="1" x14ac:dyDescent="0.3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</row>
    <row r="396" spans="1:26" ht="18" customHeight="1" x14ac:dyDescent="0.3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</row>
    <row r="397" spans="1:26" ht="18" customHeight="1" x14ac:dyDescent="0.3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</row>
    <row r="398" spans="1:26" ht="18" customHeight="1" x14ac:dyDescent="0.3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</row>
    <row r="399" spans="1:26" ht="18" customHeight="1" x14ac:dyDescent="0.3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</row>
    <row r="400" spans="1:26" ht="18" customHeight="1" x14ac:dyDescent="0.3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</row>
    <row r="401" spans="1:26" ht="18" customHeight="1" x14ac:dyDescent="0.3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</row>
    <row r="402" spans="1:26" ht="18" customHeight="1" x14ac:dyDescent="0.3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</row>
    <row r="403" spans="1:26" ht="18" customHeight="1" x14ac:dyDescent="0.3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</row>
    <row r="404" spans="1:26" ht="18" customHeight="1" x14ac:dyDescent="0.3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</row>
    <row r="405" spans="1:26" ht="18" customHeight="1" x14ac:dyDescent="0.3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</row>
    <row r="406" spans="1:26" ht="18" customHeight="1" x14ac:dyDescent="0.3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</row>
    <row r="407" spans="1:26" ht="18" customHeight="1" x14ac:dyDescent="0.3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</row>
    <row r="408" spans="1:26" ht="18" customHeight="1" x14ac:dyDescent="0.3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</row>
    <row r="409" spans="1:26" ht="18" customHeight="1" x14ac:dyDescent="0.3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</row>
    <row r="410" spans="1:26" ht="18" customHeight="1" x14ac:dyDescent="0.3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</row>
    <row r="411" spans="1:26" ht="18" customHeight="1" x14ac:dyDescent="0.3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</row>
    <row r="412" spans="1:26" ht="18" customHeight="1" x14ac:dyDescent="0.3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</row>
    <row r="413" spans="1:26" ht="18" customHeight="1" x14ac:dyDescent="0.3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</row>
    <row r="414" spans="1:26" ht="18" customHeight="1" x14ac:dyDescent="0.3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</row>
    <row r="415" spans="1:26" ht="18" customHeight="1" x14ac:dyDescent="0.3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</row>
    <row r="416" spans="1:26" ht="18" customHeight="1" x14ac:dyDescent="0.3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</row>
    <row r="417" spans="1:26" ht="18" customHeight="1" x14ac:dyDescent="0.3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</row>
    <row r="418" spans="1:26" ht="18" customHeight="1" x14ac:dyDescent="0.3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</row>
    <row r="419" spans="1:26" ht="18" customHeight="1" x14ac:dyDescent="0.3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</row>
    <row r="420" spans="1:26" ht="18" customHeight="1" x14ac:dyDescent="0.3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</row>
    <row r="421" spans="1:26" ht="18" customHeight="1" x14ac:dyDescent="0.3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</row>
    <row r="422" spans="1:26" ht="18" customHeight="1" x14ac:dyDescent="0.3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</row>
    <row r="423" spans="1:26" ht="18" customHeight="1" x14ac:dyDescent="0.3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</row>
    <row r="424" spans="1:26" ht="18" customHeight="1" x14ac:dyDescent="0.3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</row>
    <row r="425" spans="1:26" ht="18" customHeight="1" x14ac:dyDescent="0.3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</row>
    <row r="426" spans="1:26" ht="18" customHeight="1" x14ac:dyDescent="0.3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</row>
    <row r="427" spans="1:26" ht="18" customHeight="1" x14ac:dyDescent="0.3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</row>
    <row r="428" spans="1:26" ht="18" customHeight="1" x14ac:dyDescent="0.3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</row>
    <row r="429" spans="1:26" ht="18" customHeight="1" x14ac:dyDescent="0.3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</row>
    <row r="430" spans="1:26" ht="18" customHeight="1" x14ac:dyDescent="0.3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</row>
    <row r="431" spans="1:26" ht="18" customHeight="1" x14ac:dyDescent="0.3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</row>
    <row r="432" spans="1:26" ht="18" customHeight="1" x14ac:dyDescent="0.3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</row>
    <row r="433" spans="1:26" ht="18" customHeight="1" x14ac:dyDescent="0.3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</row>
    <row r="434" spans="1:26" ht="18" customHeight="1" x14ac:dyDescent="0.3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</row>
    <row r="435" spans="1:26" ht="18" customHeight="1" x14ac:dyDescent="0.3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</row>
    <row r="436" spans="1:26" ht="18" customHeight="1" x14ac:dyDescent="0.3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</row>
    <row r="437" spans="1:26" ht="18" customHeight="1" x14ac:dyDescent="0.3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</row>
    <row r="438" spans="1:26" ht="18" customHeight="1" x14ac:dyDescent="0.3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</row>
    <row r="439" spans="1:26" ht="18" customHeight="1" x14ac:dyDescent="0.3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</row>
    <row r="440" spans="1:26" ht="18" customHeight="1" x14ac:dyDescent="0.3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</row>
    <row r="441" spans="1:26" ht="18" customHeight="1" x14ac:dyDescent="0.3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</row>
    <row r="442" spans="1:26" ht="18" customHeight="1" x14ac:dyDescent="0.3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</row>
    <row r="443" spans="1:26" ht="18" customHeight="1" x14ac:dyDescent="0.3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</row>
    <row r="444" spans="1:26" ht="18" customHeight="1" x14ac:dyDescent="0.3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</row>
    <row r="445" spans="1:26" ht="18" customHeight="1" x14ac:dyDescent="0.3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</row>
    <row r="446" spans="1:26" ht="18" customHeight="1" x14ac:dyDescent="0.3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</row>
    <row r="447" spans="1:26" ht="18" customHeight="1" x14ac:dyDescent="0.3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</row>
    <row r="448" spans="1:26" ht="18" customHeight="1" x14ac:dyDescent="0.3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</row>
    <row r="449" spans="1:26" ht="18" customHeight="1" x14ac:dyDescent="0.3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</row>
    <row r="450" spans="1:26" ht="18" customHeight="1" x14ac:dyDescent="0.3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</row>
    <row r="451" spans="1:26" ht="18" customHeight="1" x14ac:dyDescent="0.3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</row>
    <row r="452" spans="1:26" ht="18" customHeight="1" x14ac:dyDescent="0.3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</row>
    <row r="453" spans="1:26" ht="18" customHeight="1" x14ac:dyDescent="0.3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</row>
    <row r="454" spans="1:26" ht="18" customHeight="1" x14ac:dyDescent="0.3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</row>
    <row r="455" spans="1:26" ht="18" customHeight="1" x14ac:dyDescent="0.3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</row>
    <row r="456" spans="1:26" ht="18" customHeight="1" x14ac:dyDescent="0.3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</row>
    <row r="457" spans="1:26" ht="18" customHeight="1" x14ac:dyDescent="0.3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</row>
    <row r="458" spans="1:26" ht="18" customHeight="1" x14ac:dyDescent="0.3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</row>
    <row r="459" spans="1:26" ht="18" customHeight="1" x14ac:dyDescent="0.3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</row>
    <row r="460" spans="1:26" ht="18" customHeight="1" x14ac:dyDescent="0.3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</row>
    <row r="461" spans="1:26" ht="18" customHeight="1" x14ac:dyDescent="0.3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</row>
    <row r="462" spans="1:26" ht="18" customHeight="1" x14ac:dyDescent="0.3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</row>
    <row r="463" spans="1:26" ht="18" customHeight="1" x14ac:dyDescent="0.3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</row>
    <row r="464" spans="1:26" ht="18" customHeight="1" x14ac:dyDescent="0.3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</row>
    <row r="465" spans="1:26" ht="18" customHeight="1" x14ac:dyDescent="0.3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</row>
    <row r="466" spans="1:26" ht="18" customHeight="1" x14ac:dyDescent="0.3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</row>
    <row r="467" spans="1:26" ht="18" customHeight="1" x14ac:dyDescent="0.3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</row>
    <row r="468" spans="1:26" ht="18" customHeight="1" x14ac:dyDescent="0.3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</row>
    <row r="469" spans="1:26" ht="18" customHeight="1" x14ac:dyDescent="0.3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</row>
    <row r="470" spans="1:26" ht="18" customHeight="1" x14ac:dyDescent="0.3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</row>
    <row r="471" spans="1:26" ht="18" customHeight="1" x14ac:dyDescent="0.3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</row>
    <row r="472" spans="1:26" ht="18" customHeight="1" x14ac:dyDescent="0.3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</row>
    <row r="473" spans="1:26" ht="18" customHeight="1" x14ac:dyDescent="0.3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</row>
    <row r="474" spans="1:26" ht="18" customHeight="1" x14ac:dyDescent="0.3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</row>
    <row r="475" spans="1:26" ht="18" customHeight="1" x14ac:dyDescent="0.3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</row>
    <row r="476" spans="1:26" ht="18" customHeight="1" x14ac:dyDescent="0.3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</row>
    <row r="477" spans="1:26" ht="18" customHeight="1" x14ac:dyDescent="0.3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</row>
    <row r="478" spans="1:26" ht="18" customHeight="1" x14ac:dyDescent="0.3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</row>
    <row r="479" spans="1:26" ht="18" customHeight="1" x14ac:dyDescent="0.3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</row>
    <row r="480" spans="1:26" ht="18" customHeight="1" x14ac:dyDescent="0.3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</row>
    <row r="481" spans="1:26" ht="18" customHeight="1" x14ac:dyDescent="0.3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</row>
    <row r="482" spans="1:26" ht="18" customHeight="1" x14ac:dyDescent="0.3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</row>
    <row r="483" spans="1:26" ht="18" customHeight="1" x14ac:dyDescent="0.3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</row>
    <row r="484" spans="1:26" ht="18" customHeight="1" x14ac:dyDescent="0.3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</row>
    <row r="485" spans="1:26" ht="18" customHeight="1" x14ac:dyDescent="0.3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</row>
    <row r="486" spans="1:26" ht="18" customHeight="1" x14ac:dyDescent="0.3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</row>
    <row r="487" spans="1:26" ht="18" customHeight="1" x14ac:dyDescent="0.3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</row>
    <row r="488" spans="1:26" ht="18" customHeight="1" x14ac:dyDescent="0.3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</row>
    <row r="489" spans="1:26" ht="18" customHeight="1" x14ac:dyDescent="0.3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</row>
    <row r="490" spans="1:26" ht="18" customHeight="1" x14ac:dyDescent="0.3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</row>
    <row r="491" spans="1:26" ht="18" customHeight="1" x14ac:dyDescent="0.3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</row>
    <row r="492" spans="1:26" ht="18" customHeight="1" x14ac:dyDescent="0.3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</row>
    <row r="493" spans="1:26" ht="18" customHeight="1" x14ac:dyDescent="0.3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</row>
    <row r="494" spans="1:26" ht="18" customHeight="1" x14ac:dyDescent="0.3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</row>
    <row r="495" spans="1:26" ht="18" customHeight="1" x14ac:dyDescent="0.3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</row>
    <row r="496" spans="1:26" ht="18" customHeight="1" x14ac:dyDescent="0.3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</row>
    <row r="497" spans="1:26" ht="18" customHeight="1" x14ac:dyDescent="0.3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</row>
    <row r="498" spans="1:26" ht="18" customHeight="1" x14ac:dyDescent="0.3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</row>
    <row r="499" spans="1:26" ht="18" customHeight="1" x14ac:dyDescent="0.3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</row>
    <row r="500" spans="1:26" ht="18" customHeight="1" x14ac:dyDescent="0.3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</row>
    <row r="501" spans="1:26" ht="18" customHeight="1" x14ac:dyDescent="0.3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</row>
    <row r="502" spans="1:26" ht="18" customHeight="1" x14ac:dyDescent="0.3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</row>
    <row r="503" spans="1:26" ht="18" customHeight="1" x14ac:dyDescent="0.3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</row>
    <row r="504" spans="1:26" ht="18" customHeight="1" x14ac:dyDescent="0.3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</row>
    <row r="505" spans="1:26" ht="18" customHeight="1" x14ac:dyDescent="0.3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</row>
    <row r="506" spans="1:26" ht="18" customHeight="1" x14ac:dyDescent="0.3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</row>
    <row r="507" spans="1:26" ht="18" customHeight="1" x14ac:dyDescent="0.3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</row>
    <row r="508" spans="1:26" ht="18" customHeight="1" x14ac:dyDescent="0.3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</row>
    <row r="509" spans="1:26" ht="18" customHeight="1" x14ac:dyDescent="0.3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</row>
    <row r="510" spans="1:26" ht="18" customHeight="1" x14ac:dyDescent="0.3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</row>
    <row r="511" spans="1:26" ht="18" customHeight="1" x14ac:dyDescent="0.3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</row>
    <row r="512" spans="1:26" ht="18" customHeight="1" x14ac:dyDescent="0.3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</row>
    <row r="513" spans="1:26" ht="18" customHeight="1" x14ac:dyDescent="0.3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</row>
    <row r="514" spans="1:26" ht="18" customHeight="1" x14ac:dyDescent="0.3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</row>
    <row r="515" spans="1:26" ht="18" customHeight="1" x14ac:dyDescent="0.3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</row>
    <row r="516" spans="1:26" ht="18" customHeight="1" x14ac:dyDescent="0.3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</row>
    <row r="517" spans="1:26" ht="18" customHeight="1" x14ac:dyDescent="0.3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</row>
    <row r="518" spans="1:26" ht="18" customHeight="1" x14ac:dyDescent="0.3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</row>
    <row r="519" spans="1:26" ht="18" customHeight="1" x14ac:dyDescent="0.3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</row>
    <row r="520" spans="1:26" ht="18" customHeight="1" x14ac:dyDescent="0.3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</row>
    <row r="521" spans="1:26" ht="18" customHeight="1" x14ac:dyDescent="0.3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</row>
    <row r="522" spans="1:26" ht="18" customHeight="1" x14ac:dyDescent="0.3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</row>
    <row r="523" spans="1:26" ht="18" customHeight="1" x14ac:dyDescent="0.3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</row>
    <row r="524" spans="1:26" ht="18" customHeight="1" x14ac:dyDescent="0.3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</row>
    <row r="525" spans="1:26" ht="18" customHeight="1" x14ac:dyDescent="0.3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</row>
    <row r="526" spans="1:26" ht="18" customHeight="1" x14ac:dyDescent="0.3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</row>
    <row r="527" spans="1:26" ht="18" customHeight="1" x14ac:dyDescent="0.3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</row>
    <row r="528" spans="1:26" ht="18" customHeight="1" x14ac:dyDescent="0.3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</row>
    <row r="529" spans="1:26" ht="18" customHeight="1" x14ac:dyDescent="0.3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</row>
    <row r="530" spans="1:26" ht="18" customHeight="1" x14ac:dyDescent="0.3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</row>
    <row r="531" spans="1:26" ht="18" customHeight="1" x14ac:dyDescent="0.3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</row>
    <row r="532" spans="1:26" ht="18" customHeight="1" x14ac:dyDescent="0.3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</row>
    <row r="533" spans="1:26" ht="18" customHeight="1" x14ac:dyDescent="0.3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</row>
    <row r="534" spans="1:26" ht="18" customHeight="1" x14ac:dyDescent="0.3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</row>
    <row r="535" spans="1:26" ht="18" customHeight="1" x14ac:dyDescent="0.3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</row>
    <row r="536" spans="1:26" ht="18" customHeight="1" x14ac:dyDescent="0.3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</row>
    <row r="537" spans="1:26" ht="18" customHeight="1" x14ac:dyDescent="0.3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</row>
    <row r="538" spans="1:26" ht="18" customHeight="1" x14ac:dyDescent="0.3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</row>
    <row r="539" spans="1:26" ht="18" customHeight="1" x14ac:dyDescent="0.3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</row>
    <row r="540" spans="1:26" ht="18" customHeight="1" x14ac:dyDescent="0.3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</row>
    <row r="541" spans="1:26" ht="18" customHeight="1" x14ac:dyDescent="0.3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</row>
    <row r="542" spans="1:26" ht="18" customHeight="1" x14ac:dyDescent="0.3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</row>
    <row r="543" spans="1:26" ht="18" customHeight="1" x14ac:dyDescent="0.3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</row>
    <row r="544" spans="1:26" ht="18" customHeight="1" x14ac:dyDescent="0.3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</row>
    <row r="545" spans="1:26" ht="18" customHeight="1" x14ac:dyDescent="0.3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</row>
    <row r="546" spans="1:26" ht="18" customHeight="1" x14ac:dyDescent="0.3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</row>
    <row r="547" spans="1:26" ht="18" customHeight="1" x14ac:dyDescent="0.3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</row>
    <row r="548" spans="1:26" ht="18" customHeight="1" x14ac:dyDescent="0.3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</row>
    <row r="549" spans="1:26" ht="18" customHeight="1" x14ac:dyDescent="0.3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</row>
    <row r="550" spans="1:26" ht="18" customHeight="1" x14ac:dyDescent="0.3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</row>
    <row r="551" spans="1:26" ht="18" customHeight="1" x14ac:dyDescent="0.3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</row>
    <row r="552" spans="1:26" ht="18" customHeight="1" x14ac:dyDescent="0.3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</row>
    <row r="553" spans="1:26" ht="18" customHeight="1" x14ac:dyDescent="0.3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</row>
    <row r="554" spans="1:26" ht="18" customHeight="1" x14ac:dyDescent="0.3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</row>
    <row r="555" spans="1:26" ht="18" customHeight="1" x14ac:dyDescent="0.3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</row>
    <row r="556" spans="1:26" ht="18" customHeight="1" x14ac:dyDescent="0.3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</row>
    <row r="557" spans="1:26" ht="18" customHeight="1" x14ac:dyDescent="0.3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</row>
    <row r="558" spans="1:26" ht="18" customHeight="1" x14ac:dyDescent="0.3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</row>
    <row r="559" spans="1:26" ht="18" customHeight="1" x14ac:dyDescent="0.3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</row>
    <row r="560" spans="1:26" ht="18" customHeight="1" x14ac:dyDescent="0.3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</row>
    <row r="561" spans="1:26" ht="18" customHeight="1" x14ac:dyDescent="0.3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</row>
    <row r="562" spans="1:26" ht="18" customHeight="1" x14ac:dyDescent="0.3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</row>
    <row r="563" spans="1:26" ht="18" customHeight="1" x14ac:dyDescent="0.3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</row>
    <row r="564" spans="1:26" ht="18" customHeight="1" x14ac:dyDescent="0.3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</row>
    <row r="565" spans="1:26" ht="18" customHeight="1" x14ac:dyDescent="0.3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</row>
    <row r="566" spans="1:26" ht="18" customHeight="1" x14ac:dyDescent="0.3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</row>
    <row r="567" spans="1:26" ht="18" customHeight="1" x14ac:dyDescent="0.3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</row>
    <row r="568" spans="1:26" ht="18" customHeight="1" x14ac:dyDescent="0.3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</row>
    <row r="569" spans="1:26" ht="18" customHeight="1" x14ac:dyDescent="0.3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</row>
    <row r="570" spans="1:26" ht="18" customHeight="1" x14ac:dyDescent="0.3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</row>
    <row r="571" spans="1:26" ht="18" customHeight="1" x14ac:dyDescent="0.3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</row>
    <row r="572" spans="1:26" ht="18" customHeight="1" x14ac:dyDescent="0.3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</row>
    <row r="573" spans="1:26" ht="18" customHeight="1" x14ac:dyDescent="0.3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</row>
    <row r="574" spans="1:26" ht="18" customHeight="1" x14ac:dyDescent="0.3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</row>
    <row r="575" spans="1:26" ht="18" customHeight="1" x14ac:dyDescent="0.3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</row>
    <row r="576" spans="1:26" ht="18" customHeight="1" x14ac:dyDescent="0.3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</row>
    <row r="577" spans="1:26" ht="18" customHeight="1" x14ac:dyDescent="0.3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</row>
    <row r="578" spans="1:26" ht="18" customHeight="1" x14ac:dyDescent="0.3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</row>
    <row r="579" spans="1:26" ht="18" customHeight="1" x14ac:dyDescent="0.3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</row>
    <row r="580" spans="1:26" ht="18" customHeight="1" x14ac:dyDescent="0.3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</row>
    <row r="581" spans="1:26" ht="18" customHeight="1" x14ac:dyDescent="0.3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</row>
    <row r="582" spans="1:26" ht="18" customHeight="1" x14ac:dyDescent="0.3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</row>
    <row r="583" spans="1:26" ht="18" customHeight="1" x14ac:dyDescent="0.3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</row>
    <row r="584" spans="1:26" ht="18" customHeight="1" x14ac:dyDescent="0.3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</row>
    <row r="585" spans="1:26" ht="18" customHeight="1" x14ac:dyDescent="0.3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</row>
    <row r="586" spans="1:26" ht="18" customHeight="1" x14ac:dyDescent="0.3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</row>
    <row r="587" spans="1:26" ht="18" customHeight="1" x14ac:dyDescent="0.3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</row>
    <row r="588" spans="1:26" ht="18" customHeight="1" x14ac:dyDescent="0.3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</row>
    <row r="589" spans="1:26" ht="18" customHeight="1" x14ac:dyDescent="0.3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</row>
    <row r="590" spans="1:26" ht="18" customHeight="1" x14ac:dyDescent="0.3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</row>
    <row r="591" spans="1:26" ht="18" customHeight="1" x14ac:dyDescent="0.3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</row>
    <row r="592" spans="1:26" ht="18" customHeight="1" x14ac:dyDescent="0.3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</row>
    <row r="593" spans="1:26" ht="18" customHeight="1" x14ac:dyDescent="0.3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</row>
    <row r="594" spans="1:26" ht="18" customHeight="1" x14ac:dyDescent="0.3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</row>
    <row r="595" spans="1:26" ht="18" customHeight="1" x14ac:dyDescent="0.3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</row>
    <row r="596" spans="1:26" ht="18" customHeight="1" x14ac:dyDescent="0.3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</row>
    <row r="597" spans="1:26" ht="18" customHeight="1" x14ac:dyDescent="0.3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</row>
    <row r="598" spans="1:26" ht="18" customHeight="1" x14ac:dyDescent="0.3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</row>
    <row r="599" spans="1:26" ht="18" customHeight="1" x14ac:dyDescent="0.3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</row>
    <row r="600" spans="1:26" ht="18" customHeight="1" x14ac:dyDescent="0.3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</row>
    <row r="601" spans="1:26" ht="18" customHeight="1" x14ac:dyDescent="0.3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</row>
    <row r="602" spans="1:26" ht="18" customHeight="1" x14ac:dyDescent="0.3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</row>
    <row r="603" spans="1:26" ht="18" customHeight="1" x14ac:dyDescent="0.3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</row>
    <row r="604" spans="1:26" ht="18" customHeight="1" x14ac:dyDescent="0.3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</row>
    <row r="605" spans="1:26" ht="18" customHeight="1" x14ac:dyDescent="0.3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</row>
    <row r="606" spans="1:26" ht="18" customHeight="1" x14ac:dyDescent="0.3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</row>
    <row r="607" spans="1:26" ht="18" customHeight="1" x14ac:dyDescent="0.3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</row>
    <row r="608" spans="1:26" ht="18" customHeight="1" x14ac:dyDescent="0.3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</row>
    <row r="609" spans="1:26" ht="18" customHeight="1" x14ac:dyDescent="0.3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</row>
    <row r="610" spans="1:26" ht="18" customHeight="1" x14ac:dyDescent="0.3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</row>
    <row r="611" spans="1:26" ht="18" customHeight="1" x14ac:dyDescent="0.3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</row>
    <row r="612" spans="1:26" ht="18" customHeight="1" x14ac:dyDescent="0.3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</row>
    <row r="613" spans="1:26" ht="18" customHeight="1" x14ac:dyDescent="0.3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</row>
    <row r="614" spans="1:26" ht="18" customHeight="1" x14ac:dyDescent="0.3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</row>
    <row r="615" spans="1:26" ht="18" customHeight="1" x14ac:dyDescent="0.3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</row>
    <row r="616" spans="1:26" ht="18" customHeight="1" x14ac:dyDescent="0.3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</row>
    <row r="617" spans="1:26" ht="18" customHeight="1" x14ac:dyDescent="0.3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</row>
    <row r="618" spans="1:26" ht="18" customHeight="1" x14ac:dyDescent="0.3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</row>
    <row r="619" spans="1:26" ht="18" customHeight="1" x14ac:dyDescent="0.3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</row>
    <row r="620" spans="1:26" ht="18" customHeight="1" x14ac:dyDescent="0.3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</row>
    <row r="621" spans="1:26" ht="18" customHeight="1" x14ac:dyDescent="0.3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</row>
    <row r="622" spans="1:26" ht="18" customHeight="1" x14ac:dyDescent="0.3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</row>
    <row r="623" spans="1:26" ht="18" customHeight="1" x14ac:dyDescent="0.3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</row>
    <row r="624" spans="1:26" ht="18" customHeight="1" x14ac:dyDescent="0.3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</row>
    <row r="625" spans="1:26" ht="18" customHeight="1" x14ac:dyDescent="0.3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</row>
    <row r="626" spans="1:26" ht="18" customHeight="1" x14ac:dyDescent="0.3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</row>
    <row r="627" spans="1:26" ht="18" customHeight="1" x14ac:dyDescent="0.3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</row>
    <row r="628" spans="1:26" ht="18" customHeight="1" x14ac:dyDescent="0.3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</row>
    <row r="629" spans="1:26" ht="18" customHeight="1" x14ac:dyDescent="0.3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</row>
    <row r="630" spans="1:26" ht="18" customHeight="1" x14ac:dyDescent="0.3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</row>
    <row r="631" spans="1:26" ht="18" customHeight="1" x14ac:dyDescent="0.3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</row>
    <row r="632" spans="1:26" ht="18" customHeight="1" x14ac:dyDescent="0.3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</row>
    <row r="633" spans="1:26" ht="18" customHeight="1" x14ac:dyDescent="0.3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</row>
    <row r="634" spans="1:26" ht="18" customHeight="1" x14ac:dyDescent="0.3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</row>
    <row r="635" spans="1:26" ht="18" customHeight="1" x14ac:dyDescent="0.3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</row>
    <row r="636" spans="1:26" ht="18" customHeight="1" x14ac:dyDescent="0.3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</row>
    <row r="637" spans="1:26" ht="18" customHeight="1" x14ac:dyDescent="0.3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</row>
    <row r="638" spans="1:26" ht="18" customHeight="1" x14ac:dyDescent="0.3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</row>
    <row r="639" spans="1:26" ht="18" customHeight="1" x14ac:dyDescent="0.3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</row>
    <row r="640" spans="1:26" ht="18" customHeight="1" x14ac:dyDescent="0.3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</row>
    <row r="641" spans="1:26" ht="18" customHeight="1" x14ac:dyDescent="0.3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</row>
    <row r="642" spans="1:26" ht="18" customHeight="1" x14ac:dyDescent="0.3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</row>
    <row r="643" spans="1:26" ht="18" customHeight="1" x14ac:dyDescent="0.3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</row>
    <row r="644" spans="1:26" ht="18" customHeight="1" x14ac:dyDescent="0.3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</row>
    <row r="645" spans="1:26" ht="18" customHeight="1" x14ac:dyDescent="0.3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</row>
    <row r="646" spans="1:26" ht="18" customHeight="1" x14ac:dyDescent="0.3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</row>
    <row r="647" spans="1:26" ht="18" customHeight="1" x14ac:dyDescent="0.3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</row>
    <row r="648" spans="1:26" ht="18" customHeight="1" x14ac:dyDescent="0.3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</row>
    <row r="649" spans="1:26" ht="18" customHeight="1" x14ac:dyDescent="0.3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</row>
    <row r="650" spans="1:26" ht="18" customHeight="1" x14ac:dyDescent="0.3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</row>
    <row r="651" spans="1:26" ht="18" customHeight="1" x14ac:dyDescent="0.3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</row>
    <row r="652" spans="1:26" ht="18" customHeight="1" x14ac:dyDescent="0.3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</row>
    <row r="653" spans="1:26" ht="18" customHeight="1" x14ac:dyDescent="0.3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</row>
    <row r="654" spans="1:26" ht="18" customHeight="1" x14ac:dyDescent="0.3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</row>
    <row r="655" spans="1:26" ht="18" customHeight="1" x14ac:dyDescent="0.3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</row>
    <row r="656" spans="1:26" ht="18" customHeight="1" x14ac:dyDescent="0.3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</row>
    <row r="657" spans="1:26" ht="18" customHeight="1" x14ac:dyDescent="0.3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</row>
    <row r="658" spans="1:26" ht="18" customHeight="1" x14ac:dyDescent="0.3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</row>
    <row r="659" spans="1:26" ht="18" customHeight="1" x14ac:dyDescent="0.3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</row>
    <row r="660" spans="1:26" ht="18" customHeight="1" x14ac:dyDescent="0.3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</row>
    <row r="661" spans="1:26" ht="18" customHeight="1" x14ac:dyDescent="0.3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</row>
    <row r="662" spans="1:26" ht="18" customHeight="1" x14ac:dyDescent="0.3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</row>
    <row r="663" spans="1:26" ht="18" customHeight="1" x14ac:dyDescent="0.3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</row>
    <row r="664" spans="1:26" ht="18" customHeight="1" x14ac:dyDescent="0.3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</row>
    <row r="665" spans="1:26" ht="18" customHeight="1" x14ac:dyDescent="0.3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</row>
    <row r="666" spans="1:26" ht="18" customHeight="1" x14ac:dyDescent="0.3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</row>
    <row r="667" spans="1:26" ht="18" customHeight="1" x14ac:dyDescent="0.3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</row>
    <row r="668" spans="1:26" ht="18" customHeight="1" x14ac:dyDescent="0.3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</row>
    <row r="669" spans="1:26" ht="18" customHeight="1" x14ac:dyDescent="0.3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</row>
    <row r="670" spans="1:26" ht="18" customHeight="1" x14ac:dyDescent="0.3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</row>
    <row r="671" spans="1:26" ht="18" customHeight="1" x14ac:dyDescent="0.3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</row>
    <row r="672" spans="1:26" ht="18" customHeight="1" x14ac:dyDescent="0.3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</row>
    <row r="673" spans="1:26" ht="18" customHeight="1" x14ac:dyDescent="0.3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</row>
    <row r="674" spans="1:26" ht="18" customHeight="1" x14ac:dyDescent="0.3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</row>
    <row r="675" spans="1:26" ht="18" customHeight="1" x14ac:dyDescent="0.3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</row>
    <row r="676" spans="1:26" ht="18" customHeight="1" x14ac:dyDescent="0.3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</row>
    <row r="677" spans="1:26" ht="18" customHeight="1" x14ac:dyDescent="0.3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</row>
    <row r="678" spans="1:26" ht="18" customHeight="1" x14ac:dyDescent="0.3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</row>
    <row r="679" spans="1:26" ht="18" customHeight="1" x14ac:dyDescent="0.3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</row>
    <row r="680" spans="1:26" ht="18" customHeight="1" x14ac:dyDescent="0.3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</row>
    <row r="681" spans="1:26" ht="18" customHeight="1" x14ac:dyDescent="0.3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</row>
    <row r="682" spans="1:26" ht="18" customHeight="1" x14ac:dyDescent="0.3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</row>
    <row r="683" spans="1:26" ht="18" customHeight="1" x14ac:dyDescent="0.3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</row>
    <row r="684" spans="1:26" ht="18" customHeight="1" x14ac:dyDescent="0.3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</row>
    <row r="685" spans="1:26" ht="18" customHeight="1" x14ac:dyDescent="0.3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</row>
    <row r="686" spans="1:26" ht="18" customHeight="1" x14ac:dyDescent="0.3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</row>
    <row r="687" spans="1:26" ht="18" customHeight="1" x14ac:dyDescent="0.3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</row>
    <row r="688" spans="1:26" ht="18" customHeight="1" x14ac:dyDescent="0.3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</row>
    <row r="689" spans="1:26" ht="18" customHeight="1" x14ac:dyDescent="0.3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</row>
    <row r="690" spans="1:26" ht="18" customHeight="1" x14ac:dyDescent="0.3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</row>
    <row r="691" spans="1:26" ht="18" customHeight="1" x14ac:dyDescent="0.3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</row>
    <row r="692" spans="1:26" ht="18" customHeight="1" x14ac:dyDescent="0.3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</row>
    <row r="693" spans="1:26" ht="18" customHeight="1" x14ac:dyDescent="0.3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</row>
    <row r="694" spans="1:26" ht="18" customHeight="1" x14ac:dyDescent="0.3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</row>
    <row r="695" spans="1:26" ht="18" customHeight="1" x14ac:dyDescent="0.3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</row>
    <row r="696" spans="1:26" ht="18" customHeight="1" x14ac:dyDescent="0.3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</row>
    <row r="697" spans="1:26" ht="18" customHeight="1" x14ac:dyDescent="0.3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</row>
    <row r="698" spans="1:26" ht="18" customHeight="1" x14ac:dyDescent="0.3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</row>
    <row r="699" spans="1:26" ht="18" customHeight="1" x14ac:dyDescent="0.3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</row>
    <row r="700" spans="1:26" ht="18" customHeight="1" x14ac:dyDescent="0.3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</row>
    <row r="701" spans="1:26" ht="18" customHeight="1" x14ac:dyDescent="0.3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</row>
    <row r="702" spans="1:26" ht="18" customHeight="1" x14ac:dyDescent="0.3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</row>
    <row r="703" spans="1:26" ht="18" customHeight="1" x14ac:dyDescent="0.3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</row>
    <row r="704" spans="1:26" ht="18" customHeight="1" x14ac:dyDescent="0.3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</row>
    <row r="705" spans="1:26" ht="18" customHeight="1" x14ac:dyDescent="0.3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</row>
    <row r="706" spans="1:26" ht="18" customHeight="1" x14ac:dyDescent="0.3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</row>
    <row r="707" spans="1:26" ht="18" customHeight="1" x14ac:dyDescent="0.3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</row>
    <row r="708" spans="1:26" ht="18" customHeight="1" x14ac:dyDescent="0.3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</row>
    <row r="709" spans="1:26" ht="18" customHeight="1" x14ac:dyDescent="0.3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</row>
    <row r="710" spans="1:26" ht="18" customHeight="1" x14ac:dyDescent="0.3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</row>
    <row r="711" spans="1:26" ht="18" customHeight="1" x14ac:dyDescent="0.3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</row>
    <row r="712" spans="1:26" ht="18" customHeight="1" x14ac:dyDescent="0.3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</row>
    <row r="713" spans="1:26" ht="18" customHeight="1" x14ac:dyDescent="0.3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</row>
    <row r="714" spans="1:26" ht="18" customHeight="1" x14ac:dyDescent="0.3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</row>
    <row r="715" spans="1:26" ht="18" customHeight="1" x14ac:dyDescent="0.3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</row>
    <row r="716" spans="1:26" ht="18" customHeight="1" x14ac:dyDescent="0.3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</row>
    <row r="717" spans="1:26" ht="18" customHeight="1" x14ac:dyDescent="0.3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</row>
    <row r="718" spans="1:26" ht="18" customHeight="1" x14ac:dyDescent="0.3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</row>
    <row r="719" spans="1:26" ht="18" customHeight="1" x14ac:dyDescent="0.3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</row>
    <row r="720" spans="1:26" ht="18" customHeight="1" x14ac:dyDescent="0.3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</row>
    <row r="721" spans="1:26" ht="18" customHeight="1" x14ac:dyDescent="0.3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</row>
    <row r="722" spans="1:26" ht="18" customHeight="1" x14ac:dyDescent="0.3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</row>
    <row r="723" spans="1:26" ht="18" customHeight="1" x14ac:dyDescent="0.3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</row>
    <row r="724" spans="1:26" ht="18" customHeight="1" x14ac:dyDescent="0.3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</row>
    <row r="725" spans="1:26" ht="18" customHeight="1" x14ac:dyDescent="0.3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</row>
    <row r="726" spans="1:26" ht="18" customHeight="1" x14ac:dyDescent="0.3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</row>
    <row r="727" spans="1:26" ht="18" customHeight="1" x14ac:dyDescent="0.3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</row>
    <row r="728" spans="1:26" ht="18" customHeight="1" x14ac:dyDescent="0.3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</row>
    <row r="729" spans="1:26" ht="18" customHeight="1" x14ac:dyDescent="0.3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</row>
    <row r="730" spans="1:26" ht="18" customHeight="1" x14ac:dyDescent="0.3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</row>
    <row r="731" spans="1:26" ht="18" customHeight="1" x14ac:dyDescent="0.3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</row>
    <row r="732" spans="1:26" ht="18" customHeight="1" x14ac:dyDescent="0.3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</row>
    <row r="733" spans="1:26" ht="18" customHeight="1" x14ac:dyDescent="0.3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</row>
    <row r="734" spans="1:26" ht="18" customHeight="1" x14ac:dyDescent="0.3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</row>
    <row r="735" spans="1:26" ht="18" customHeight="1" x14ac:dyDescent="0.3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</row>
    <row r="736" spans="1:26" ht="18" customHeight="1" x14ac:dyDescent="0.3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</row>
    <row r="737" spans="1:26" ht="18" customHeight="1" x14ac:dyDescent="0.3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</row>
    <row r="738" spans="1:26" ht="18" customHeight="1" x14ac:dyDescent="0.3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</row>
    <row r="739" spans="1:26" ht="18" customHeight="1" x14ac:dyDescent="0.3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</row>
    <row r="740" spans="1:26" ht="18" customHeight="1" x14ac:dyDescent="0.3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</row>
    <row r="741" spans="1:26" ht="18" customHeight="1" x14ac:dyDescent="0.3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</row>
    <row r="742" spans="1:26" ht="18" customHeight="1" x14ac:dyDescent="0.3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</row>
    <row r="743" spans="1:26" ht="18" customHeight="1" x14ac:dyDescent="0.3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</row>
    <row r="744" spans="1:26" ht="18" customHeight="1" x14ac:dyDescent="0.3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</row>
    <row r="745" spans="1:26" ht="18" customHeight="1" x14ac:dyDescent="0.3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</row>
    <row r="746" spans="1:26" ht="18" customHeight="1" x14ac:dyDescent="0.3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</row>
    <row r="747" spans="1:26" ht="18" customHeight="1" x14ac:dyDescent="0.3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</row>
    <row r="748" spans="1:26" ht="18" customHeight="1" x14ac:dyDescent="0.3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</row>
    <row r="749" spans="1:26" ht="18" customHeight="1" x14ac:dyDescent="0.3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</row>
    <row r="750" spans="1:26" ht="18" customHeight="1" x14ac:dyDescent="0.3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</row>
    <row r="751" spans="1:26" ht="18" customHeight="1" x14ac:dyDescent="0.3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</row>
    <row r="752" spans="1:26" ht="18" customHeight="1" x14ac:dyDescent="0.3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</row>
    <row r="753" spans="1:26" ht="18" customHeight="1" x14ac:dyDescent="0.3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</row>
    <row r="754" spans="1:26" ht="18" customHeight="1" x14ac:dyDescent="0.3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</row>
    <row r="755" spans="1:26" ht="18" customHeight="1" x14ac:dyDescent="0.3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</row>
    <row r="756" spans="1:26" ht="18" customHeight="1" x14ac:dyDescent="0.3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</row>
    <row r="757" spans="1:26" ht="18" customHeight="1" x14ac:dyDescent="0.3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</row>
    <row r="758" spans="1:26" ht="18" customHeight="1" x14ac:dyDescent="0.3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</row>
    <row r="759" spans="1:26" ht="18" customHeight="1" x14ac:dyDescent="0.3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</row>
    <row r="760" spans="1:26" ht="18" customHeight="1" x14ac:dyDescent="0.3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</row>
    <row r="761" spans="1:26" ht="18" customHeight="1" x14ac:dyDescent="0.3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</row>
    <row r="762" spans="1:26" ht="18" customHeight="1" x14ac:dyDescent="0.3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</row>
    <row r="763" spans="1:26" ht="18" customHeight="1" x14ac:dyDescent="0.3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</row>
    <row r="764" spans="1:26" ht="18" customHeight="1" x14ac:dyDescent="0.3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</row>
    <row r="765" spans="1:26" ht="18" customHeight="1" x14ac:dyDescent="0.3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</row>
    <row r="766" spans="1:26" ht="18" customHeight="1" x14ac:dyDescent="0.3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</row>
    <row r="767" spans="1:26" ht="18" customHeight="1" x14ac:dyDescent="0.3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</row>
    <row r="768" spans="1:26" ht="18" customHeight="1" x14ac:dyDescent="0.3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</row>
    <row r="769" spans="1:26" ht="18" customHeight="1" x14ac:dyDescent="0.3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</row>
    <row r="770" spans="1:26" ht="18" customHeight="1" x14ac:dyDescent="0.3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</row>
    <row r="771" spans="1:26" ht="18" customHeight="1" x14ac:dyDescent="0.3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</row>
    <row r="772" spans="1:26" ht="18" customHeight="1" x14ac:dyDescent="0.3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</row>
    <row r="773" spans="1:26" ht="18" customHeight="1" x14ac:dyDescent="0.3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</row>
    <row r="774" spans="1:26" ht="18" customHeight="1" x14ac:dyDescent="0.3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</row>
    <row r="775" spans="1:26" ht="18" customHeight="1" x14ac:dyDescent="0.3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</row>
    <row r="776" spans="1:26" ht="18" customHeight="1" x14ac:dyDescent="0.3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</row>
    <row r="777" spans="1:26" ht="18" customHeight="1" x14ac:dyDescent="0.3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</row>
    <row r="778" spans="1:26" ht="18" customHeight="1" x14ac:dyDescent="0.3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</row>
    <row r="779" spans="1:26" ht="18" customHeight="1" x14ac:dyDescent="0.3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</row>
    <row r="780" spans="1:26" ht="18" customHeight="1" x14ac:dyDescent="0.3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</row>
    <row r="781" spans="1:26" ht="18" customHeight="1" x14ac:dyDescent="0.3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</row>
    <row r="782" spans="1:26" ht="18" customHeight="1" x14ac:dyDescent="0.3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</row>
    <row r="783" spans="1:26" ht="18" customHeight="1" x14ac:dyDescent="0.3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</row>
    <row r="784" spans="1:26" ht="18" customHeight="1" x14ac:dyDescent="0.3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</row>
    <row r="785" spans="1:26" ht="18" customHeight="1" x14ac:dyDescent="0.3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</row>
    <row r="786" spans="1:26" ht="18" customHeight="1" x14ac:dyDescent="0.3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</row>
    <row r="787" spans="1:26" ht="18" customHeight="1" x14ac:dyDescent="0.3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</row>
    <row r="788" spans="1:26" ht="18" customHeight="1" x14ac:dyDescent="0.3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</row>
    <row r="789" spans="1:26" ht="18" customHeight="1" x14ac:dyDescent="0.3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</row>
    <row r="790" spans="1:26" ht="18" customHeight="1" x14ac:dyDescent="0.3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</row>
    <row r="791" spans="1:26" ht="18" customHeight="1" x14ac:dyDescent="0.3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</row>
    <row r="792" spans="1:26" ht="18" customHeight="1" x14ac:dyDescent="0.3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</row>
    <row r="793" spans="1:26" ht="18" customHeight="1" x14ac:dyDescent="0.3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</row>
    <row r="794" spans="1:26" ht="18" customHeight="1" x14ac:dyDescent="0.3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</row>
    <row r="795" spans="1:26" ht="18" customHeight="1" x14ac:dyDescent="0.3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</row>
    <row r="796" spans="1:26" ht="18" customHeight="1" x14ac:dyDescent="0.3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</row>
    <row r="797" spans="1:26" ht="18" customHeight="1" x14ac:dyDescent="0.3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</row>
    <row r="798" spans="1:26" ht="18" customHeight="1" x14ac:dyDescent="0.3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</row>
    <row r="799" spans="1:26" ht="18" customHeight="1" x14ac:dyDescent="0.3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</row>
    <row r="800" spans="1:26" ht="18" customHeight="1" x14ac:dyDescent="0.3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</row>
    <row r="801" spans="1:26" ht="18" customHeight="1" x14ac:dyDescent="0.3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</row>
    <row r="802" spans="1:26" ht="18" customHeight="1" x14ac:dyDescent="0.3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</row>
    <row r="803" spans="1:26" ht="18" customHeight="1" x14ac:dyDescent="0.3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</row>
    <row r="804" spans="1:26" ht="18" customHeight="1" x14ac:dyDescent="0.3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</row>
    <row r="805" spans="1:26" ht="18" customHeight="1" x14ac:dyDescent="0.3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</row>
    <row r="806" spans="1:26" ht="18" customHeight="1" x14ac:dyDescent="0.3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</row>
    <row r="807" spans="1:26" ht="18" customHeight="1" x14ac:dyDescent="0.3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</row>
    <row r="808" spans="1:26" ht="18" customHeight="1" x14ac:dyDescent="0.3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</row>
    <row r="809" spans="1:26" ht="18" customHeight="1" x14ac:dyDescent="0.3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</row>
    <row r="810" spans="1:26" ht="18" customHeight="1" x14ac:dyDescent="0.3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</row>
    <row r="811" spans="1:26" ht="18" customHeight="1" x14ac:dyDescent="0.3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</row>
    <row r="812" spans="1:26" ht="18" customHeight="1" x14ac:dyDescent="0.3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</row>
    <row r="813" spans="1:26" ht="18" customHeight="1" x14ac:dyDescent="0.3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</row>
    <row r="814" spans="1:26" ht="18" customHeight="1" x14ac:dyDescent="0.3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</row>
    <row r="815" spans="1:26" ht="18" customHeight="1" x14ac:dyDescent="0.3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</row>
    <row r="816" spans="1:26" ht="18" customHeight="1" x14ac:dyDescent="0.3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</row>
    <row r="817" spans="1:26" ht="18" customHeight="1" x14ac:dyDescent="0.3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</row>
    <row r="818" spans="1:26" ht="18" customHeight="1" x14ac:dyDescent="0.3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</row>
    <row r="819" spans="1:26" ht="18" customHeight="1" x14ac:dyDescent="0.3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</row>
    <row r="820" spans="1:26" ht="18" customHeight="1" x14ac:dyDescent="0.3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</row>
    <row r="821" spans="1:26" ht="18" customHeight="1" x14ac:dyDescent="0.3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</row>
    <row r="822" spans="1:26" ht="18" customHeight="1" x14ac:dyDescent="0.3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</row>
    <row r="823" spans="1:26" ht="18" customHeight="1" x14ac:dyDescent="0.3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</row>
    <row r="824" spans="1:26" ht="18" customHeight="1" x14ac:dyDescent="0.3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</row>
    <row r="825" spans="1:26" ht="18" customHeight="1" x14ac:dyDescent="0.3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</row>
    <row r="826" spans="1:26" ht="18" customHeight="1" x14ac:dyDescent="0.3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</row>
    <row r="827" spans="1:26" ht="18" customHeight="1" x14ac:dyDescent="0.3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</row>
    <row r="828" spans="1:26" ht="18" customHeight="1" x14ac:dyDescent="0.3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</row>
    <row r="829" spans="1:26" ht="18" customHeight="1" x14ac:dyDescent="0.3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</row>
    <row r="830" spans="1:26" ht="18" customHeight="1" x14ac:dyDescent="0.3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</row>
    <row r="831" spans="1:26" ht="18" customHeight="1" x14ac:dyDescent="0.3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</row>
    <row r="832" spans="1:26" ht="18" customHeight="1" x14ac:dyDescent="0.3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</row>
    <row r="833" spans="1:26" ht="18" customHeight="1" x14ac:dyDescent="0.3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</row>
    <row r="834" spans="1:26" ht="18" customHeight="1" x14ac:dyDescent="0.3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</row>
    <row r="835" spans="1:26" ht="18" customHeight="1" x14ac:dyDescent="0.3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</row>
    <row r="836" spans="1:26" ht="18" customHeight="1" x14ac:dyDescent="0.3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</row>
    <row r="837" spans="1:26" ht="18" customHeight="1" x14ac:dyDescent="0.3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</row>
    <row r="838" spans="1:26" ht="18" customHeight="1" x14ac:dyDescent="0.3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</row>
    <row r="839" spans="1:26" ht="18" customHeight="1" x14ac:dyDescent="0.3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</row>
    <row r="840" spans="1:26" ht="18" customHeight="1" x14ac:dyDescent="0.3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</row>
    <row r="841" spans="1:26" ht="18" customHeight="1" x14ac:dyDescent="0.3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</row>
    <row r="842" spans="1:26" ht="18" customHeight="1" x14ac:dyDescent="0.3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</row>
    <row r="843" spans="1:26" ht="18" customHeight="1" x14ac:dyDescent="0.3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</row>
    <row r="844" spans="1:26" ht="18" customHeight="1" x14ac:dyDescent="0.3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</row>
    <row r="845" spans="1:26" ht="18" customHeight="1" x14ac:dyDescent="0.3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</row>
    <row r="846" spans="1:26" ht="18" customHeight="1" x14ac:dyDescent="0.3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</row>
    <row r="847" spans="1:26" ht="18" customHeight="1" x14ac:dyDescent="0.3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</row>
    <row r="848" spans="1:26" ht="18" customHeight="1" x14ac:dyDescent="0.3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</row>
    <row r="849" spans="1:26" ht="18" customHeight="1" x14ac:dyDescent="0.3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</row>
    <row r="850" spans="1:26" ht="18" customHeight="1" x14ac:dyDescent="0.3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</row>
    <row r="851" spans="1:26" ht="18" customHeight="1" x14ac:dyDescent="0.3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</row>
    <row r="852" spans="1:26" ht="18" customHeight="1" x14ac:dyDescent="0.3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</row>
    <row r="853" spans="1:26" ht="18" customHeight="1" x14ac:dyDescent="0.3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</row>
    <row r="854" spans="1:26" ht="18" customHeight="1" x14ac:dyDescent="0.3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</row>
    <row r="855" spans="1:26" ht="18" customHeight="1" x14ac:dyDescent="0.3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</row>
    <row r="856" spans="1:26" ht="18" customHeight="1" x14ac:dyDescent="0.3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</row>
    <row r="857" spans="1:26" ht="18" customHeight="1" x14ac:dyDescent="0.3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</row>
    <row r="858" spans="1:26" ht="18" customHeight="1" x14ac:dyDescent="0.3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</row>
    <row r="859" spans="1:26" ht="18" customHeight="1" x14ac:dyDescent="0.3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</row>
    <row r="860" spans="1:26" ht="18" customHeight="1" x14ac:dyDescent="0.3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</row>
    <row r="861" spans="1:26" ht="18" customHeight="1" x14ac:dyDescent="0.3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</row>
    <row r="862" spans="1:26" ht="18" customHeight="1" x14ac:dyDescent="0.3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</row>
    <row r="863" spans="1:26" ht="18" customHeight="1" x14ac:dyDescent="0.3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</row>
    <row r="864" spans="1:26" ht="18" customHeight="1" x14ac:dyDescent="0.3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</row>
    <row r="865" spans="1:26" ht="18" customHeight="1" x14ac:dyDescent="0.3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</row>
    <row r="866" spans="1:26" ht="18" customHeight="1" x14ac:dyDescent="0.3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</row>
    <row r="867" spans="1:26" ht="18" customHeight="1" x14ac:dyDescent="0.3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</row>
    <row r="868" spans="1:26" ht="18" customHeight="1" x14ac:dyDescent="0.3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</row>
    <row r="869" spans="1:26" ht="18" customHeight="1" x14ac:dyDescent="0.3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</row>
    <row r="870" spans="1:26" ht="18" customHeight="1" x14ac:dyDescent="0.3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</row>
    <row r="871" spans="1:26" ht="18" customHeight="1" x14ac:dyDescent="0.3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</row>
    <row r="872" spans="1:26" ht="18" customHeight="1" x14ac:dyDescent="0.3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</row>
    <row r="873" spans="1:26" ht="18" customHeight="1" x14ac:dyDescent="0.3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</row>
    <row r="874" spans="1:26" ht="18" customHeight="1" x14ac:dyDescent="0.3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</row>
    <row r="875" spans="1:26" ht="18" customHeight="1" x14ac:dyDescent="0.3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</row>
    <row r="876" spans="1:26" ht="18" customHeight="1" x14ac:dyDescent="0.3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</row>
    <row r="877" spans="1:26" ht="18" customHeight="1" x14ac:dyDescent="0.3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</row>
    <row r="878" spans="1:26" ht="18" customHeight="1" x14ac:dyDescent="0.3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</row>
    <row r="879" spans="1:26" ht="18" customHeight="1" x14ac:dyDescent="0.3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</row>
    <row r="880" spans="1:26" ht="18" customHeight="1" x14ac:dyDescent="0.3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</row>
    <row r="881" spans="1:26" ht="18" customHeight="1" x14ac:dyDescent="0.3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</row>
    <row r="882" spans="1:26" ht="18" customHeight="1" x14ac:dyDescent="0.3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</row>
    <row r="883" spans="1:26" ht="18" customHeight="1" x14ac:dyDescent="0.3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</row>
    <row r="884" spans="1:26" ht="18" customHeight="1" x14ac:dyDescent="0.3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</row>
    <row r="885" spans="1:26" ht="18" customHeight="1" x14ac:dyDescent="0.3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</row>
    <row r="886" spans="1:26" ht="18" customHeight="1" x14ac:dyDescent="0.3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</row>
    <row r="887" spans="1:26" ht="18" customHeight="1" x14ac:dyDescent="0.3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</row>
    <row r="888" spans="1:26" ht="18" customHeight="1" x14ac:dyDescent="0.3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</row>
    <row r="889" spans="1:26" ht="18" customHeight="1" x14ac:dyDescent="0.3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</row>
    <row r="890" spans="1:26" ht="18" customHeight="1" x14ac:dyDescent="0.3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</row>
    <row r="891" spans="1:26" ht="18" customHeight="1" x14ac:dyDescent="0.3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</row>
    <row r="892" spans="1:26" ht="18" customHeight="1" x14ac:dyDescent="0.3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</row>
    <row r="893" spans="1:26" ht="18" customHeight="1" x14ac:dyDescent="0.3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</row>
    <row r="894" spans="1:26" ht="18" customHeight="1" x14ac:dyDescent="0.3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</row>
    <row r="895" spans="1:26" ht="18" customHeight="1" x14ac:dyDescent="0.3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</row>
    <row r="896" spans="1:26" ht="18" customHeight="1" x14ac:dyDescent="0.3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</row>
    <row r="897" spans="1:26" ht="18" customHeight="1" x14ac:dyDescent="0.3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</row>
    <row r="898" spans="1:26" ht="18" customHeight="1" x14ac:dyDescent="0.3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</row>
    <row r="899" spans="1:26" ht="18" customHeight="1" x14ac:dyDescent="0.3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</row>
    <row r="900" spans="1:26" ht="18" customHeight="1" x14ac:dyDescent="0.3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</row>
    <row r="901" spans="1:26" ht="18" customHeight="1" x14ac:dyDescent="0.3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</row>
    <row r="902" spans="1:26" ht="18" customHeight="1" x14ac:dyDescent="0.3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</row>
    <row r="903" spans="1:26" ht="18" customHeight="1" x14ac:dyDescent="0.3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</row>
    <row r="904" spans="1:26" ht="18" customHeight="1" x14ac:dyDescent="0.3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</row>
    <row r="905" spans="1:26" ht="18" customHeight="1" x14ac:dyDescent="0.3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</row>
    <row r="906" spans="1:26" ht="18" customHeight="1" x14ac:dyDescent="0.3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</row>
    <row r="907" spans="1:26" ht="18" customHeight="1" x14ac:dyDescent="0.3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</row>
    <row r="908" spans="1:26" ht="18" customHeight="1" x14ac:dyDescent="0.3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</row>
    <row r="909" spans="1:26" ht="18" customHeight="1" x14ac:dyDescent="0.3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</row>
    <row r="910" spans="1:26" ht="18" customHeight="1" x14ac:dyDescent="0.3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</row>
    <row r="911" spans="1:26" ht="18" customHeight="1" x14ac:dyDescent="0.3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</row>
    <row r="912" spans="1:26" ht="18" customHeight="1" x14ac:dyDescent="0.3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</row>
    <row r="913" spans="1:26" ht="18" customHeight="1" x14ac:dyDescent="0.3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</row>
    <row r="914" spans="1:26" ht="18" customHeight="1" x14ac:dyDescent="0.3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</row>
    <row r="915" spans="1:26" ht="18" customHeight="1" x14ac:dyDescent="0.3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</row>
    <row r="916" spans="1:26" ht="18" customHeight="1" x14ac:dyDescent="0.3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</row>
    <row r="917" spans="1:26" ht="18" customHeight="1" x14ac:dyDescent="0.3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</row>
    <row r="918" spans="1:26" ht="18" customHeight="1" x14ac:dyDescent="0.3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</row>
    <row r="919" spans="1:26" ht="18" customHeight="1" x14ac:dyDescent="0.3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</row>
    <row r="920" spans="1:26" ht="18" customHeight="1" x14ac:dyDescent="0.3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</row>
    <row r="921" spans="1:26" ht="18" customHeight="1" x14ac:dyDescent="0.3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</row>
    <row r="922" spans="1:26" ht="18" customHeight="1" x14ac:dyDescent="0.3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</row>
    <row r="923" spans="1:26" ht="18" customHeight="1" x14ac:dyDescent="0.3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</row>
    <row r="924" spans="1:26" ht="18" customHeight="1" x14ac:dyDescent="0.3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</row>
    <row r="925" spans="1:26" ht="18" customHeight="1" x14ac:dyDescent="0.3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</row>
    <row r="926" spans="1:26" ht="18" customHeight="1" x14ac:dyDescent="0.3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</row>
    <row r="927" spans="1:26" ht="18" customHeight="1" x14ac:dyDescent="0.3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</row>
    <row r="928" spans="1:26" ht="18" customHeight="1" x14ac:dyDescent="0.3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</row>
    <row r="929" spans="1:26" ht="18" customHeight="1" x14ac:dyDescent="0.3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</row>
    <row r="930" spans="1:26" ht="18" customHeight="1" x14ac:dyDescent="0.3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</row>
    <row r="931" spans="1:26" ht="18" customHeight="1" x14ac:dyDescent="0.3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</row>
    <row r="932" spans="1:26" ht="18" customHeight="1" x14ac:dyDescent="0.3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</row>
    <row r="933" spans="1:26" ht="18" customHeight="1" x14ac:dyDescent="0.3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</row>
    <row r="934" spans="1:26" ht="18" customHeight="1" x14ac:dyDescent="0.3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</row>
    <row r="935" spans="1:26" ht="18" customHeight="1" x14ac:dyDescent="0.3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</row>
    <row r="936" spans="1:26" ht="18" customHeight="1" x14ac:dyDescent="0.3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</row>
    <row r="937" spans="1:26" ht="18" customHeight="1" x14ac:dyDescent="0.3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</row>
    <row r="938" spans="1:26" ht="18" customHeight="1" x14ac:dyDescent="0.3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</row>
    <row r="939" spans="1:26" ht="18" customHeight="1" x14ac:dyDescent="0.3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</row>
    <row r="940" spans="1:26" ht="18" customHeight="1" x14ac:dyDescent="0.3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</row>
    <row r="941" spans="1:26" ht="18" customHeight="1" x14ac:dyDescent="0.3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</row>
    <row r="942" spans="1:26" ht="18" customHeight="1" x14ac:dyDescent="0.3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</row>
    <row r="943" spans="1:26" ht="18" customHeight="1" x14ac:dyDescent="0.3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</row>
    <row r="944" spans="1:26" ht="18" customHeight="1" x14ac:dyDescent="0.3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</row>
    <row r="945" spans="1:26" ht="18" customHeight="1" x14ac:dyDescent="0.3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</row>
    <row r="946" spans="1:26" ht="18" customHeight="1" x14ac:dyDescent="0.3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</row>
    <row r="947" spans="1:26" ht="18" customHeight="1" x14ac:dyDescent="0.3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</row>
    <row r="948" spans="1:26" ht="18" customHeight="1" x14ac:dyDescent="0.3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</row>
    <row r="949" spans="1:26" ht="18" customHeight="1" x14ac:dyDescent="0.3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</row>
    <row r="950" spans="1:26" ht="18" customHeight="1" x14ac:dyDescent="0.3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</row>
    <row r="951" spans="1:26" ht="18" customHeight="1" x14ac:dyDescent="0.3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</row>
    <row r="952" spans="1:26" ht="18" customHeight="1" x14ac:dyDescent="0.3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</row>
    <row r="953" spans="1:26" ht="18" customHeight="1" x14ac:dyDescent="0.3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</row>
    <row r="954" spans="1:26" ht="18" customHeight="1" x14ac:dyDescent="0.3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</row>
    <row r="955" spans="1:26" ht="18" customHeight="1" x14ac:dyDescent="0.3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</row>
    <row r="956" spans="1:26" ht="18" customHeight="1" x14ac:dyDescent="0.3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</row>
    <row r="957" spans="1:26" ht="18" customHeight="1" x14ac:dyDescent="0.3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</row>
    <row r="958" spans="1:26" ht="18" customHeight="1" x14ac:dyDescent="0.3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</row>
    <row r="959" spans="1:26" ht="18" customHeight="1" x14ac:dyDescent="0.3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</row>
    <row r="960" spans="1:26" ht="18" customHeight="1" x14ac:dyDescent="0.3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</row>
    <row r="961" spans="1:26" ht="18" customHeight="1" x14ac:dyDescent="0.3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</row>
    <row r="962" spans="1:26" ht="18" customHeight="1" x14ac:dyDescent="0.3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</row>
    <row r="963" spans="1:26" ht="18" customHeight="1" x14ac:dyDescent="0.3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</row>
    <row r="964" spans="1:26" ht="18" customHeight="1" x14ac:dyDescent="0.3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</row>
    <row r="965" spans="1:26" ht="18" customHeight="1" x14ac:dyDescent="0.3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</row>
    <row r="966" spans="1:26" ht="18" customHeight="1" x14ac:dyDescent="0.3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</row>
    <row r="967" spans="1:26" ht="18" customHeight="1" x14ac:dyDescent="0.3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</row>
    <row r="968" spans="1:26" ht="18" customHeight="1" x14ac:dyDescent="0.3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</row>
    <row r="969" spans="1:26" ht="18" customHeight="1" x14ac:dyDescent="0.3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</row>
    <row r="970" spans="1:26" ht="18" customHeight="1" x14ac:dyDescent="0.3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</row>
    <row r="971" spans="1:26" ht="18" customHeight="1" x14ac:dyDescent="0.3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</row>
    <row r="972" spans="1:26" ht="18" customHeight="1" x14ac:dyDescent="0.3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</row>
    <row r="973" spans="1:26" ht="18" customHeight="1" x14ac:dyDescent="0.3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</row>
    <row r="974" spans="1:26" ht="18" customHeight="1" x14ac:dyDescent="0.3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</row>
    <row r="975" spans="1:26" ht="18" customHeight="1" x14ac:dyDescent="0.3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</row>
    <row r="976" spans="1:26" ht="18" customHeight="1" x14ac:dyDescent="0.3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</row>
    <row r="977" spans="1:26" ht="18" customHeight="1" x14ac:dyDescent="0.3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</row>
    <row r="978" spans="1:26" ht="18" customHeight="1" x14ac:dyDescent="0.3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</row>
    <row r="979" spans="1:26" ht="18" customHeight="1" x14ac:dyDescent="0.3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</row>
    <row r="980" spans="1:26" ht="18" customHeight="1" x14ac:dyDescent="0.3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</row>
    <row r="981" spans="1:26" ht="18" customHeight="1" x14ac:dyDescent="0.3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</row>
    <row r="982" spans="1:26" ht="18" customHeight="1" x14ac:dyDescent="0.3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</row>
    <row r="983" spans="1:26" ht="18" customHeight="1" x14ac:dyDescent="0.3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</row>
    <row r="984" spans="1:26" ht="18" customHeight="1" x14ac:dyDescent="0.3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</row>
    <row r="985" spans="1:26" ht="18" customHeight="1" x14ac:dyDescent="0.3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</row>
    <row r="986" spans="1:26" ht="18" customHeight="1" x14ac:dyDescent="0.3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</row>
    <row r="987" spans="1:26" ht="18" customHeight="1" x14ac:dyDescent="0.3">
      <c r="A987" s="44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</row>
    <row r="988" spans="1:26" ht="18" customHeight="1" x14ac:dyDescent="0.3">
      <c r="A988" s="44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</row>
    <row r="989" spans="1:26" ht="18" customHeight="1" x14ac:dyDescent="0.3">
      <c r="A989" s="44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</row>
    <row r="990" spans="1:26" ht="18" customHeight="1" x14ac:dyDescent="0.3">
      <c r="A990" s="44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</row>
    <row r="991" spans="1:26" ht="18" customHeight="1" x14ac:dyDescent="0.3">
      <c r="A991" s="44"/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</row>
    <row r="992" spans="1:26" ht="18" customHeight="1" x14ac:dyDescent="0.3">
      <c r="A992" s="44"/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</row>
    <row r="993" spans="1:26" ht="18" customHeight="1" x14ac:dyDescent="0.3">
      <c r="A993" s="44"/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</row>
    <row r="994" spans="1:26" ht="18" customHeight="1" x14ac:dyDescent="0.3">
      <c r="A994" s="44"/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</row>
    <row r="995" spans="1:26" ht="18" customHeight="1" x14ac:dyDescent="0.3">
      <c r="A995" s="44"/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</row>
    <row r="996" spans="1:26" ht="18" customHeight="1" x14ac:dyDescent="0.3">
      <c r="A996" s="44"/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</row>
    <row r="997" spans="1:26" ht="18" customHeight="1" x14ac:dyDescent="0.3">
      <c r="A997" s="44"/>
      <c r="B997" s="44"/>
      <c r="C997" s="44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</row>
    <row r="998" spans="1:26" ht="18" customHeight="1" x14ac:dyDescent="0.3">
      <c r="A998" s="44"/>
      <c r="B998" s="44"/>
      <c r="C998" s="44"/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</row>
    <row r="999" spans="1:26" ht="18" customHeight="1" x14ac:dyDescent="0.3">
      <c r="A999" s="44"/>
      <c r="B999" s="44"/>
      <c r="C999" s="44"/>
      <c r="D999" s="44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</row>
    <row r="1000" spans="1:26" ht="18" customHeight="1" x14ac:dyDescent="0.3">
      <c r="A1000" s="44"/>
      <c r="B1000" s="44"/>
      <c r="C1000" s="44"/>
      <c r="D1000" s="44"/>
      <c r="E1000" s="44"/>
      <c r="F1000" s="44"/>
      <c r="G1000" s="44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</row>
  </sheetData>
  <mergeCells count="14">
    <mergeCell ref="C29:D29"/>
    <mergeCell ref="B31:E31"/>
    <mergeCell ref="B3:C3"/>
    <mergeCell ref="B5:E5"/>
    <mergeCell ref="C10:C13"/>
    <mergeCell ref="C14:D14"/>
    <mergeCell ref="C15:D15"/>
    <mergeCell ref="C17:C18"/>
    <mergeCell ref="C19:D19"/>
    <mergeCell ref="C21:D21"/>
    <mergeCell ref="C22:D22"/>
    <mergeCell ref="C23:D23"/>
    <mergeCell ref="C25:D25"/>
    <mergeCell ref="C27:D27"/>
  </mergeCells>
  <conditionalFormatting sqref="H32:H34">
    <cfRule type="cellIs" dxfId="0" priority="1" operator="equal">
      <formula>"TRUE"</formula>
    </cfRule>
  </conditionalFormatting>
  <printOptions horizontalCentered="1"/>
  <pageMargins left="0.25" right="0.25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HOME</vt:lpstr>
      <vt:lpstr>القيود</vt:lpstr>
      <vt:lpstr>PAYRROLL- الشرائح</vt:lpstr>
      <vt:lpstr>طباعه الكشف للموظف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</dc:creator>
  <cp:lastModifiedBy>HR</cp:lastModifiedBy>
  <dcterms:created xsi:type="dcterms:W3CDTF">2015-06-05T18:17:20Z</dcterms:created>
  <dcterms:modified xsi:type="dcterms:W3CDTF">2023-07-03T14:35:25Z</dcterms:modified>
</cp:coreProperties>
</file>