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chael\Desktop\"/>
    </mc:Choice>
  </mc:AlternateContent>
  <bookViews>
    <workbookView xWindow="0" yWindow="0" windowWidth="15345" windowHeight="4635" tabRatio="950"/>
  </bookViews>
  <sheets>
    <sheet name="فبراير 2019" sheetId="40" r:id="rId1"/>
  </sheets>
  <definedNames>
    <definedName name="_xlnm._FilterDatabase" localSheetId="0" hidden="1">'فبراير 2019'!$A$4:$Z$126</definedName>
  </definedNames>
  <calcPr calcId="152511"/>
</workbook>
</file>

<file path=xl/calcChain.xml><?xml version="1.0" encoding="utf-8"?>
<calcChain xmlns="http://schemas.openxmlformats.org/spreadsheetml/2006/main">
  <c r="S125" i="40" l="1"/>
  <c r="T125" i="40"/>
  <c r="U125" i="40"/>
  <c r="V125" i="40"/>
  <c r="W125" i="40"/>
  <c r="R125" i="40"/>
  <c r="N125" i="40"/>
  <c r="K124" i="40"/>
  <c r="K125" i="40" s="1"/>
  <c r="Y91" i="40"/>
  <c r="Y94" i="40"/>
  <c r="Y95" i="40"/>
  <c r="Y98" i="40"/>
  <c r="Y114" i="40"/>
  <c r="Y117" i="40"/>
  <c r="Y118" i="40"/>
  <c r="Y121" i="40"/>
  <c r="E85" i="40"/>
  <c r="K85" i="40"/>
  <c r="X85" i="40" s="1"/>
  <c r="L85" i="40"/>
  <c r="M85" i="40"/>
  <c r="N85" i="40"/>
  <c r="O85" i="40"/>
  <c r="R85" i="40"/>
  <c r="S85" i="40"/>
  <c r="E86" i="40"/>
  <c r="K86" i="40"/>
  <c r="L86" i="40"/>
  <c r="M86" i="40"/>
  <c r="N86" i="40"/>
  <c r="O86" i="40"/>
  <c r="R86" i="40"/>
  <c r="S86" i="40"/>
  <c r="X86" i="40"/>
  <c r="Y86" i="40" s="1"/>
  <c r="E87" i="40"/>
  <c r="K87" i="40"/>
  <c r="X87" i="40" s="1"/>
  <c r="Y87" i="40" s="1"/>
  <c r="L87" i="40"/>
  <c r="M87" i="40"/>
  <c r="N87" i="40"/>
  <c r="O87" i="40"/>
  <c r="R87" i="40"/>
  <c r="S87" i="40"/>
  <c r="E88" i="40"/>
  <c r="K88" i="40"/>
  <c r="L88" i="40"/>
  <c r="M88" i="40"/>
  <c r="N88" i="40"/>
  <c r="O88" i="40"/>
  <c r="R88" i="40"/>
  <c r="S88" i="40"/>
  <c r="E89" i="40"/>
  <c r="K89" i="40"/>
  <c r="L89" i="40"/>
  <c r="M89" i="40"/>
  <c r="N89" i="40"/>
  <c r="O89" i="40"/>
  <c r="R89" i="40"/>
  <c r="S89" i="40"/>
  <c r="E90" i="40"/>
  <c r="K90" i="40"/>
  <c r="L90" i="40"/>
  <c r="M90" i="40"/>
  <c r="N90" i="40"/>
  <c r="O90" i="40"/>
  <c r="R90" i="40"/>
  <c r="S90" i="40"/>
  <c r="X90" i="40"/>
  <c r="E91" i="40"/>
  <c r="K91" i="40"/>
  <c r="X91" i="40" s="1"/>
  <c r="L91" i="40"/>
  <c r="M91" i="40"/>
  <c r="N91" i="40"/>
  <c r="O91" i="40"/>
  <c r="R91" i="40"/>
  <c r="S91" i="40"/>
  <c r="E92" i="40"/>
  <c r="K92" i="40"/>
  <c r="X92" i="40" s="1"/>
  <c r="L92" i="40"/>
  <c r="M92" i="40"/>
  <c r="N92" i="40"/>
  <c r="O92" i="40"/>
  <c r="R92" i="40"/>
  <c r="S92" i="40"/>
  <c r="E93" i="40"/>
  <c r="K93" i="40"/>
  <c r="L93" i="40"/>
  <c r="M93" i="40"/>
  <c r="N93" i="40"/>
  <c r="O93" i="40"/>
  <c r="R93" i="40"/>
  <c r="S93" i="40"/>
  <c r="E94" i="40"/>
  <c r="K94" i="40"/>
  <c r="L94" i="40"/>
  <c r="M94" i="40"/>
  <c r="N94" i="40"/>
  <c r="O94" i="40"/>
  <c r="R94" i="40"/>
  <c r="S94" i="40"/>
  <c r="X94" i="40"/>
  <c r="Z94" i="40" s="1"/>
  <c r="E95" i="40"/>
  <c r="K95" i="40"/>
  <c r="X95" i="40" s="1"/>
  <c r="L95" i="40"/>
  <c r="M95" i="40"/>
  <c r="N95" i="40"/>
  <c r="O95" i="40"/>
  <c r="R95" i="40"/>
  <c r="S95" i="40"/>
  <c r="E96" i="40"/>
  <c r="K96" i="40"/>
  <c r="L96" i="40"/>
  <c r="M96" i="40"/>
  <c r="N96" i="40"/>
  <c r="O96" i="40"/>
  <c r="R96" i="40"/>
  <c r="S96" i="40"/>
  <c r="E97" i="40"/>
  <c r="K97" i="40"/>
  <c r="X97" i="40" s="1"/>
  <c r="L97" i="40"/>
  <c r="M97" i="40"/>
  <c r="N97" i="40"/>
  <c r="O97" i="40"/>
  <c r="R97" i="40"/>
  <c r="S97" i="40"/>
  <c r="E98" i="40"/>
  <c r="K98" i="40"/>
  <c r="L98" i="40"/>
  <c r="M98" i="40"/>
  <c r="N98" i="40"/>
  <c r="O98" i="40"/>
  <c r="R98" i="40"/>
  <c r="S98" i="40"/>
  <c r="X98" i="40"/>
  <c r="E99" i="40"/>
  <c r="K99" i="40"/>
  <c r="X99" i="40" s="1"/>
  <c r="Y99" i="40" s="1"/>
  <c r="Z99" i="40" s="1"/>
  <c r="L99" i="40"/>
  <c r="M99" i="40"/>
  <c r="N99" i="40"/>
  <c r="O99" i="40"/>
  <c r="R99" i="40"/>
  <c r="S99" i="40"/>
  <c r="E100" i="40"/>
  <c r="K100" i="40"/>
  <c r="L100" i="40"/>
  <c r="M100" i="40"/>
  <c r="N100" i="40"/>
  <c r="O100" i="40"/>
  <c r="R100" i="40"/>
  <c r="S100" i="40"/>
  <c r="E101" i="40"/>
  <c r="K101" i="40"/>
  <c r="X101" i="40" s="1"/>
  <c r="L101" i="40"/>
  <c r="M101" i="40"/>
  <c r="N101" i="40"/>
  <c r="O101" i="40"/>
  <c r="R101" i="40"/>
  <c r="S101" i="40"/>
  <c r="E102" i="40"/>
  <c r="K102" i="40"/>
  <c r="L102" i="40"/>
  <c r="M102" i="40"/>
  <c r="N102" i="40"/>
  <c r="O102" i="40"/>
  <c r="R102" i="40"/>
  <c r="S102" i="40"/>
  <c r="X102" i="40"/>
  <c r="E103" i="40"/>
  <c r="K103" i="40"/>
  <c r="X103" i="40" s="1"/>
  <c r="Y103" i="40" s="1"/>
  <c r="L103" i="40"/>
  <c r="M103" i="40"/>
  <c r="N103" i="40"/>
  <c r="O103" i="40"/>
  <c r="R103" i="40"/>
  <c r="S103" i="40"/>
  <c r="E104" i="40"/>
  <c r="K104" i="40"/>
  <c r="L104" i="40"/>
  <c r="M104" i="40"/>
  <c r="N104" i="40"/>
  <c r="O104" i="40"/>
  <c r="R104" i="40"/>
  <c r="S104" i="40"/>
  <c r="E105" i="40"/>
  <c r="K105" i="40"/>
  <c r="L105" i="40"/>
  <c r="M105" i="40"/>
  <c r="N105" i="40"/>
  <c r="O105" i="40"/>
  <c r="R105" i="40"/>
  <c r="S105" i="40"/>
  <c r="E106" i="40"/>
  <c r="K106" i="40"/>
  <c r="L106" i="40"/>
  <c r="M106" i="40"/>
  <c r="N106" i="40"/>
  <c r="O106" i="40"/>
  <c r="R106" i="40"/>
  <c r="S106" i="40"/>
  <c r="X106" i="40"/>
  <c r="E107" i="40"/>
  <c r="K107" i="40"/>
  <c r="X107" i="40" s="1"/>
  <c r="Y107" i="40" s="1"/>
  <c r="L107" i="40"/>
  <c r="M107" i="40"/>
  <c r="N107" i="40"/>
  <c r="O107" i="40"/>
  <c r="R107" i="40"/>
  <c r="S107" i="40"/>
  <c r="E108" i="40"/>
  <c r="K108" i="40"/>
  <c r="X108" i="40" s="1"/>
  <c r="Y108" i="40" s="1"/>
  <c r="L108" i="40"/>
  <c r="M108" i="40"/>
  <c r="N108" i="40"/>
  <c r="O108" i="40"/>
  <c r="R108" i="40"/>
  <c r="S108" i="40"/>
  <c r="E109" i="40"/>
  <c r="K109" i="40"/>
  <c r="L109" i="40"/>
  <c r="M109" i="40"/>
  <c r="N109" i="40"/>
  <c r="O109" i="40"/>
  <c r="R109" i="40"/>
  <c r="S109" i="40"/>
  <c r="E110" i="40"/>
  <c r="K110" i="40"/>
  <c r="L110" i="40"/>
  <c r="M110" i="40"/>
  <c r="N110" i="40"/>
  <c r="O110" i="40"/>
  <c r="R110" i="40"/>
  <c r="S110" i="40"/>
  <c r="X110" i="40"/>
  <c r="E111" i="40"/>
  <c r="K111" i="40"/>
  <c r="X111" i="40" s="1"/>
  <c r="Y111" i="40" s="1"/>
  <c r="L111" i="40"/>
  <c r="M111" i="40"/>
  <c r="N111" i="40"/>
  <c r="O111" i="40"/>
  <c r="R111" i="40"/>
  <c r="S111" i="40"/>
  <c r="E112" i="40"/>
  <c r="K112" i="40"/>
  <c r="L112" i="40"/>
  <c r="M112" i="40"/>
  <c r="N112" i="40"/>
  <c r="O112" i="40"/>
  <c r="R112" i="40"/>
  <c r="S112" i="40"/>
  <c r="E113" i="40"/>
  <c r="K113" i="40"/>
  <c r="X113" i="40" s="1"/>
  <c r="L113" i="40"/>
  <c r="M113" i="40"/>
  <c r="N113" i="40"/>
  <c r="O113" i="40"/>
  <c r="R113" i="40"/>
  <c r="S113" i="40"/>
  <c r="E114" i="40"/>
  <c r="K114" i="40"/>
  <c r="L114" i="40"/>
  <c r="M114" i="40"/>
  <c r="N114" i="40"/>
  <c r="O114" i="40"/>
  <c r="R114" i="40"/>
  <c r="S114" i="40"/>
  <c r="X114" i="40"/>
  <c r="E115" i="40"/>
  <c r="K115" i="40"/>
  <c r="X115" i="40" s="1"/>
  <c r="Y115" i="40" s="1"/>
  <c r="Z115" i="40" s="1"/>
  <c r="L115" i="40"/>
  <c r="M115" i="40"/>
  <c r="N115" i="40"/>
  <c r="O115" i="40"/>
  <c r="R115" i="40"/>
  <c r="S115" i="40"/>
  <c r="E116" i="40"/>
  <c r="K116" i="40"/>
  <c r="L116" i="40"/>
  <c r="M116" i="40"/>
  <c r="N116" i="40"/>
  <c r="O116" i="40"/>
  <c r="R116" i="40"/>
  <c r="S116" i="40"/>
  <c r="E117" i="40"/>
  <c r="K117" i="40"/>
  <c r="X117" i="40" s="1"/>
  <c r="Z117" i="40" s="1"/>
  <c r="L117" i="40"/>
  <c r="M117" i="40"/>
  <c r="N117" i="40"/>
  <c r="O117" i="40"/>
  <c r="R117" i="40"/>
  <c r="S117" i="40"/>
  <c r="E118" i="40"/>
  <c r="K118" i="40"/>
  <c r="L118" i="40"/>
  <c r="M118" i="40"/>
  <c r="N118" i="40"/>
  <c r="O118" i="40"/>
  <c r="R118" i="40"/>
  <c r="S118" i="40"/>
  <c r="X118" i="40"/>
  <c r="E119" i="40"/>
  <c r="K119" i="40"/>
  <c r="X119" i="40" s="1"/>
  <c r="Y119" i="40" s="1"/>
  <c r="L119" i="40"/>
  <c r="M119" i="40"/>
  <c r="N119" i="40"/>
  <c r="O119" i="40"/>
  <c r="R119" i="40"/>
  <c r="S119" i="40"/>
  <c r="E120" i="40"/>
  <c r="K120" i="40"/>
  <c r="L120" i="40"/>
  <c r="M120" i="40"/>
  <c r="N120" i="40"/>
  <c r="O120" i="40"/>
  <c r="R120" i="40"/>
  <c r="S120" i="40"/>
  <c r="E121" i="40"/>
  <c r="K121" i="40"/>
  <c r="X121" i="40" s="1"/>
  <c r="L121" i="40"/>
  <c r="M121" i="40"/>
  <c r="N121" i="40"/>
  <c r="O121" i="40"/>
  <c r="R121" i="40"/>
  <c r="S121" i="40"/>
  <c r="E122" i="40"/>
  <c r="K122" i="40"/>
  <c r="L122" i="40"/>
  <c r="M122" i="40"/>
  <c r="N122" i="40"/>
  <c r="O122" i="40"/>
  <c r="R122" i="40"/>
  <c r="S122" i="40"/>
  <c r="X122" i="40"/>
  <c r="E123" i="40"/>
  <c r="K123" i="40"/>
  <c r="X123" i="40" s="1"/>
  <c r="Y123" i="40" s="1"/>
  <c r="L123" i="40"/>
  <c r="M123" i="40"/>
  <c r="N123" i="40"/>
  <c r="O123" i="40"/>
  <c r="R123" i="40"/>
  <c r="S123" i="40"/>
  <c r="E124" i="40"/>
  <c r="L124" i="40"/>
  <c r="M124" i="40"/>
  <c r="M125" i="40" s="1"/>
  <c r="N124" i="40"/>
  <c r="O124" i="40"/>
  <c r="O125" i="40" s="1"/>
  <c r="R124" i="40"/>
  <c r="S124" i="40"/>
  <c r="X124" i="40" l="1"/>
  <c r="L125" i="40"/>
  <c r="Y122" i="40"/>
  <c r="Z122" i="40" s="1"/>
  <c r="Z121" i="40"/>
  <c r="Z118" i="40"/>
  <c r="Y113" i="40"/>
  <c r="Z113" i="40" s="1"/>
  <c r="Y110" i="40"/>
  <c r="Z110" i="40" s="1"/>
  <c r="Y106" i="40"/>
  <c r="Z106" i="40" s="1"/>
  <c r="Z103" i="40"/>
  <c r="Y102" i="40"/>
  <c r="Z102" i="40" s="1"/>
  <c r="Y101" i="40"/>
  <c r="Z101" i="40" s="1"/>
  <c r="Z98" i="40"/>
  <c r="Y97" i="40"/>
  <c r="Z97" i="40" s="1"/>
  <c r="Y92" i="40"/>
  <c r="Z92" i="40" s="1"/>
  <c r="Z91" i="40"/>
  <c r="Y90" i="40"/>
  <c r="Z90" i="40" s="1"/>
  <c r="Z87" i="40"/>
  <c r="Y85" i="40"/>
  <c r="Z85" i="40" s="1"/>
  <c r="Z123" i="40"/>
  <c r="Z111" i="40"/>
  <c r="Z119" i="40"/>
  <c r="Z114" i="40"/>
  <c r="Z108" i="40"/>
  <c r="Z107" i="40"/>
  <c r="Z95" i="40"/>
  <c r="Z86" i="40"/>
  <c r="Z120" i="40"/>
  <c r="X112" i="40"/>
  <c r="X96" i="40"/>
  <c r="X120" i="40"/>
  <c r="Y120" i="40" s="1"/>
  <c r="X116" i="40"/>
  <c r="X105" i="40"/>
  <c r="X100" i="40"/>
  <c r="X89" i="40"/>
  <c r="X109" i="40"/>
  <c r="X104" i="40"/>
  <c r="X93" i="40"/>
  <c r="X88" i="40"/>
  <c r="Z149" i="40"/>
  <c r="Y149" i="40"/>
  <c r="X149" i="40"/>
  <c r="W149" i="40"/>
  <c r="V149" i="40"/>
  <c r="U149" i="40"/>
  <c r="T149" i="40"/>
  <c r="S149" i="40"/>
  <c r="R149" i="40"/>
  <c r="Q149" i="40"/>
  <c r="P149" i="40"/>
  <c r="O149" i="40"/>
  <c r="N149" i="40"/>
  <c r="M149" i="40"/>
  <c r="L149" i="40"/>
  <c r="K149" i="40"/>
  <c r="J149" i="40"/>
  <c r="I149" i="40"/>
  <c r="H149" i="40"/>
  <c r="G149" i="40"/>
  <c r="F149" i="40"/>
  <c r="E149" i="40"/>
  <c r="D149" i="40"/>
  <c r="C149" i="40"/>
  <c r="S84" i="40"/>
  <c r="R84" i="40"/>
  <c r="O84" i="40"/>
  <c r="N84" i="40"/>
  <c r="M84" i="40"/>
  <c r="L84" i="40"/>
  <c r="K84" i="40"/>
  <c r="E84" i="40"/>
  <c r="S83" i="40"/>
  <c r="R83" i="40"/>
  <c r="O83" i="40"/>
  <c r="N83" i="40"/>
  <c r="M83" i="40"/>
  <c r="L83" i="40"/>
  <c r="K83" i="40"/>
  <c r="E83" i="40"/>
  <c r="S82" i="40"/>
  <c r="R82" i="40"/>
  <c r="O82" i="40"/>
  <c r="N82" i="40"/>
  <c r="M82" i="40"/>
  <c r="L82" i="40"/>
  <c r="K82" i="40"/>
  <c r="E82" i="40"/>
  <c r="S81" i="40"/>
  <c r="R81" i="40"/>
  <c r="O81" i="40"/>
  <c r="N81" i="40"/>
  <c r="M81" i="40"/>
  <c r="L81" i="40"/>
  <c r="K81" i="40"/>
  <c r="E81" i="40"/>
  <c r="S80" i="40"/>
  <c r="R80" i="40"/>
  <c r="O80" i="40"/>
  <c r="N80" i="40"/>
  <c r="M80" i="40"/>
  <c r="L80" i="40"/>
  <c r="K80" i="40"/>
  <c r="E80" i="40"/>
  <c r="S79" i="40"/>
  <c r="R79" i="40"/>
  <c r="O79" i="40"/>
  <c r="N79" i="40"/>
  <c r="M79" i="40"/>
  <c r="L79" i="40"/>
  <c r="K79" i="40"/>
  <c r="E79" i="40"/>
  <c r="S78" i="40"/>
  <c r="R78" i="40"/>
  <c r="O78" i="40"/>
  <c r="N78" i="40"/>
  <c r="M78" i="40"/>
  <c r="L78" i="40"/>
  <c r="K78" i="40"/>
  <c r="E78" i="40"/>
  <c r="S77" i="40"/>
  <c r="R77" i="40"/>
  <c r="O77" i="40"/>
  <c r="N77" i="40"/>
  <c r="M77" i="40"/>
  <c r="L77" i="40"/>
  <c r="K77" i="40"/>
  <c r="E77" i="40"/>
  <c r="S76" i="40"/>
  <c r="R76" i="40"/>
  <c r="O76" i="40"/>
  <c r="N76" i="40"/>
  <c r="M76" i="40"/>
  <c r="L76" i="40"/>
  <c r="K76" i="40"/>
  <c r="E76" i="40"/>
  <c r="S75" i="40"/>
  <c r="R75" i="40"/>
  <c r="O75" i="40"/>
  <c r="N75" i="40"/>
  <c r="M75" i="40"/>
  <c r="L75" i="40"/>
  <c r="K75" i="40"/>
  <c r="E75" i="40"/>
  <c r="S74" i="40"/>
  <c r="R74" i="40"/>
  <c r="O74" i="40"/>
  <c r="N74" i="40"/>
  <c r="M74" i="40"/>
  <c r="L74" i="40"/>
  <c r="K74" i="40"/>
  <c r="E74" i="40"/>
  <c r="S73" i="40"/>
  <c r="R73" i="40"/>
  <c r="O73" i="40"/>
  <c r="N73" i="40"/>
  <c r="M73" i="40"/>
  <c r="L73" i="40"/>
  <c r="K73" i="40"/>
  <c r="E73" i="40"/>
  <c r="S72" i="40"/>
  <c r="R72" i="40"/>
  <c r="O72" i="40"/>
  <c r="N72" i="40"/>
  <c r="M72" i="40"/>
  <c r="L72" i="40"/>
  <c r="K72" i="40"/>
  <c r="E72" i="40"/>
  <c r="S71" i="40"/>
  <c r="R71" i="40"/>
  <c r="O71" i="40"/>
  <c r="N71" i="40"/>
  <c r="M71" i="40"/>
  <c r="L71" i="40"/>
  <c r="K71" i="40"/>
  <c r="E71" i="40"/>
  <c r="S70" i="40"/>
  <c r="R70" i="40"/>
  <c r="O70" i="40"/>
  <c r="N70" i="40"/>
  <c r="M70" i="40"/>
  <c r="L70" i="40"/>
  <c r="K70" i="40"/>
  <c r="E70" i="40"/>
  <c r="S69" i="40"/>
  <c r="R69" i="40"/>
  <c r="O69" i="40"/>
  <c r="N69" i="40"/>
  <c r="M69" i="40"/>
  <c r="L69" i="40"/>
  <c r="K69" i="40"/>
  <c r="E69" i="40"/>
  <c r="S68" i="40"/>
  <c r="R68" i="40"/>
  <c r="O68" i="40"/>
  <c r="N68" i="40"/>
  <c r="M68" i="40"/>
  <c r="L68" i="40"/>
  <c r="K68" i="40"/>
  <c r="E68" i="40"/>
  <c r="S67" i="40"/>
  <c r="R67" i="40"/>
  <c r="O67" i="40"/>
  <c r="N67" i="40"/>
  <c r="M67" i="40"/>
  <c r="L67" i="40"/>
  <c r="K67" i="40"/>
  <c r="E67" i="40"/>
  <c r="S66" i="40"/>
  <c r="R66" i="40"/>
  <c r="O66" i="40"/>
  <c r="N66" i="40"/>
  <c r="M66" i="40"/>
  <c r="L66" i="40"/>
  <c r="K66" i="40"/>
  <c r="E66" i="40"/>
  <c r="S65" i="40"/>
  <c r="R65" i="40"/>
  <c r="O65" i="40"/>
  <c r="N65" i="40"/>
  <c r="M65" i="40"/>
  <c r="L65" i="40"/>
  <c r="K65" i="40"/>
  <c r="E65" i="40"/>
  <c r="S64" i="40"/>
  <c r="R64" i="40"/>
  <c r="O64" i="40"/>
  <c r="N64" i="40"/>
  <c r="M64" i="40"/>
  <c r="L64" i="40"/>
  <c r="K64" i="40"/>
  <c r="E64" i="40"/>
  <c r="S63" i="40"/>
  <c r="R63" i="40"/>
  <c r="O63" i="40"/>
  <c r="N63" i="40"/>
  <c r="M63" i="40"/>
  <c r="L63" i="40"/>
  <c r="K63" i="40"/>
  <c r="E63" i="40"/>
  <c r="S62" i="40"/>
  <c r="R62" i="40"/>
  <c r="O62" i="40"/>
  <c r="N62" i="40"/>
  <c r="M62" i="40"/>
  <c r="L62" i="40"/>
  <c r="K62" i="40"/>
  <c r="E62" i="40"/>
  <c r="S61" i="40"/>
  <c r="R61" i="40"/>
  <c r="O61" i="40"/>
  <c r="N61" i="40"/>
  <c r="M61" i="40"/>
  <c r="L61" i="40"/>
  <c r="K61" i="40"/>
  <c r="E61" i="40"/>
  <c r="S60" i="40"/>
  <c r="R60" i="40"/>
  <c r="O60" i="40"/>
  <c r="N60" i="40"/>
  <c r="M60" i="40"/>
  <c r="L60" i="40"/>
  <c r="K60" i="40"/>
  <c r="E60" i="40"/>
  <c r="S59" i="40"/>
  <c r="R59" i="40"/>
  <c r="O59" i="40"/>
  <c r="N59" i="40"/>
  <c r="M59" i="40"/>
  <c r="L59" i="40"/>
  <c r="K59" i="40"/>
  <c r="E59" i="40"/>
  <c r="S58" i="40"/>
  <c r="R58" i="40"/>
  <c r="O58" i="40"/>
  <c r="N58" i="40"/>
  <c r="M58" i="40"/>
  <c r="L58" i="40"/>
  <c r="K58" i="40"/>
  <c r="E58" i="40"/>
  <c r="S57" i="40"/>
  <c r="R57" i="40"/>
  <c r="O57" i="40"/>
  <c r="N57" i="40"/>
  <c r="M57" i="40"/>
  <c r="L57" i="40"/>
  <c r="K57" i="40"/>
  <c r="E57" i="40"/>
  <c r="S56" i="40"/>
  <c r="R56" i="40"/>
  <c r="O56" i="40"/>
  <c r="N56" i="40"/>
  <c r="M56" i="40"/>
  <c r="L56" i="40"/>
  <c r="K56" i="40"/>
  <c r="E56" i="40"/>
  <c r="S55" i="40"/>
  <c r="R55" i="40"/>
  <c r="O55" i="40"/>
  <c r="N55" i="40"/>
  <c r="M55" i="40"/>
  <c r="L55" i="40"/>
  <c r="K55" i="40"/>
  <c r="E55" i="40"/>
  <c r="S54" i="40"/>
  <c r="R54" i="40"/>
  <c r="O54" i="40"/>
  <c r="N54" i="40"/>
  <c r="M54" i="40"/>
  <c r="L54" i="40"/>
  <c r="K54" i="40"/>
  <c r="E54" i="40"/>
  <c r="S53" i="40"/>
  <c r="R53" i="40"/>
  <c r="O53" i="40"/>
  <c r="N53" i="40"/>
  <c r="M53" i="40"/>
  <c r="L53" i="40"/>
  <c r="K53" i="40"/>
  <c r="E53" i="40"/>
  <c r="S52" i="40"/>
  <c r="R52" i="40"/>
  <c r="O52" i="40"/>
  <c r="N52" i="40"/>
  <c r="M52" i="40"/>
  <c r="L52" i="40"/>
  <c r="K52" i="40"/>
  <c r="E52" i="40"/>
  <c r="S51" i="40"/>
  <c r="R51" i="40"/>
  <c r="O51" i="40"/>
  <c r="N51" i="40"/>
  <c r="M51" i="40"/>
  <c r="L51" i="40"/>
  <c r="K51" i="40"/>
  <c r="E51" i="40"/>
  <c r="S50" i="40"/>
  <c r="R50" i="40"/>
  <c r="O50" i="40"/>
  <c r="N50" i="40"/>
  <c r="M50" i="40"/>
  <c r="L50" i="40"/>
  <c r="K50" i="40"/>
  <c r="E50" i="40"/>
  <c r="S49" i="40"/>
  <c r="R49" i="40"/>
  <c r="O49" i="40"/>
  <c r="N49" i="40"/>
  <c r="M49" i="40"/>
  <c r="L49" i="40"/>
  <c r="K49" i="40"/>
  <c r="E49" i="40"/>
  <c r="S48" i="40"/>
  <c r="R48" i="40"/>
  <c r="O48" i="40"/>
  <c r="N48" i="40"/>
  <c r="M48" i="40"/>
  <c r="L48" i="40"/>
  <c r="K48" i="40"/>
  <c r="E48" i="40"/>
  <c r="S47" i="40"/>
  <c r="R47" i="40"/>
  <c r="O47" i="40"/>
  <c r="N47" i="40"/>
  <c r="M47" i="40"/>
  <c r="L47" i="40"/>
  <c r="K47" i="40"/>
  <c r="E47" i="40"/>
  <c r="S46" i="40"/>
  <c r="R46" i="40"/>
  <c r="O46" i="40"/>
  <c r="N46" i="40"/>
  <c r="M46" i="40"/>
  <c r="L46" i="40"/>
  <c r="K46" i="40"/>
  <c r="E46" i="40"/>
  <c r="S45" i="40"/>
  <c r="R45" i="40"/>
  <c r="O45" i="40"/>
  <c r="N45" i="40"/>
  <c r="M45" i="40"/>
  <c r="L45" i="40"/>
  <c r="K45" i="40"/>
  <c r="E45" i="40"/>
  <c r="S44" i="40"/>
  <c r="R44" i="40"/>
  <c r="O44" i="40"/>
  <c r="N44" i="40"/>
  <c r="M44" i="40"/>
  <c r="L44" i="40"/>
  <c r="K44" i="40"/>
  <c r="E44" i="40"/>
  <c r="S43" i="40"/>
  <c r="R43" i="40"/>
  <c r="O43" i="40"/>
  <c r="N43" i="40"/>
  <c r="M43" i="40"/>
  <c r="L43" i="40"/>
  <c r="K43" i="40"/>
  <c r="E43" i="40"/>
  <c r="S42" i="40"/>
  <c r="R42" i="40"/>
  <c r="O42" i="40"/>
  <c r="N42" i="40"/>
  <c r="M42" i="40"/>
  <c r="L42" i="40"/>
  <c r="K42" i="40"/>
  <c r="E42" i="40"/>
  <c r="S41" i="40"/>
  <c r="T41" i="40" s="1"/>
  <c r="R41" i="40"/>
  <c r="O41" i="40"/>
  <c r="N41" i="40"/>
  <c r="M41" i="40"/>
  <c r="L41" i="40"/>
  <c r="K41" i="40"/>
  <c r="E41" i="40"/>
  <c r="S40" i="40"/>
  <c r="R40" i="40"/>
  <c r="O40" i="40"/>
  <c r="N40" i="40"/>
  <c r="M40" i="40"/>
  <c r="L40" i="40"/>
  <c r="K40" i="40"/>
  <c r="E40" i="40"/>
  <c r="S39" i="40"/>
  <c r="R39" i="40"/>
  <c r="O39" i="40"/>
  <c r="N39" i="40"/>
  <c r="M39" i="40"/>
  <c r="L39" i="40"/>
  <c r="K39" i="40"/>
  <c r="E39" i="40"/>
  <c r="S38" i="40"/>
  <c r="R38" i="40"/>
  <c r="O38" i="40"/>
  <c r="N38" i="40"/>
  <c r="M38" i="40"/>
  <c r="L38" i="40"/>
  <c r="K38" i="40"/>
  <c r="E38" i="40"/>
  <c r="S37" i="40"/>
  <c r="R37" i="40"/>
  <c r="O37" i="40"/>
  <c r="N37" i="40"/>
  <c r="M37" i="40"/>
  <c r="L37" i="40"/>
  <c r="K37" i="40"/>
  <c r="E37" i="40"/>
  <c r="S36" i="40"/>
  <c r="R36" i="40"/>
  <c r="O36" i="40"/>
  <c r="N36" i="40"/>
  <c r="M36" i="40"/>
  <c r="L36" i="40"/>
  <c r="K36" i="40"/>
  <c r="E36" i="40"/>
  <c r="S35" i="40"/>
  <c r="R35" i="40"/>
  <c r="O35" i="40"/>
  <c r="N35" i="40"/>
  <c r="M35" i="40"/>
  <c r="L35" i="40"/>
  <c r="K35" i="40"/>
  <c r="E35" i="40"/>
  <c r="S34" i="40"/>
  <c r="R34" i="40"/>
  <c r="O34" i="40"/>
  <c r="N34" i="40"/>
  <c r="M34" i="40"/>
  <c r="L34" i="40"/>
  <c r="K34" i="40"/>
  <c r="E34" i="40"/>
  <c r="S33" i="40"/>
  <c r="R33" i="40"/>
  <c r="O33" i="40"/>
  <c r="N33" i="40"/>
  <c r="M33" i="40"/>
  <c r="L33" i="40"/>
  <c r="K33" i="40"/>
  <c r="E33" i="40"/>
  <c r="S32" i="40"/>
  <c r="R32" i="40"/>
  <c r="O32" i="40"/>
  <c r="N32" i="40"/>
  <c r="M32" i="40"/>
  <c r="L32" i="40"/>
  <c r="K32" i="40"/>
  <c r="E32" i="40"/>
  <c r="S31" i="40"/>
  <c r="R31" i="40"/>
  <c r="O31" i="40"/>
  <c r="N31" i="40"/>
  <c r="M31" i="40"/>
  <c r="L31" i="40"/>
  <c r="K31" i="40"/>
  <c r="E31" i="40"/>
  <c r="S30" i="40"/>
  <c r="R30" i="40"/>
  <c r="O30" i="40"/>
  <c r="N30" i="40"/>
  <c r="M30" i="40"/>
  <c r="L30" i="40"/>
  <c r="K30" i="40"/>
  <c r="E30" i="40"/>
  <c r="S29" i="40"/>
  <c r="R29" i="40"/>
  <c r="O29" i="40"/>
  <c r="N29" i="40"/>
  <c r="M29" i="40"/>
  <c r="L29" i="40"/>
  <c r="K29" i="40"/>
  <c r="E29" i="40"/>
  <c r="S28" i="40"/>
  <c r="R28" i="40"/>
  <c r="O28" i="40"/>
  <c r="N28" i="40"/>
  <c r="M28" i="40"/>
  <c r="L28" i="40"/>
  <c r="K28" i="40"/>
  <c r="E28" i="40"/>
  <c r="S27" i="40"/>
  <c r="R27" i="40"/>
  <c r="O27" i="40"/>
  <c r="N27" i="40"/>
  <c r="M27" i="40"/>
  <c r="L27" i="40"/>
  <c r="K27" i="40"/>
  <c r="E27" i="40"/>
  <c r="S26" i="40"/>
  <c r="R26" i="40"/>
  <c r="O26" i="40"/>
  <c r="N26" i="40"/>
  <c r="M26" i="40"/>
  <c r="L26" i="40"/>
  <c r="K26" i="40"/>
  <c r="E26" i="40"/>
  <c r="S25" i="40"/>
  <c r="R25" i="40"/>
  <c r="O25" i="40"/>
  <c r="N25" i="40"/>
  <c r="M25" i="40"/>
  <c r="L25" i="40"/>
  <c r="K25" i="40"/>
  <c r="E25" i="40"/>
  <c r="S24" i="40"/>
  <c r="R24" i="40"/>
  <c r="O24" i="40"/>
  <c r="N24" i="40"/>
  <c r="M24" i="40"/>
  <c r="L24" i="40"/>
  <c r="K24" i="40"/>
  <c r="E24" i="40"/>
  <c r="S23" i="40"/>
  <c r="R23" i="40"/>
  <c r="O23" i="40"/>
  <c r="N23" i="40"/>
  <c r="M23" i="40"/>
  <c r="L23" i="40"/>
  <c r="K23" i="40"/>
  <c r="E23" i="40"/>
  <c r="S22" i="40"/>
  <c r="R22" i="40"/>
  <c r="O22" i="40"/>
  <c r="N22" i="40"/>
  <c r="M22" i="40"/>
  <c r="L22" i="40"/>
  <c r="K22" i="40"/>
  <c r="E22" i="40"/>
  <c r="S21" i="40"/>
  <c r="R21" i="40"/>
  <c r="O21" i="40"/>
  <c r="N21" i="40"/>
  <c r="M21" i="40"/>
  <c r="L21" i="40"/>
  <c r="K21" i="40"/>
  <c r="E21" i="40"/>
  <c r="S20" i="40"/>
  <c r="R20" i="40"/>
  <c r="O20" i="40"/>
  <c r="N20" i="40"/>
  <c r="M20" i="40"/>
  <c r="L20" i="40"/>
  <c r="K20" i="40"/>
  <c r="E20" i="40"/>
  <c r="S19" i="40"/>
  <c r="R19" i="40"/>
  <c r="O19" i="40"/>
  <c r="N19" i="40"/>
  <c r="M19" i="40"/>
  <c r="L19" i="40"/>
  <c r="K19" i="40"/>
  <c r="E19" i="40"/>
  <c r="S18" i="40"/>
  <c r="R18" i="40"/>
  <c r="O18" i="40"/>
  <c r="N18" i="40"/>
  <c r="M18" i="40"/>
  <c r="L18" i="40"/>
  <c r="K18" i="40"/>
  <c r="E18" i="40"/>
  <c r="S17" i="40"/>
  <c r="R17" i="40"/>
  <c r="O17" i="40"/>
  <c r="N17" i="40"/>
  <c r="M17" i="40"/>
  <c r="L17" i="40"/>
  <c r="K17" i="40"/>
  <c r="E17" i="40"/>
  <c r="S16" i="40"/>
  <c r="R16" i="40"/>
  <c r="O16" i="40"/>
  <c r="N16" i="40"/>
  <c r="M16" i="40"/>
  <c r="L16" i="40"/>
  <c r="K16" i="40"/>
  <c r="E16" i="40"/>
  <c r="S15" i="40"/>
  <c r="R15" i="40"/>
  <c r="O15" i="40"/>
  <c r="N15" i="40"/>
  <c r="M15" i="40"/>
  <c r="L15" i="40"/>
  <c r="K15" i="40"/>
  <c r="E15" i="40"/>
  <c r="S14" i="40"/>
  <c r="R14" i="40"/>
  <c r="O14" i="40"/>
  <c r="N14" i="40"/>
  <c r="M14" i="40"/>
  <c r="L14" i="40"/>
  <c r="K14" i="40"/>
  <c r="E14" i="40"/>
  <c r="S13" i="40"/>
  <c r="R13" i="40"/>
  <c r="O13" i="40"/>
  <c r="N13" i="40"/>
  <c r="M13" i="40"/>
  <c r="L13" i="40"/>
  <c r="K13" i="40"/>
  <c r="E13" i="40"/>
  <c r="S12" i="40"/>
  <c r="R12" i="40"/>
  <c r="O12" i="40"/>
  <c r="N12" i="40"/>
  <c r="M12" i="40"/>
  <c r="L12" i="40"/>
  <c r="K12" i="40"/>
  <c r="E12" i="40"/>
  <c r="S11" i="40"/>
  <c r="R11" i="40"/>
  <c r="O11" i="40"/>
  <c r="N11" i="40"/>
  <c r="M11" i="40"/>
  <c r="L11" i="40"/>
  <c r="K11" i="40"/>
  <c r="E11" i="40"/>
  <c r="S10" i="40"/>
  <c r="R10" i="40"/>
  <c r="O10" i="40"/>
  <c r="N10" i="40"/>
  <c r="M10" i="40"/>
  <c r="L10" i="40"/>
  <c r="K10" i="40"/>
  <c r="E10" i="40"/>
  <c r="S9" i="40"/>
  <c r="R9" i="40"/>
  <c r="O9" i="40"/>
  <c r="N9" i="40"/>
  <c r="M9" i="40"/>
  <c r="L9" i="40"/>
  <c r="K9" i="40"/>
  <c r="E9" i="40"/>
  <c r="S8" i="40"/>
  <c r="R8" i="40"/>
  <c r="O8" i="40"/>
  <c r="N8" i="40"/>
  <c r="M8" i="40"/>
  <c r="L8" i="40"/>
  <c r="K8" i="40"/>
  <c r="E8" i="40"/>
  <c r="S7" i="40"/>
  <c r="R7" i="40"/>
  <c r="O7" i="40"/>
  <c r="N7" i="40"/>
  <c r="M7" i="40"/>
  <c r="L7" i="40"/>
  <c r="K7" i="40"/>
  <c r="E7" i="40"/>
  <c r="S6" i="40"/>
  <c r="R6" i="40"/>
  <c r="O6" i="40"/>
  <c r="N6" i="40"/>
  <c r="M6" i="40"/>
  <c r="L6" i="40"/>
  <c r="K6" i="40"/>
  <c r="E6" i="40"/>
  <c r="Y124" i="40" l="1"/>
  <c r="X125" i="40"/>
  <c r="Y116" i="40"/>
  <c r="Z116" i="40" s="1"/>
  <c r="Y112" i="40"/>
  <c r="Z112" i="40" s="1"/>
  <c r="Y109" i="40"/>
  <c r="Z109" i="40" s="1"/>
  <c r="Y105" i="40"/>
  <c r="Z105" i="40" s="1"/>
  <c r="Y104" i="40"/>
  <c r="Z104" i="40" s="1"/>
  <c r="Y100" i="40"/>
  <c r="Z100" i="40" s="1"/>
  <c r="Z96" i="40"/>
  <c r="Y96" i="40"/>
  <c r="Y93" i="40"/>
  <c r="Z93" i="40" s="1"/>
  <c r="Z89" i="40"/>
  <c r="Y89" i="40"/>
  <c r="Y88" i="40"/>
  <c r="Z88" i="40" s="1"/>
  <c r="X12" i="40"/>
  <c r="X13" i="40"/>
  <c r="Y13" i="40" s="1"/>
  <c r="Z13" i="40" s="1"/>
  <c r="X20" i="40"/>
  <c r="Y20" i="40" s="1"/>
  <c r="Z20" i="40" s="1"/>
  <c r="X21" i="40"/>
  <c r="Y21" i="40" s="1"/>
  <c r="Z21" i="40" s="1"/>
  <c r="X28" i="40"/>
  <c r="X29" i="40"/>
  <c r="Y29" i="40" s="1"/>
  <c r="Z29" i="40" s="1"/>
  <c r="X35" i="40"/>
  <c r="Y35" i="40" s="1"/>
  <c r="Z35" i="40" s="1"/>
  <c r="X36" i="40"/>
  <c r="Y36" i="40" s="1"/>
  <c r="Z36" i="40" s="1"/>
  <c r="X44" i="40"/>
  <c r="Y44" i="40" s="1"/>
  <c r="Z44" i="40" s="1"/>
  <c r="X45" i="40"/>
  <c r="Y45" i="40" s="1"/>
  <c r="Z45" i="40" s="1"/>
  <c r="X52" i="40"/>
  <c r="Y52" i="40" s="1"/>
  <c r="Z52" i="40" s="1"/>
  <c r="X53" i="40"/>
  <c r="Y53" i="40"/>
  <c r="Z53" i="40" s="1"/>
  <c r="X60" i="40"/>
  <c r="Y60" i="40" s="1"/>
  <c r="Z60" i="40" s="1"/>
  <c r="X61" i="40"/>
  <c r="Y61" i="40" s="1"/>
  <c r="Z61" i="40" s="1"/>
  <c r="X68" i="40"/>
  <c r="X69" i="40"/>
  <c r="Y69" i="40" s="1"/>
  <c r="Z69" i="40" s="1"/>
  <c r="X76" i="40"/>
  <c r="Y76" i="40" s="1"/>
  <c r="Z76" i="40" s="1"/>
  <c r="X77" i="40"/>
  <c r="Y77" i="40" s="1"/>
  <c r="Z77" i="40" s="1"/>
  <c r="X83" i="40"/>
  <c r="Y83" i="40" s="1"/>
  <c r="Z83" i="40" s="1"/>
  <c r="X8" i="40"/>
  <c r="Y8" i="40" s="1"/>
  <c r="Z8" i="40" s="1"/>
  <c r="X7" i="40"/>
  <c r="Y7" i="40" s="1"/>
  <c r="Z7" i="40" s="1"/>
  <c r="Y12" i="40"/>
  <c r="Z12" i="40" s="1"/>
  <c r="X16" i="40"/>
  <c r="Y16" i="40" s="1"/>
  <c r="Z16" i="40" s="1"/>
  <c r="X17" i="40"/>
  <c r="Y17" i="40" s="1"/>
  <c r="Z17" i="40" s="1"/>
  <c r="X24" i="40"/>
  <c r="Y24" i="40" s="1"/>
  <c r="Z24" i="40" s="1"/>
  <c r="X25" i="40"/>
  <c r="Y25" i="40" s="1"/>
  <c r="Z25" i="40" s="1"/>
  <c r="X32" i="40"/>
  <c r="Y32" i="40" s="1"/>
  <c r="Z32" i="40" s="1"/>
  <c r="X33" i="40"/>
  <c r="Y33" i="40" s="1"/>
  <c r="Z33" i="40" s="1"/>
  <c r="X39" i="40"/>
  <c r="Y39" i="40" s="1"/>
  <c r="Z39" i="40" s="1"/>
  <c r="X40" i="40"/>
  <c r="Y40" i="40" s="1"/>
  <c r="Z40" i="40" s="1"/>
  <c r="X48" i="40"/>
  <c r="Y48" i="40" s="1"/>
  <c r="Z48" i="40" s="1"/>
  <c r="X49" i="40"/>
  <c r="Y49" i="40" s="1"/>
  <c r="Z49" i="40" s="1"/>
  <c r="X56" i="40"/>
  <c r="Y56" i="40" s="1"/>
  <c r="Z56" i="40" s="1"/>
  <c r="X57" i="40"/>
  <c r="Y57" i="40" s="1"/>
  <c r="Z57" i="40" s="1"/>
  <c r="X64" i="40"/>
  <c r="Y64" i="40"/>
  <c r="Z64" i="40" s="1"/>
  <c r="X65" i="40"/>
  <c r="Y65" i="40" s="1"/>
  <c r="Z65" i="40" s="1"/>
  <c r="X72" i="40"/>
  <c r="Y72" i="40" s="1"/>
  <c r="Z72" i="40" s="1"/>
  <c r="X73" i="40"/>
  <c r="Y73" i="40" s="1"/>
  <c r="Z73" i="40" s="1"/>
  <c r="X80" i="40"/>
  <c r="Y80" i="40" s="1"/>
  <c r="Z80" i="40" s="1"/>
  <c r="X10" i="40"/>
  <c r="Y10" i="40" s="1"/>
  <c r="Z10" i="40" s="1"/>
  <c r="X11" i="40"/>
  <c r="Y11" i="40" s="1"/>
  <c r="Z11" i="40" s="1"/>
  <c r="X18" i="40"/>
  <c r="Y18" i="40" s="1"/>
  <c r="Z18" i="40" s="1"/>
  <c r="X19" i="40"/>
  <c r="Y19" i="40" s="1"/>
  <c r="Z19" i="40" s="1"/>
  <c r="X26" i="40"/>
  <c r="Y26" i="40" s="1"/>
  <c r="Z26" i="40" s="1"/>
  <c r="X27" i="40"/>
  <c r="Y27" i="40" s="1"/>
  <c r="Z27" i="40" s="1"/>
  <c r="X34" i="40"/>
  <c r="Y34" i="40" s="1"/>
  <c r="Z34" i="40" s="1"/>
  <c r="X41" i="40"/>
  <c r="Y41" i="40" s="1"/>
  <c r="Z41" i="40" s="1"/>
  <c r="X42" i="40"/>
  <c r="Y42" i="40"/>
  <c r="Z42" i="40" s="1"/>
  <c r="X43" i="40"/>
  <c r="Y43" i="40" s="1"/>
  <c r="Z43" i="40" s="1"/>
  <c r="X50" i="40"/>
  <c r="Y50" i="40" s="1"/>
  <c r="Z50" i="40" s="1"/>
  <c r="X51" i="40"/>
  <c r="Y51" i="40" s="1"/>
  <c r="Z51" i="40" s="1"/>
  <c r="X58" i="40"/>
  <c r="Y58" i="40" s="1"/>
  <c r="Z58" i="40" s="1"/>
  <c r="X59" i="40"/>
  <c r="Y59" i="40" s="1"/>
  <c r="Z59" i="40" s="1"/>
  <c r="X66" i="40"/>
  <c r="Y66" i="40" s="1"/>
  <c r="Z66" i="40" s="1"/>
  <c r="X67" i="40"/>
  <c r="Y67" i="40" s="1"/>
  <c r="Z67" i="40" s="1"/>
  <c r="X74" i="40"/>
  <c r="Y74" i="40"/>
  <c r="Z74" i="40" s="1"/>
  <c r="X75" i="40"/>
  <c r="Y75" i="40" s="1"/>
  <c r="Z75" i="40" s="1"/>
  <c r="X81" i="40"/>
  <c r="Y81" i="40" s="1"/>
  <c r="Z81" i="40" s="1"/>
  <c r="X82" i="40"/>
  <c r="Y82" i="40" s="1"/>
  <c r="Z82" i="40" s="1"/>
  <c r="Y28" i="40"/>
  <c r="Z28" i="40" s="1"/>
  <c r="Y68" i="40"/>
  <c r="Z68" i="40" s="1"/>
  <c r="X84" i="40"/>
  <c r="Y84" i="40" s="1"/>
  <c r="Z84" i="40" s="1"/>
  <c r="X14" i="40"/>
  <c r="Y14" i="40" s="1"/>
  <c r="Z14" i="40" s="1"/>
  <c r="X15" i="40"/>
  <c r="Y15" i="40" s="1"/>
  <c r="Z15" i="40" s="1"/>
  <c r="X22" i="40"/>
  <c r="Y22" i="40" s="1"/>
  <c r="Z22" i="40" s="1"/>
  <c r="X23" i="40"/>
  <c r="Y23" i="40" s="1"/>
  <c r="Z23" i="40" s="1"/>
  <c r="X30" i="40"/>
  <c r="Y30" i="40" s="1"/>
  <c r="Z30" i="40" s="1"/>
  <c r="X31" i="40"/>
  <c r="Y31" i="40" s="1"/>
  <c r="Z31" i="40" s="1"/>
  <c r="X37" i="40"/>
  <c r="Y37" i="40" s="1"/>
  <c r="Z37" i="40" s="1"/>
  <c r="X38" i="40"/>
  <c r="Y38" i="40" s="1"/>
  <c r="Z38" i="40" s="1"/>
  <c r="X46" i="40"/>
  <c r="Y46" i="40" s="1"/>
  <c r="Z46" i="40" s="1"/>
  <c r="X47" i="40"/>
  <c r="Y47" i="40" s="1"/>
  <c r="Z47" i="40" s="1"/>
  <c r="X54" i="40"/>
  <c r="Y54" i="40" s="1"/>
  <c r="Z54" i="40" s="1"/>
  <c r="X55" i="40"/>
  <c r="Y55" i="40" s="1"/>
  <c r="Z55" i="40" s="1"/>
  <c r="X62" i="40"/>
  <c r="Y62" i="40"/>
  <c r="Z62" i="40" s="1"/>
  <c r="X63" i="40"/>
  <c r="Y63" i="40" s="1"/>
  <c r="Z63" i="40" s="1"/>
  <c r="X70" i="40"/>
  <c r="Y70" i="40" s="1"/>
  <c r="Z70" i="40" s="1"/>
  <c r="X71" i="40"/>
  <c r="Y71" i="40" s="1"/>
  <c r="Z71" i="40" s="1"/>
  <c r="X78" i="40"/>
  <c r="Y78" i="40" s="1"/>
  <c r="Z78" i="40" s="1"/>
  <c r="X79" i="40"/>
  <c r="Y79" i="40" s="1"/>
  <c r="Z79" i="40" s="1"/>
  <c r="X6" i="40"/>
  <c r="Y6" i="40" s="1"/>
  <c r="Z6" i="40" s="1"/>
  <c r="R129" i="40"/>
  <c r="X9" i="40"/>
  <c r="Y9" i="40" s="1"/>
  <c r="Z9" i="40" s="1"/>
  <c r="Y125" i="40" l="1"/>
  <c r="Z124" i="40"/>
  <c r="Z125" i="40" s="1"/>
</calcChain>
</file>

<file path=xl/sharedStrings.xml><?xml version="1.0" encoding="utf-8"?>
<sst xmlns="http://schemas.openxmlformats.org/spreadsheetml/2006/main" count="57" uniqueCount="26">
  <si>
    <t>الاسم</t>
  </si>
  <si>
    <t>م</t>
  </si>
  <si>
    <t>الكود</t>
  </si>
  <si>
    <t>الأساسي</t>
  </si>
  <si>
    <t>المتغير</t>
  </si>
  <si>
    <t>بدلات</t>
  </si>
  <si>
    <t>بدل غلاء معيشة</t>
  </si>
  <si>
    <t>إجمالي الأجر</t>
  </si>
  <si>
    <t>عدد أيام الحضور</t>
  </si>
  <si>
    <t>ج. بالخصم</t>
  </si>
  <si>
    <t>غياب</t>
  </si>
  <si>
    <t>ساعات إضافية</t>
  </si>
  <si>
    <t>جزاءات</t>
  </si>
  <si>
    <t>ح.ع.ت</t>
  </si>
  <si>
    <t>صافي الأجر</t>
  </si>
  <si>
    <t>الإجمالي</t>
  </si>
  <si>
    <t>قسط متأخر (تأمينات)</t>
  </si>
  <si>
    <t>إجمالي الخصومات</t>
  </si>
  <si>
    <t>تأخيرات</t>
  </si>
  <si>
    <t>صافي الأجر (الإدارة)</t>
  </si>
  <si>
    <t>ح.ش.ت</t>
  </si>
  <si>
    <t>الربط الشهري (التأمينات)</t>
  </si>
  <si>
    <t>المتغيرات</t>
  </si>
  <si>
    <t>قيمة المتغيرات</t>
  </si>
  <si>
    <t>القسم</t>
  </si>
  <si>
    <t>صافي الأجر (لأقرب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</si>
</sst>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3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" fontId="2" fillId="6" borderId="6" xfId="0" applyNumberFormat="1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" fontId="2" fillId="6" borderId="12" xfId="0" applyNumberFormat="1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27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1" fontId="1" fillId="0" borderId="38" xfId="0" applyNumberFormat="1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1" fontId="1" fillId="0" borderId="42" xfId="0" applyNumberFormat="1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1" fillId="0" borderId="39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3" borderId="30" xfId="0" applyNumberFormat="1" applyFont="1" applyFill="1" applyBorder="1" applyAlignment="1">
      <alignment horizontal="center" vertical="center" wrapText="1"/>
    </xf>
    <xf numFmtId="2" fontId="1" fillId="3" borderId="3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2" fontId="1" fillId="5" borderId="3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2" fillId="6" borderId="3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1" fillId="7" borderId="3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AO149"/>
  <sheetViews>
    <sheetView rightToLeft="1" tabSelected="1" zoomScaleNormal="100" workbookViewId="0">
      <pane xSplit="3" ySplit="5" topLeftCell="D80" activePane="bottomRight" state="frozen"/>
      <selection pane="topRight" activeCell="D1" sqref="D1"/>
      <selection pane="bottomLeft" activeCell="A6" sqref="A6"/>
      <selection pane="bottomRight" activeCell="H85" sqref="H85"/>
    </sheetView>
  </sheetViews>
  <sheetFormatPr defaultColWidth="9.140625" defaultRowHeight="15.75"/>
  <cols>
    <col min="1" max="1" width="4.28515625" style="89" customWidth="1"/>
    <col min="2" max="2" width="5.85546875" style="89" bestFit="1" customWidth="1"/>
    <col min="3" max="3" width="27" style="89" customWidth="1"/>
    <col min="4" max="4" width="14.42578125" style="89" bestFit="1" customWidth="1"/>
    <col min="5" max="5" width="8.7109375" style="89" customWidth="1"/>
    <col min="6" max="9" width="7.28515625" style="89" customWidth="1"/>
    <col min="10" max="10" width="8.42578125" style="89" customWidth="1"/>
    <col min="11" max="14" width="7.28515625" style="89" customWidth="1"/>
    <col min="15" max="15" width="8.42578125" style="89" customWidth="1"/>
    <col min="16" max="16" width="9.140625" style="92"/>
    <col min="17" max="17" width="9.140625" style="89"/>
    <col min="18" max="18" width="9.42578125" style="103" customWidth="1"/>
    <col min="19" max="19" width="9.140625" style="103"/>
    <col min="20" max="20" width="9.140625" style="89"/>
    <col min="21" max="23" width="9" style="89" customWidth="1"/>
    <col min="24" max="24" width="9" style="103" customWidth="1"/>
    <col min="25" max="27" width="9" style="89" customWidth="1"/>
    <col min="28" max="28" width="9.140625" style="89" customWidth="1"/>
    <col min="29" max="29" width="9.140625" style="89"/>
    <col min="30" max="30" width="10" style="89" bestFit="1" customWidth="1"/>
    <col min="31" max="31" width="11.42578125" style="39" customWidth="1"/>
    <col min="32" max="32" width="12.7109375" style="89" customWidth="1"/>
    <col min="33" max="33" width="13.140625" style="89" customWidth="1"/>
    <col min="34" max="36" width="9.140625" style="89"/>
    <col min="37" max="37" width="11.28515625" style="89" bestFit="1" customWidth="1"/>
    <col min="38" max="40" width="9.140625" style="89"/>
    <col min="41" max="41" width="9.140625" style="89" customWidth="1"/>
    <col min="42" max="16384" width="9.140625" style="89"/>
  </cols>
  <sheetData>
    <row r="3" spans="1:41" ht="16.5" thickBot="1"/>
    <row r="4" spans="1:41" ht="16.5" customHeight="1" thickBot="1">
      <c r="A4" s="126" t="s">
        <v>1</v>
      </c>
      <c r="B4" s="130" t="s">
        <v>2</v>
      </c>
      <c r="C4" s="126" t="s">
        <v>0</v>
      </c>
      <c r="D4" s="132" t="s">
        <v>24</v>
      </c>
      <c r="E4" s="126" t="s">
        <v>8</v>
      </c>
      <c r="F4" s="133" t="s">
        <v>22</v>
      </c>
      <c r="G4" s="134"/>
      <c r="H4" s="134"/>
      <c r="I4" s="134"/>
      <c r="J4" s="135"/>
      <c r="K4" s="145" t="s">
        <v>23</v>
      </c>
      <c r="L4" s="145"/>
      <c r="M4" s="145"/>
      <c r="N4" s="145"/>
      <c r="O4" s="145"/>
      <c r="P4" s="146" t="s">
        <v>3</v>
      </c>
      <c r="Q4" s="126" t="s">
        <v>4</v>
      </c>
      <c r="R4" s="127" t="s">
        <v>20</v>
      </c>
      <c r="S4" s="129" t="s">
        <v>13</v>
      </c>
      <c r="T4" s="126" t="s">
        <v>16</v>
      </c>
      <c r="U4" s="126" t="s">
        <v>5</v>
      </c>
      <c r="V4" s="126" t="s">
        <v>7</v>
      </c>
      <c r="W4" s="126" t="s">
        <v>6</v>
      </c>
      <c r="X4" s="127" t="s">
        <v>17</v>
      </c>
      <c r="Y4" s="126" t="s">
        <v>14</v>
      </c>
      <c r="Z4" s="126" t="s">
        <v>25</v>
      </c>
      <c r="AE4" s="89"/>
    </row>
    <row r="5" spans="1:41" s="90" customFormat="1" ht="32.25" customHeight="1" thickBot="1">
      <c r="A5" s="126"/>
      <c r="B5" s="131"/>
      <c r="C5" s="126"/>
      <c r="D5" s="132"/>
      <c r="E5" s="126"/>
      <c r="F5" s="42" t="s">
        <v>9</v>
      </c>
      <c r="G5" s="43" t="s">
        <v>10</v>
      </c>
      <c r="H5" s="43" t="s">
        <v>12</v>
      </c>
      <c r="I5" s="43" t="s">
        <v>18</v>
      </c>
      <c r="J5" s="44" t="s">
        <v>11</v>
      </c>
      <c r="K5" s="45" t="s">
        <v>9</v>
      </c>
      <c r="L5" s="43" t="s">
        <v>10</v>
      </c>
      <c r="M5" s="43" t="s">
        <v>12</v>
      </c>
      <c r="N5" s="46" t="s">
        <v>18</v>
      </c>
      <c r="O5" s="44" t="s">
        <v>11</v>
      </c>
      <c r="P5" s="146"/>
      <c r="Q5" s="126"/>
      <c r="R5" s="128"/>
      <c r="S5" s="129"/>
      <c r="T5" s="126"/>
      <c r="U5" s="126"/>
      <c r="V5" s="126"/>
      <c r="W5" s="126"/>
      <c r="X5" s="128"/>
      <c r="Y5" s="126"/>
      <c r="Z5" s="126"/>
      <c r="AC5" s="89"/>
      <c r="AD5" s="89"/>
      <c r="AE5" s="89"/>
      <c r="AO5" s="89"/>
    </row>
    <row r="6" spans="1:41" ht="14.25" customHeight="1">
      <c r="A6" s="13">
        <v>1</v>
      </c>
      <c r="B6" s="35"/>
      <c r="C6" s="1"/>
      <c r="D6" s="7"/>
      <c r="E6" s="3">
        <f t="shared" ref="E6:E53" si="0">30-(F6+G6)</f>
        <v>30</v>
      </c>
      <c r="F6" s="16"/>
      <c r="G6" s="17"/>
      <c r="H6" s="17"/>
      <c r="I6" s="17"/>
      <c r="J6" s="22"/>
      <c r="K6" s="16">
        <f t="shared" ref="K6:K53" si="1">F6*(V6/30)</f>
        <v>0</v>
      </c>
      <c r="L6" s="21">
        <f t="shared" ref="L6:L53" si="2">G6*(V6/30)</f>
        <v>0</v>
      </c>
      <c r="M6" s="17">
        <f t="shared" ref="M6:M54" si="3">H6*(V6/30)</f>
        <v>0</v>
      </c>
      <c r="N6" s="17">
        <f t="shared" ref="N6:N68" si="4">I6*(V6/30/8/60)</f>
        <v>0</v>
      </c>
      <c r="O6" s="40">
        <f t="shared" ref="O6:O63" si="5">J6*(V6/30/8)</f>
        <v>0</v>
      </c>
      <c r="P6" s="120"/>
      <c r="Q6" s="7"/>
      <c r="R6" s="104">
        <f t="shared" ref="R6:R53" si="6">(P6*26/100)+(Q6*24/100)</f>
        <v>0</v>
      </c>
      <c r="S6" s="104">
        <f t="shared" ref="S6:S53" si="7">(P6*14/100)+(Q6*11/100)</f>
        <v>0</v>
      </c>
      <c r="T6" s="7">
        <v>0</v>
      </c>
      <c r="U6" s="6"/>
      <c r="V6" s="11"/>
      <c r="W6" s="12"/>
      <c r="X6" s="104">
        <f t="shared" ref="X6:X63" si="8">(K6+L6+M6+N6+S6+T6)</f>
        <v>0</v>
      </c>
      <c r="Y6" s="29">
        <f t="shared" ref="Y6:Y68" si="9">(V6+O6+U6+W6)-X6</f>
        <v>0</v>
      </c>
      <c r="Z6" s="25">
        <f>MROUND(Y6,5)</f>
        <v>0</v>
      </c>
      <c r="AA6" s="90"/>
      <c r="AB6" s="90"/>
      <c r="AE6" s="89"/>
      <c r="AG6" s="92"/>
    </row>
    <row r="7" spans="1:41" ht="14.25" customHeight="1">
      <c r="A7" s="82">
        <v>2</v>
      </c>
      <c r="B7" s="35"/>
      <c r="C7" s="1"/>
      <c r="D7" s="7"/>
      <c r="E7" s="3">
        <f t="shared" si="0"/>
        <v>30</v>
      </c>
      <c r="F7" s="16"/>
      <c r="G7" s="17"/>
      <c r="H7" s="17"/>
      <c r="I7" s="17"/>
      <c r="J7" s="22"/>
      <c r="K7" s="16">
        <f t="shared" si="1"/>
        <v>0</v>
      </c>
      <c r="L7" s="21">
        <f t="shared" si="2"/>
        <v>0</v>
      </c>
      <c r="M7" s="17">
        <f t="shared" si="3"/>
        <v>0</v>
      </c>
      <c r="N7" s="17">
        <f t="shared" si="4"/>
        <v>0</v>
      </c>
      <c r="O7" s="40">
        <f t="shared" si="5"/>
        <v>0</v>
      </c>
      <c r="P7" s="120"/>
      <c r="Q7" s="7"/>
      <c r="R7" s="104">
        <f t="shared" si="6"/>
        <v>0</v>
      </c>
      <c r="S7" s="104">
        <f t="shared" si="7"/>
        <v>0</v>
      </c>
      <c r="T7" s="7">
        <v>0</v>
      </c>
      <c r="U7" s="6"/>
      <c r="V7" s="14"/>
      <c r="W7" s="12"/>
      <c r="X7" s="104">
        <f t="shared" si="8"/>
        <v>0</v>
      </c>
      <c r="Y7" s="29">
        <f t="shared" si="9"/>
        <v>0</v>
      </c>
      <c r="Z7" s="25">
        <f t="shared" ref="Z7:Z69" si="10">MROUND(Y7,5)</f>
        <v>0</v>
      </c>
      <c r="AA7" s="90"/>
      <c r="AB7" s="90"/>
      <c r="AE7" s="89"/>
      <c r="AG7" s="92"/>
    </row>
    <row r="8" spans="1:41" ht="14.25" customHeight="1">
      <c r="A8" s="13">
        <v>3</v>
      </c>
      <c r="B8" s="35"/>
      <c r="C8" s="1"/>
      <c r="D8" s="7"/>
      <c r="E8" s="3">
        <f t="shared" si="0"/>
        <v>30</v>
      </c>
      <c r="F8" s="16"/>
      <c r="G8" s="17"/>
      <c r="H8" s="17"/>
      <c r="I8" s="17"/>
      <c r="J8" s="22"/>
      <c r="K8" s="16">
        <f t="shared" si="1"/>
        <v>0</v>
      </c>
      <c r="L8" s="21">
        <f t="shared" si="2"/>
        <v>0</v>
      </c>
      <c r="M8" s="17">
        <f t="shared" si="3"/>
        <v>0</v>
      </c>
      <c r="N8" s="17">
        <f t="shared" si="4"/>
        <v>0</v>
      </c>
      <c r="O8" s="40">
        <f t="shared" si="5"/>
        <v>0</v>
      </c>
      <c r="P8" s="120"/>
      <c r="Q8" s="7"/>
      <c r="R8" s="104">
        <f t="shared" si="6"/>
        <v>0</v>
      </c>
      <c r="S8" s="104">
        <f t="shared" si="7"/>
        <v>0</v>
      </c>
      <c r="T8" s="7">
        <v>0</v>
      </c>
      <c r="U8" s="6"/>
      <c r="V8" s="11"/>
      <c r="W8" s="12"/>
      <c r="X8" s="104">
        <f t="shared" si="8"/>
        <v>0</v>
      </c>
      <c r="Y8" s="29">
        <f t="shared" si="9"/>
        <v>0</v>
      </c>
      <c r="Z8" s="25">
        <f t="shared" si="10"/>
        <v>0</v>
      </c>
      <c r="AA8" s="90"/>
      <c r="AB8" s="90"/>
      <c r="AE8" s="89"/>
      <c r="AG8" s="92"/>
    </row>
    <row r="9" spans="1:41" ht="14.25" customHeight="1">
      <c r="A9" s="82">
        <v>4</v>
      </c>
      <c r="B9" s="35"/>
      <c r="C9" s="1"/>
      <c r="D9" s="7"/>
      <c r="E9" s="3">
        <f t="shared" si="0"/>
        <v>30</v>
      </c>
      <c r="F9" s="16"/>
      <c r="G9" s="17"/>
      <c r="H9" s="17"/>
      <c r="I9" s="17"/>
      <c r="J9" s="22"/>
      <c r="K9" s="16">
        <f t="shared" si="1"/>
        <v>0</v>
      </c>
      <c r="L9" s="21">
        <f t="shared" si="2"/>
        <v>0</v>
      </c>
      <c r="M9" s="17">
        <f t="shared" si="3"/>
        <v>0</v>
      </c>
      <c r="N9" s="17">
        <f t="shared" si="4"/>
        <v>0</v>
      </c>
      <c r="O9" s="40">
        <f t="shared" si="5"/>
        <v>0</v>
      </c>
      <c r="P9" s="120"/>
      <c r="Q9" s="7"/>
      <c r="R9" s="104">
        <f t="shared" si="6"/>
        <v>0</v>
      </c>
      <c r="S9" s="104">
        <f t="shared" si="7"/>
        <v>0</v>
      </c>
      <c r="T9" s="7">
        <v>0</v>
      </c>
      <c r="U9" s="6"/>
      <c r="V9" s="11"/>
      <c r="W9" s="12"/>
      <c r="X9" s="104">
        <f t="shared" si="8"/>
        <v>0</v>
      </c>
      <c r="Y9" s="29">
        <f t="shared" si="9"/>
        <v>0</v>
      </c>
      <c r="Z9" s="25">
        <f t="shared" si="10"/>
        <v>0</v>
      </c>
      <c r="AA9" s="90"/>
      <c r="AB9" s="90"/>
      <c r="AE9" s="89"/>
      <c r="AG9" s="92"/>
    </row>
    <row r="10" spans="1:41" ht="14.25" customHeight="1">
      <c r="A10" s="82">
        <v>5</v>
      </c>
      <c r="B10" s="35"/>
      <c r="C10" s="1"/>
      <c r="D10" s="7"/>
      <c r="E10" s="3">
        <f t="shared" si="0"/>
        <v>30</v>
      </c>
      <c r="F10" s="16"/>
      <c r="G10" s="17"/>
      <c r="H10" s="17"/>
      <c r="I10" s="17"/>
      <c r="J10" s="22"/>
      <c r="K10" s="16">
        <f t="shared" si="1"/>
        <v>0</v>
      </c>
      <c r="L10" s="21">
        <f t="shared" si="2"/>
        <v>0</v>
      </c>
      <c r="M10" s="17">
        <f t="shared" si="3"/>
        <v>0</v>
      </c>
      <c r="N10" s="17">
        <f t="shared" si="4"/>
        <v>0</v>
      </c>
      <c r="O10" s="40">
        <f t="shared" si="5"/>
        <v>0</v>
      </c>
      <c r="P10" s="120"/>
      <c r="Q10" s="7"/>
      <c r="R10" s="104">
        <f t="shared" si="6"/>
        <v>0</v>
      </c>
      <c r="S10" s="104">
        <f t="shared" si="7"/>
        <v>0</v>
      </c>
      <c r="T10" s="7">
        <v>0</v>
      </c>
      <c r="U10" s="6"/>
      <c r="V10" s="11"/>
      <c r="W10" s="12"/>
      <c r="X10" s="104">
        <f t="shared" si="8"/>
        <v>0</v>
      </c>
      <c r="Y10" s="29">
        <f t="shared" si="9"/>
        <v>0</v>
      </c>
      <c r="Z10" s="25">
        <f t="shared" si="10"/>
        <v>0</v>
      </c>
      <c r="AA10" s="90"/>
      <c r="AB10" s="90"/>
      <c r="AE10" s="89"/>
      <c r="AG10" s="92"/>
    </row>
    <row r="11" spans="1:41" ht="14.25" customHeight="1">
      <c r="A11" s="82">
        <v>6</v>
      </c>
      <c r="B11" s="35"/>
      <c r="C11" s="1"/>
      <c r="D11" s="7"/>
      <c r="E11" s="3">
        <f t="shared" si="0"/>
        <v>30</v>
      </c>
      <c r="F11" s="16"/>
      <c r="G11" s="17"/>
      <c r="H11" s="17"/>
      <c r="I11" s="17"/>
      <c r="J11" s="22"/>
      <c r="K11" s="16">
        <f t="shared" si="1"/>
        <v>0</v>
      </c>
      <c r="L11" s="21">
        <f t="shared" si="2"/>
        <v>0</v>
      </c>
      <c r="M11" s="17">
        <f t="shared" si="3"/>
        <v>0</v>
      </c>
      <c r="N11" s="17">
        <f t="shared" si="4"/>
        <v>0</v>
      </c>
      <c r="O11" s="40">
        <f t="shared" si="5"/>
        <v>0</v>
      </c>
      <c r="P11" s="120"/>
      <c r="Q11" s="7"/>
      <c r="R11" s="104">
        <f t="shared" si="6"/>
        <v>0</v>
      </c>
      <c r="S11" s="104">
        <f t="shared" si="7"/>
        <v>0</v>
      </c>
      <c r="T11" s="7">
        <v>0</v>
      </c>
      <c r="U11" s="6"/>
      <c r="V11" s="11"/>
      <c r="W11" s="12"/>
      <c r="X11" s="104">
        <f t="shared" si="8"/>
        <v>0</v>
      </c>
      <c r="Y11" s="29">
        <f t="shared" si="9"/>
        <v>0</v>
      </c>
      <c r="Z11" s="25">
        <f t="shared" si="10"/>
        <v>0</v>
      </c>
      <c r="AA11" s="90"/>
      <c r="AB11" s="90"/>
      <c r="AE11" s="89"/>
      <c r="AF11" s="92"/>
      <c r="AG11" s="92"/>
      <c r="AH11" s="92"/>
    </row>
    <row r="12" spans="1:41" ht="14.25" customHeight="1">
      <c r="A12" s="82">
        <v>7</v>
      </c>
      <c r="B12" s="35"/>
      <c r="C12" s="1"/>
      <c r="D12" s="7"/>
      <c r="E12" s="3">
        <f t="shared" si="0"/>
        <v>30</v>
      </c>
      <c r="F12" s="16"/>
      <c r="G12" s="17"/>
      <c r="H12" s="17"/>
      <c r="I12" s="17"/>
      <c r="J12" s="22"/>
      <c r="K12" s="16">
        <f t="shared" si="1"/>
        <v>0</v>
      </c>
      <c r="L12" s="21">
        <f t="shared" si="2"/>
        <v>0</v>
      </c>
      <c r="M12" s="17">
        <f t="shared" si="3"/>
        <v>0</v>
      </c>
      <c r="N12" s="17">
        <f t="shared" si="4"/>
        <v>0</v>
      </c>
      <c r="O12" s="40">
        <f t="shared" si="5"/>
        <v>0</v>
      </c>
      <c r="P12" s="120"/>
      <c r="Q12" s="7"/>
      <c r="R12" s="104">
        <f t="shared" si="6"/>
        <v>0</v>
      </c>
      <c r="S12" s="104">
        <f t="shared" si="7"/>
        <v>0</v>
      </c>
      <c r="T12" s="7">
        <v>0</v>
      </c>
      <c r="U12" s="6"/>
      <c r="V12" s="11"/>
      <c r="W12" s="12"/>
      <c r="X12" s="104">
        <f t="shared" si="8"/>
        <v>0</v>
      </c>
      <c r="Y12" s="29">
        <f t="shared" si="9"/>
        <v>0</v>
      </c>
      <c r="Z12" s="25">
        <f t="shared" si="10"/>
        <v>0</v>
      </c>
      <c r="AA12" s="90"/>
      <c r="AB12" s="90"/>
      <c r="AE12" s="89"/>
      <c r="AF12" s="92"/>
      <c r="AG12" s="92"/>
      <c r="AH12" s="92"/>
    </row>
    <row r="13" spans="1:41" ht="14.25" customHeight="1">
      <c r="A13" s="13">
        <v>8</v>
      </c>
      <c r="B13" s="35"/>
      <c r="C13" s="1"/>
      <c r="D13" s="7"/>
      <c r="E13" s="3">
        <f t="shared" si="0"/>
        <v>30</v>
      </c>
      <c r="F13" s="16"/>
      <c r="G13" s="17"/>
      <c r="H13" s="17"/>
      <c r="I13" s="17"/>
      <c r="J13" s="22"/>
      <c r="K13" s="16">
        <f t="shared" si="1"/>
        <v>0</v>
      </c>
      <c r="L13" s="21">
        <f t="shared" si="2"/>
        <v>0</v>
      </c>
      <c r="M13" s="17">
        <f t="shared" si="3"/>
        <v>0</v>
      </c>
      <c r="N13" s="17">
        <f t="shared" si="4"/>
        <v>0</v>
      </c>
      <c r="O13" s="40">
        <f t="shared" si="5"/>
        <v>0</v>
      </c>
      <c r="P13" s="120"/>
      <c r="Q13" s="7"/>
      <c r="R13" s="104">
        <f t="shared" si="6"/>
        <v>0</v>
      </c>
      <c r="S13" s="104">
        <f t="shared" si="7"/>
        <v>0</v>
      </c>
      <c r="T13" s="7">
        <v>0</v>
      </c>
      <c r="U13" s="6"/>
      <c r="V13" s="11"/>
      <c r="W13" s="12"/>
      <c r="X13" s="104">
        <f t="shared" si="8"/>
        <v>0</v>
      </c>
      <c r="Y13" s="29">
        <f t="shared" si="9"/>
        <v>0</v>
      </c>
      <c r="Z13" s="25">
        <f t="shared" si="10"/>
        <v>0</v>
      </c>
      <c r="AA13" s="90"/>
      <c r="AB13" s="90"/>
      <c r="AE13" s="89"/>
      <c r="AF13" s="92"/>
      <c r="AG13" s="92"/>
      <c r="AH13" s="92"/>
    </row>
    <row r="14" spans="1:41" ht="14.25" customHeight="1">
      <c r="A14" s="82">
        <v>9</v>
      </c>
      <c r="B14" s="35"/>
      <c r="C14" s="1"/>
      <c r="D14" s="7"/>
      <c r="E14" s="3">
        <f t="shared" si="0"/>
        <v>30</v>
      </c>
      <c r="F14" s="16"/>
      <c r="G14" s="17"/>
      <c r="H14" s="17"/>
      <c r="I14" s="17"/>
      <c r="J14" s="22"/>
      <c r="K14" s="16">
        <f t="shared" si="1"/>
        <v>0</v>
      </c>
      <c r="L14" s="21">
        <f t="shared" si="2"/>
        <v>0</v>
      </c>
      <c r="M14" s="17">
        <f t="shared" si="3"/>
        <v>0</v>
      </c>
      <c r="N14" s="17">
        <f t="shared" si="4"/>
        <v>0</v>
      </c>
      <c r="O14" s="40">
        <f t="shared" si="5"/>
        <v>0</v>
      </c>
      <c r="P14" s="120"/>
      <c r="Q14" s="7"/>
      <c r="R14" s="104">
        <f t="shared" si="6"/>
        <v>0</v>
      </c>
      <c r="S14" s="104">
        <f t="shared" si="7"/>
        <v>0</v>
      </c>
      <c r="T14" s="7">
        <v>0</v>
      </c>
      <c r="U14" s="6"/>
      <c r="V14" s="11"/>
      <c r="W14" s="12"/>
      <c r="X14" s="104">
        <f t="shared" si="8"/>
        <v>0</v>
      </c>
      <c r="Y14" s="29">
        <f t="shared" si="9"/>
        <v>0</v>
      </c>
      <c r="Z14" s="25">
        <f t="shared" si="10"/>
        <v>0</v>
      </c>
      <c r="AA14" s="90"/>
      <c r="AB14" s="90"/>
      <c r="AE14" s="89"/>
      <c r="AF14" s="92"/>
      <c r="AG14" s="92"/>
      <c r="AH14" s="92"/>
    </row>
    <row r="15" spans="1:41" ht="14.25" customHeight="1">
      <c r="A15" s="82">
        <v>10</v>
      </c>
      <c r="B15" s="35"/>
      <c r="C15" s="1"/>
      <c r="D15" s="7"/>
      <c r="E15" s="3">
        <f t="shared" si="0"/>
        <v>30</v>
      </c>
      <c r="F15" s="16"/>
      <c r="G15" s="17"/>
      <c r="H15" s="17"/>
      <c r="I15" s="17"/>
      <c r="J15" s="22"/>
      <c r="K15" s="16">
        <f t="shared" si="1"/>
        <v>0</v>
      </c>
      <c r="L15" s="21">
        <f t="shared" si="2"/>
        <v>0</v>
      </c>
      <c r="M15" s="17">
        <f t="shared" si="3"/>
        <v>0</v>
      </c>
      <c r="N15" s="17">
        <f t="shared" si="4"/>
        <v>0</v>
      </c>
      <c r="O15" s="40">
        <f t="shared" si="5"/>
        <v>0</v>
      </c>
      <c r="P15" s="120"/>
      <c r="Q15" s="7"/>
      <c r="R15" s="104">
        <f t="shared" si="6"/>
        <v>0</v>
      </c>
      <c r="S15" s="104">
        <f t="shared" si="7"/>
        <v>0</v>
      </c>
      <c r="T15" s="7">
        <v>0</v>
      </c>
      <c r="U15" s="6"/>
      <c r="V15" s="11"/>
      <c r="W15" s="12"/>
      <c r="X15" s="104">
        <f t="shared" si="8"/>
        <v>0</v>
      </c>
      <c r="Y15" s="29">
        <f t="shared" si="9"/>
        <v>0</v>
      </c>
      <c r="Z15" s="25">
        <f t="shared" si="10"/>
        <v>0</v>
      </c>
      <c r="AA15" s="90"/>
      <c r="AB15" s="90"/>
      <c r="AE15" s="89"/>
      <c r="AF15" s="92"/>
      <c r="AG15" s="92"/>
      <c r="AH15" s="92"/>
    </row>
    <row r="16" spans="1:41" ht="14.25" customHeight="1">
      <c r="A16" s="82">
        <v>11</v>
      </c>
      <c r="B16" s="35"/>
      <c r="C16" s="1"/>
      <c r="D16" s="7"/>
      <c r="E16" s="3">
        <f t="shared" si="0"/>
        <v>30</v>
      </c>
      <c r="F16" s="16"/>
      <c r="G16" s="17"/>
      <c r="H16" s="17"/>
      <c r="I16" s="17"/>
      <c r="J16" s="22"/>
      <c r="K16" s="16">
        <f t="shared" si="1"/>
        <v>0</v>
      </c>
      <c r="L16" s="21">
        <f t="shared" si="2"/>
        <v>0</v>
      </c>
      <c r="M16" s="17">
        <f t="shared" si="3"/>
        <v>0</v>
      </c>
      <c r="N16" s="17">
        <f t="shared" si="4"/>
        <v>0</v>
      </c>
      <c r="O16" s="40">
        <f t="shared" si="5"/>
        <v>0</v>
      </c>
      <c r="P16" s="120"/>
      <c r="Q16" s="7"/>
      <c r="R16" s="104">
        <f t="shared" si="6"/>
        <v>0</v>
      </c>
      <c r="S16" s="104">
        <f t="shared" si="7"/>
        <v>0</v>
      </c>
      <c r="T16" s="7">
        <v>0</v>
      </c>
      <c r="U16" s="6"/>
      <c r="V16" s="11"/>
      <c r="W16" s="12"/>
      <c r="X16" s="104">
        <f t="shared" si="8"/>
        <v>0</v>
      </c>
      <c r="Y16" s="29">
        <f t="shared" si="9"/>
        <v>0</v>
      </c>
      <c r="Z16" s="25">
        <f t="shared" si="10"/>
        <v>0</v>
      </c>
      <c r="AA16" s="90"/>
      <c r="AB16" s="90"/>
      <c r="AE16" s="89"/>
      <c r="AH16" s="92"/>
    </row>
    <row r="17" spans="1:34" ht="14.25" customHeight="1">
      <c r="A17" s="82">
        <v>12</v>
      </c>
      <c r="B17" s="35"/>
      <c r="C17" s="1"/>
      <c r="D17" s="7"/>
      <c r="E17" s="3">
        <f t="shared" si="0"/>
        <v>30</v>
      </c>
      <c r="F17" s="16"/>
      <c r="G17" s="17"/>
      <c r="H17" s="17"/>
      <c r="I17" s="17"/>
      <c r="J17" s="22"/>
      <c r="K17" s="16">
        <f t="shared" si="1"/>
        <v>0</v>
      </c>
      <c r="L17" s="21">
        <f t="shared" si="2"/>
        <v>0</v>
      </c>
      <c r="M17" s="17">
        <f t="shared" si="3"/>
        <v>0</v>
      </c>
      <c r="N17" s="17">
        <f t="shared" si="4"/>
        <v>0</v>
      </c>
      <c r="O17" s="40">
        <f t="shared" si="5"/>
        <v>0</v>
      </c>
      <c r="P17" s="120"/>
      <c r="Q17" s="7"/>
      <c r="R17" s="104">
        <f t="shared" si="6"/>
        <v>0</v>
      </c>
      <c r="S17" s="104">
        <f t="shared" si="7"/>
        <v>0</v>
      </c>
      <c r="T17" s="7">
        <v>0</v>
      </c>
      <c r="U17" s="6"/>
      <c r="V17" s="11"/>
      <c r="W17" s="12"/>
      <c r="X17" s="104">
        <f t="shared" si="8"/>
        <v>0</v>
      </c>
      <c r="Y17" s="29">
        <f t="shared" si="9"/>
        <v>0</v>
      </c>
      <c r="Z17" s="25">
        <f t="shared" si="10"/>
        <v>0</v>
      </c>
      <c r="AA17" s="90"/>
      <c r="AB17" s="90"/>
      <c r="AE17" s="89"/>
      <c r="AG17" s="92"/>
      <c r="AH17" s="92"/>
    </row>
    <row r="18" spans="1:34" ht="14.25" customHeight="1">
      <c r="A18" s="13">
        <v>13</v>
      </c>
      <c r="B18" s="35"/>
      <c r="C18" s="1"/>
      <c r="D18" s="7"/>
      <c r="E18" s="3">
        <f t="shared" si="0"/>
        <v>30</v>
      </c>
      <c r="F18" s="16"/>
      <c r="G18" s="17"/>
      <c r="H18" s="17"/>
      <c r="I18" s="17"/>
      <c r="J18" s="22"/>
      <c r="K18" s="16">
        <f t="shared" si="1"/>
        <v>0</v>
      </c>
      <c r="L18" s="21">
        <f t="shared" si="2"/>
        <v>0</v>
      </c>
      <c r="M18" s="17">
        <f t="shared" si="3"/>
        <v>0</v>
      </c>
      <c r="N18" s="17">
        <f t="shared" si="4"/>
        <v>0</v>
      </c>
      <c r="O18" s="40">
        <f t="shared" si="5"/>
        <v>0</v>
      </c>
      <c r="P18" s="120"/>
      <c r="Q18" s="7"/>
      <c r="R18" s="104">
        <f t="shared" si="6"/>
        <v>0</v>
      </c>
      <c r="S18" s="104">
        <f t="shared" si="7"/>
        <v>0</v>
      </c>
      <c r="T18" s="7">
        <v>0</v>
      </c>
      <c r="U18" s="6"/>
      <c r="V18" s="11"/>
      <c r="W18" s="12"/>
      <c r="X18" s="104">
        <f t="shared" si="8"/>
        <v>0</v>
      </c>
      <c r="Y18" s="29">
        <f t="shared" si="9"/>
        <v>0</v>
      </c>
      <c r="Z18" s="25">
        <f t="shared" si="10"/>
        <v>0</v>
      </c>
      <c r="AA18" s="90"/>
      <c r="AB18" s="90"/>
      <c r="AE18" s="89"/>
      <c r="AG18" s="92"/>
      <c r="AH18" s="92"/>
    </row>
    <row r="19" spans="1:34" ht="14.25" customHeight="1">
      <c r="A19" s="82">
        <v>14</v>
      </c>
      <c r="B19" s="35"/>
      <c r="C19" s="1"/>
      <c r="D19" s="7"/>
      <c r="E19" s="3">
        <f t="shared" si="0"/>
        <v>30</v>
      </c>
      <c r="F19" s="16"/>
      <c r="G19" s="17"/>
      <c r="H19" s="17"/>
      <c r="I19" s="17"/>
      <c r="J19" s="22"/>
      <c r="K19" s="16">
        <f t="shared" si="1"/>
        <v>0</v>
      </c>
      <c r="L19" s="21">
        <f t="shared" si="2"/>
        <v>0</v>
      </c>
      <c r="M19" s="17">
        <f t="shared" si="3"/>
        <v>0</v>
      </c>
      <c r="N19" s="17">
        <f t="shared" si="4"/>
        <v>0</v>
      </c>
      <c r="O19" s="40">
        <f t="shared" si="5"/>
        <v>0</v>
      </c>
      <c r="P19" s="120"/>
      <c r="Q19" s="7"/>
      <c r="R19" s="104">
        <f t="shared" si="6"/>
        <v>0</v>
      </c>
      <c r="S19" s="104">
        <f t="shared" si="7"/>
        <v>0</v>
      </c>
      <c r="T19" s="7">
        <v>0</v>
      </c>
      <c r="U19" s="6"/>
      <c r="V19" s="11"/>
      <c r="W19" s="12"/>
      <c r="X19" s="104">
        <f t="shared" si="8"/>
        <v>0</v>
      </c>
      <c r="Y19" s="29">
        <f t="shared" si="9"/>
        <v>0</v>
      </c>
      <c r="Z19" s="25">
        <f t="shared" si="10"/>
        <v>0</v>
      </c>
      <c r="AA19" s="90"/>
      <c r="AB19" s="90"/>
      <c r="AE19" s="89"/>
      <c r="AG19" s="92"/>
      <c r="AH19" s="92"/>
    </row>
    <row r="20" spans="1:34" ht="14.25" customHeight="1">
      <c r="A20" s="82">
        <v>15</v>
      </c>
      <c r="B20" s="35"/>
      <c r="C20" s="1"/>
      <c r="D20" s="7"/>
      <c r="E20" s="3">
        <f t="shared" si="0"/>
        <v>30</v>
      </c>
      <c r="F20" s="16"/>
      <c r="G20" s="17"/>
      <c r="H20" s="17"/>
      <c r="I20" s="17"/>
      <c r="J20" s="22"/>
      <c r="K20" s="16">
        <f t="shared" si="1"/>
        <v>0</v>
      </c>
      <c r="L20" s="21">
        <f t="shared" si="2"/>
        <v>0</v>
      </c>
      <c r="M20" s="17">
        <f t="shared" si="3"/>
        <v>0</v>
      </c>
      <c r="N20" s="17">
        <f t="shared" si="4"/>
        <v>0</v>
      </c>
      <c r="O20" s="40">
        <f t="shared" si="5"/>
        <v>0</v>
      </c>
      <c r="P20" s="120"/>
      <c r="Q20" s="7"/>
      <c r="R20" s="104">
        <f t="shared" si="6"/>
        <v>0</v>
      </c>
      <c r="S20" s="104">
        <f t="shared" si="7"/>
        <v>0</v>
      </c>
      <c r="T20" s="7">
        <v>0</v>
      </c>
      <c r="U20" s="6"/>
      <c r="V20" s="11"/>
      <c r="W20" s="12"/>
      <c r="X20" s="104">
        <f t="shared" si="8"/>
        <v>0</v>
      </c>
      <c r="Y20" s="29">
        <f t="shared" si="9"/>
        <v>0</v>
      </c>
      <c r="Z20" s="25">
        <f t="shared" si="10"/>
        <v>0</v>
      </c>
      <c r="AA20" s="90"/>
      <c r="AB20" s="90"/>
      <c r="AE20" s="89"/>
      <c r="AG20" s="92"/>
    </row>
    <row r="21" spans="1:34" ht="14.25" customHeight="1">
      <c r="A21" s="82">
        <v>16</v>
      </c>
      <c r="B21" s="35"/>
      <c r="C21" s="1"/>
      <c r="D21" s="7"/>
      <c r="E21" s="3">
        <f t="shared" si="0"/>
        <v>30</v>
      </c>
      <c r="F21" s="16"/>
      <c r="G21" s="17"/>
      <c r="H21" s="17"/>
      <c r="I21" s="17"/>
      <c r="J21" s="22"/>
      <c r="K21" s="16">
        <f t="shared" si="1"/>
        <v>0</v>
      </c>
      <c r="L21" s="21">
        <f t="shared" si="2"/>
        <v>0</v>
      </c>
      <c r="M21" s="17">
        <f t="shared" si="3"/>
        <v>0</v>
      </c>
      <c r="N21" s="17">
        <f t="shared" si="4"/>
        <v>0</v>
      </c>
      <c r="O21" s="40">
        <f t="shared" si="5"/>
        <v>0</v>
      </c>
      <c r="P21" s="120"/>
      <c r="Q21" s="7"/>
      <c r="R21" s="104">
        <f t="shared" si="6"/>
        <v>0</v>
      </c>
      <c r="S21" s="104">
        <f t="shared" si="7"/>
        <v>0</v>
      </c>
      <c r="T21" s="7">
        <v>0</v>
      </c>
      <c r="U21" s="6"/>
      <c r="V21" s="11"/>
      <c r="W21" s="12"/>
      <c r="X21" s="104">
        <f t="shared" si="8"/>
        <v>0</v>
      </c>
      <c r="Y21" s="29">
        <f t="shared" si="9"/>
        <v>0</v>
      </c>
      <c r="Z21" s="25">
        <f t="shared" si="10"/>
        <v>0</v>
      </c>
      <c r="AA21" s="90"/>
      <c r="AB21" s="90"/>
      <c r="AE21" s="89"/>
      <c r="AG21" s="92"/>
    </row>
    <row r="22" spans="1:34" ht="14.25" customHeight="1">
      <c r="A22" s="82">
        <v>17</v>
      </c>
      <c r="B22" s="35"/>
      <c r="C22" s="1"/>
      <c r="D22" s="7"/>
      <c r="E22" s="3">
        <f t="shared" si="0"/>
        <v>30</v>
      </c>
      <c r="F22" s="16"/>
      <c r="G22" s="17"/>
      <c r="H22" s="17"/>
      <c r="I22" s="17"/>
      <c r="J22" s="22"/>
      <c r="K22" s="16">
        <f t="shared" si="1"/>
        <v>0</v>
      </c>
      <c r="L22" s="21">
        <f t="shared" si="2"/>
        <v>0</v>
      </c>
      <c r="M22" s="17">
        <f t="shared" si="3"/>
        <v>0</v>
      </c>
      <c r="N22" s="17">
        <f t="shared" si="4"/>
        <v>0</v>
      </c>
      <c r="O22" s="40">
        <f t="shared" si="5"/>
        <v>0</v>
      </c>
      <c r="P22" s="120"/>
      <c r="Q22" s="7"/>
      <c r="R22" s="104">
        <f t="shared" si="6"/>
        <v>0</v>
      </c>
      <c r="S22" s="104">
        <f t="shared" si="7"/>
        <v>0</v>
      </c>
      <c r="T22" s="7">
        <v>0</v>
      </c>
      <c r="U22" s="6"/>
      <c r="V22" s="11"/>
      <c r="W22" s="12"/>
      <c r="X22" s="104">
        <f t="shared" si="8"/>
        <v>0</v>
      </c>
      <c r="Y22" s="29">
        <f t="shared" si="9"/>
        <v>0</v>
      </c>
      <c r="Z22" s="25">
        <f t="shared" si="10"/>
        <v>0</v>
      </c>
      <c r="AA22" s="90"/>
      <c r="AB22" s="90"/>
      <c r="AE22" s="89"/>
      <c r="AG22" s="92"/>
    </row>
    <row r="23" spans="1:34" ht="14.25" customHeight="1">
      <c r="A23" s="13">
        <v>18</v>
      </c>
      <c r="B23" s="35"/>
      <c r="C23" s="1"/>
      <c r="D23" s="7"/>
      <c r="E23" s="3">
        <f t="shared" si="0"/>
        <v>30</v>
      </c>
      <c r="F23" s="16"/>
      <c r="G23" s="17"/>
      <c r="H23" s="17"/>
      <c r="I23" s="17"/>
      <c r="J23" s="22"/>
      <c r="K23" s="16">
        <f t="shared" si="1"/>
        <v>0</v>
      </c>
      <c r="L23" s="21">
        <f t="shared" si="2"/>
        <v>0</v>
      </c>
      <c r="M23" s="17">
        <f t="shared" si="3"/>
        <v>0</v>
      </c>
      <c r="N23" s="17">
        <f t="shared" si="4"/>
        <v>0</v>
      </c>
      <c r="O23" s="40">
        <f t="shared" si="5"/>
        <v>0</v>
      </c>
      <c r="P23" s="120"/>
      <c r="Q23" s="7"/>
      <c r="R23" s="104">
        <f t="shared" si="6"/>
        <v>0</v>
      </c>
      <c r="S23" s="104">
        <f t="shared" si="7"/>
        <v>0</v>
      </c>
      <c r="T23" s="7">
        <v>0</v>
      </c>
      <c r="U23" s="6"/>
      <c r="V23" s="11"/>
      <c r="W23" s="12"/>
      <c r="X23" s="104">
        <f t="shared" si="8"/>
        <v>0</v>
      </c>
      <c r="Y23" s="29">
        <f t="shared" si="9"/>
        <v>0</v>
      </c>
      <c r="Z23" s="25">
        <f t="shared" si="10"/>
        <v>0</v>
      </c>
      <c r="AA23" s="90"/>
      <c r="AB23" s="90"/>
      <c r="AE23" s="89"/>
      <c r="AG23" s="92"/>
    </row>
    <row r="24" spans="1:34" ht="14.25" customHeight="1">
      <c r="A24" s="82">
        <v>19</v>
      </c>
      <c r="B24" s="35"/>
      <c r="C24" s="1"/>
      <c r="D24" s="7"/>
      <c r="E24" s="3">
        <f t="shared" si="0"/>
        <v>30</v>
      </c>
      <c r="F24" s="16"/>
      <c r="G24" s="17"/>
      <c r="H24" s="17"/>
      <c r="I24" s="17"/>
      <c r="J24" s="22"/>
      <c r="K24" s="16">
        <f t="shared" si="1"/>
        <v>0</v>
      </c>
      <c r="L24" s="21">
        <f t="shared" si="2"/>
        <v>0</v>
      </c>
      <c r="M24" s="17">
        <f t="shared" si="3"/>
        <v>0</v>
      </c>
      <c r="N24" s="17">
        <f t="shared" si="4"/>
        <v>0</v>
      </c>
      <c r="O24" s="40">
        <f t="shared" si="5"/>
        <v>0</v>
      </c>
      <c r="P24" s="120"/>
      <c r="Q24" s="7"/>
      <c r="R24" s="104">
        <f t="shared" si="6"/>
        <v>0</v>
      </c>
      <c r="S24" s="104">
        <f t="shared" si="7"/>
        <v>0</v>
      </c>
      <c r="T24" s="7">
        <v>0</v>
      </c>
      <c r="U24" s="6"/>
      <c r="V24" s="11"/>
      <c r="W24" s="12"/>
      <c r="X24" s="104">
        <f t="shared" si="8"/>
        <v>0</v>
      </c>
      <c r="Y24" s="29">
        <f t="shared" si="9"/>
        <v>0</v>
      </c>
      <c r="Z24" s="25">
        <f t="shared" si="10"/>
        <v>0</v>
      </c>
      <c r="AA24" s="90"/>
      <c r="AB24" s="90"/>
      <c r="AE24" s="89"/>
      <c r="AG24" s="92"/>
    </row>
    <row r="25" spans="1:34" ht="14.25" customHeight="1">
      <c r="A25" s="82">
        <v>20</v>
      </c>
      <c r="B25" s="35"/>
      <c r="C25" s="1"/>
      <c r="D25" s="7"/>
      <c r="E25" s="3">
        <f t="shared" si="0"/>
        <v>30</v>
      </c>
      <c r="F25" s="16"/>
      <c r="G25" s="17"/>
      <c r="H25" s="17"/>
      <c r="I25" s="17"/>
      <c r="J25" s="22"/>
      <c r="K25" s="16">
        <f t="shared" si="1"/>
        <v>0</v>
      </c>
      <c r="L25" s="21">
        <f t="shared" si="2"/>
        <v>0</v>
      </c>
      <c r="M25" s="17">
        <f t="shared" si="3"/>
        <v>0</v>
      </c>
      <c r="N25" s="17">
        <f t="shared" si="4"/>
        <v>0</v>
      </c>
      <c r="O25" s="40">
        <f t="shared" si="5"/>
        <v>0</v>
      </c>
      <c r="P25" s="120"/>
      <c r="Q25" s="7"/>
      <c r="R25" s="104">
        <f t="shared" si="6"/>
        <v>0</v>
      </c>
      <c r="S25" s="104">
        <f t="shared" si="7"/>
        <v>0</v>
      </c>
      <c r="T25" s="7">
        <v>0</v>
      </c>
      <c r="U25" s="6"/>
      <c r="V25" s="11"/>
      <c r="W25" s="12"/>
      <c r="X25" s="104">
        <f t="shared" si="8"/>
        <v>0</v>
      </c>
      <c r="Y25" s="29">
        <f t="shared" si="9"/>
        <v>0</v>
      </c>
      <c r="Z25" s="25">
        <f t="shared" si="10"/>
        <v>0</v>
      </c>
      <c r="AA25" s="90"/>
      <c r="AB25" s="90"/>
      <c r="AE25" s="89"/>
      <c r="AG25" s="92"/>
    </row>
    <row r="26" spans="1:34" ht="14.25" customHeight="1">
      <c r="A26" s="82">
        <v>21</v>
      </c>
      <c r="B26" s="35"/>
      <c r="C26" s="1"/>
      <c r="D26" s="54"/>
      <c r="E26" s="3">
        <f t="shared" si="0"/>
        <v>30</v>
      </c>
      <c r="F26" s="16"/>
      <c r="G26" s="17"/>
      <c r="H26" s="17"/>
      <c r="I26" s="17"/>
      <c r="J26" s="22"/>
      <c r="K26" s="16">
        <f t="shared" si="1"/>
        <v>0</v>
      </c>
      <c r="L26" s="21">
        <f t="shared" si="2"/>
        <v>0</v>
      </c>
      <c r="M26" s="17">
        <f t="shared" si="3"/>
        <v>0</v>
      </c>
      <c r="N26" s="17">
        <f t="shared" si="4"/>
        <v>0</v>
      </c>
      <c r="O26" s="40">
        <f t="shared" si="5"/>
        <v>0</v>
      </c>
      <c r="P26" s="120"/>
      <c r="Q26" s="7"/>
      <c r="R26" s="104">
        <f t="shared" si="6"/>
        <v>0</v>
      </c>
      <c r="S26" s="104">
        <f t="shared" si="7"/>
        <v>0</v>
      </c>
      <c r="T26" s="7">
        <v>0</v>
      </c>
      <c r="U26" s="6"/>
      <c r="V26" s="11"/>
      <c r="W26" s="12"/>
      <c r="X26" s="104">
        <f t="shared" si="8"/>
        <v>0</v>
      </c>
      <c r="Y26" s="29">
        <f t="shared" si="9"/>
        <v>0</v>
      </c>
      <c r="Z26" s="25">
        <f t="shared" si="10"/>
        <v>0</v>
      </c>
      <c r="AA26" s="90"/>
      <c r="AB26" s="90"/>
      <c r="AE26" s="89"/>
      <c r="AG26" s="92"/>
    </row>
    <row r="27" spans="1:34" ht="14.25" customHeight="1">
      <c r="A27" s="82">
        <v>22</v>
      </c>
      <c r="B27" s="35"/>
      <c r="C27" s="1"/>
      <c r="D27" s="54"/>
      <c r="E27" s="3">
        <f t="shared" si="0"/>
        <v>30</v>
      </c>
      <c r="F27" s="16"/>
      <c r="G27" s="17"/>
      <c r="H27" s="17"/>
      <c r="I27" s="17"/>
      <c r="J27" s="22"/>
      <c r="K27" s="16">
        <f t="shared" si="1"/>
        <v>0</v>
      </c>
      <c r="L27" s="21">
        <f t="shared" si="2"/>
        <v>0</v>
      </c>
      <c r="M27" s="17">
        <f t="shared" si="3"/>
        <v>0</v>
      </c>
      <c r="N27" s="17">
        <f t="shared" si="4"/>
        <v>0</v>
      </c>
      <c r="O27" s="40">
        <f t="shared" si="5"/>
        <v>0</v>
      </c>
      <c r="P27" s="120"/>
      <c r="Q27" s="7"/>
      <c r="R27" s="104">
        <f t="shared" si="6"/>
        <v>0</v>
      </c>
      <c r="S27" s="104">
        <f t="shared" si="7"/>
        <v>0</v>
      </c>
      <c r="T27" s="7">
        <v>0</v>
      </c>
      <c r="U27" s="6"/>
      <c r="V27" s="11"/>
      <c r="W27" s="12"/>
      <c r="X27" s="104">
        <f t="shared" si="8"/>
        <v>0</v>
      </c>
      <c r="Y27" s="29">
        <f t="shared" si="9"/>
        <v>0</v>
      </c>
      <c r="Z27" s="25">
        <f t="shared" si="10"/>
        <v>0</v>
      </c>
      <c r="AA27" s="90"/>
      <c r="AB27" s="90"/>
      <c r="AE27" s="89"/>
      <c r="AG27" s="92"/>
    </row>
    <row r="28" spans="1:34" ht="14.25" customHeight="1">
      <c r="A28" s="13">
        <v>23</v>
      </c>
      <c r="B28" s="35"/>
      <c r="C28" s="1"/>
      <c r="D28" s="7"/>
      <c r="E28" s="3">
        <f t="shared" si="0"/>
        <v>30</v>
      </c>
      <c r="F28" s="16"/>
      <c r="G28" s="17"/>
      <c r="H28" s="17"/>
      <c r="I28" s="17"/>
      <c r="J28" s="22"/>
      <c r="K28" s="16">
        <f t="shared" si="1"/>
        <v>0</v>
      </c>
      <c r="L28" s="21">
        <f t="shared" si="2"/>
        <v>0</v>
      </c>
      <c r="M28" s="17">
        <f t="shared" si="3"/>
        <v>0</v>
      </c>
      <c r="N28" s="17">
        <f t="shared" si="4"/>
        <v>0</v>
      </c>
      <c r="O28" s="40">
        <f t="shared" si="5"/>
        <v>0</v>
      </c>
      <c r="P28" s="120"/>
      <c r="Q28" s="7"/>
      <c r="R28" s="104">
        <f t="shared" si="6"/>
        <v>0</v>
      </c>
      <c r="S28" s="104">
        <f t="shared" si="7"/>
        <v>0</v>
      </c>
      <c r="T28" s="7">
        <v>0</v>
      </c>
      <c r="U28" s="6"/>
      <c r="V28" s="11"/>
      <c r="W28" s="12"/>
      <c r="X28" s="104">
        <f t="shared" si="8"/>
        <v>0</v>
      </c>
      <c r="Y28" s="29">
        <f t="shared" si="9"/>
        <v>0</v>
      </c>
      <c r="Z28" s="25">
        <f t="shared" si="10"/>
        <v>0</v>
      </c>
      <c r="AA28" s="90"/>
      <c r="AB28" s="90"/>
      <c r="AE28" s="89"/>
      <c r="AG28" s="92"/>
    </row>
    <row r="29" spans="1:34" ht="14.25" customHeight="1">
      <c r="A29" s="82">
        <v>24</v>
      </c>
      <c r="B29" s="35"/>
      <c r="C29" s="1"/>
      <c r="D29" s="7"/>
      <c r="E29" s="3">
        <f t="shared" si="0"/>
        <v>30</v>
      </c>
      <c r="F29" s="16"/>
      <c r="G29" s="17"/>
      <c r="H29" s="17"/>
      <c r="I29" s="17"/>
      <c r="J29" s="22"/>
      <c r="K29" s="16">
        <f t="shared" si="1"/>
        <v>0</v>
      </c>
      <c r="L29" s="21">
        <f t="shared" si="2"/>
        <v>0</v>
      </c>
      <c r="M29" s="17">
        <f t="shared" si="3"/>
        <v>0</v>
      </c>
      <c r="N29" s="17">
        <f t="shared" si="4"/>
        <v>0</v>
      </c>
      <c r="O29" s="40">
        <f t="shared" si="5"/>
        <v>0</v>
      </c>
      <c r="P29" s="120"/>
      <c r="Q29" s="3"/>
      <c r="R29" s="104">
        <f t="shared" si="6"/>
        <v>0</v>
      </c>
      <c r="S29" s="105">
        <f t="shared" si="7"/>
        <v>0</v>
      </c>
      <c r="T29" s="3">
        <v>0</v>
      </c>
      <c r="U29" s="23"/>
      <c r="V29" s="11"/>
      <c r="W29" s="18"/>
      <c r="X29" s="104">
        <f t="shared" si="8"/>
        <v>0</v>
      </c>
      <c r="Y29" s="29">
        <f t="shared" si="9"/>
        <v>0</v>
      </c>
      <c r="Z29" s="25">
        <f t="shared" si="10"/>
        <v>0</v>
      </c>
      <c r="AA29" s="90"/>
      <c r="AB29" s="90"/>
      <c r="AE29" s="89"/>
      <c r="AG29" s="92"/>
    </row>
    <row r="30" spans="1:34" ht="14.25" customHeight="1">
      <c r="A30" s="82">
        <v>25</v>
      </c>
      <c r="B30" s="35"/>
      <c r="C30" s="1"/>
      <c r="D30" s="7"/>
      <c r="E30" s="3">
        <f t="shared" si="0"/>
        <v>30</v>
      </c>
      <c r="F30" s="16"/>
      <c r="G30" s="17"/>
      <c r="H30" s="17"/>
      <c r="I30" s="17"/>
      <c r="J30" s="22"/>
      <c r="K30" s="16">
        <f t="shared" si="1"/>
        <v>0</v>
      </c>
      <c r="L30" s="21">
        <f t="shared" si="2"/>
        <v>0</v>
      </c>
      <c r="M30" s="17">
        <f t="shared" si="3"/>
        <v>0</v>
      </c>
      <c r="N30" s="17">
        <f t="shared" si="4"/>
        <v>0</v>
      </c>
      <c r="O30" s="40">
        <f t="shared" si="5"/>
        <v>0</v>
      </c>
      <c r="P30" s="120"/>
      <c r="Q30" s="3"/>
      <c r="R30" s="104">
        <f t="shared" si="6"/>
        <v>0</v>
      </c>
      <c r="S30" s="105">
        <f t="shared" si="7"/>
        <v>0</v>
      </c>
      <c r="T30" s="3">
        <v>0</v>
      </c>
      <c r="U30" s="23"/>
      <c r="V30" s="11"/>
      <c r="W30" s="18"/>
      <c r="X30" s="104">
        <f t="shared" si="8"/>
        <v>0</v>
      </c>
      <c r="Y30" s="29">
        <f t="shared" si="9"/>
        <v>0</v>
      </c>
      <c r="Z30" s="25">
        <f t="shared" si="10"/>
        <v>0</v>
      </c>
      <c r="AA30" s="90"/>
      <c r="AB30" s="90"/>
      <c r="AE30" s="89"/>
      <c r="AG30" s="92"/>
    </row>
    <row r="31" spans="1:34" ht="14.25" customHeight="1">
      <c r="A31" s="82">
        <v>26</v>
      </c>
      <c r="B31" s="35"/>
      <c r="C31" s="1"/>
      <c r="D31" s="7"/>
      <c r="E31" s="3">
        <f t="shared" si="0"/>
        <v>30</v>
      </c>
      <c r="F31" s="16"/>
      <c r="G31" s="17"/>
      <c r="H31" s="17"/>
      <c r="I31" s="17"/>
      <c r="J31" s="22"/>
      <c r="K31" s="16">
        <f t="shared" si="1"/>
        <v>0</v>
      </c>
      <c r="L31" s="21">
        <f t="shared" si="2"/>
        <v>0</v>
      </c>
      <c r="M31" s="17">
        <f t="shared" si="3"/>
        <v>0</v>
      </c>
      <c r="N31" s="17">
        <f t="shared" si="4"/>
        <v>0</v>
      </c>
      <c r="O31" s="40">
        <f t="shared" si="5"/>
        <v>0</v>
      </c>
      <c r="P31" s="120"/>
      <c r="Q31" s="3"/>
      <c r="R31" s="104">
        <f t="shared" si="6"/>
        <v>0</v>
      </c>
      <c r="S31" s="105">
        <f t="shared" si="7"/>
        <v>0</v>
      </c>
      <c r="T31" s="3">
        <v>0</v>
      </c>
      <c r="U31" s="23"/>
      <c r="V31" s="11"/>
      <c r="W31" s="18"/>
      <c r="X31" s="104">
        <f t="shared" si="8"/>
        <v>0</v>
      </c>
      <c r="Y31" s="29">
        <f t="shared" si="9"/>
        <v>0</v>
      </c>
      <c r="Z31" s="25">
        <f t="shared" si="10"/>
        <v>0</v>
      </c>
      <c r="AA31" s="90"/>
      <c r="AB31" s="90"/>
      <c r="AE31" s="89"/>
      <c r="AG31" s="92"/>
    </row>
    <row r="32" spans="1:34" ht="14.25" customHeight="1">
      <c r="A32" s="13">
        <v>27</v>
      </c>
      <c r="B32" s="35"/>
      <c r="C32" s="1"/>
      <c r="D32" s="7"/>
      <c r="E32" s="3">
        <f t="shared" si="0"/>
        <v>30</v>
      </c>
      <c r="F32" s="16"/>
      <c r="G32" s="17"/>
      <c r="H32" s="17"/>
      <c r="I32" s="17"/>
      <c r="J32" s="22"/>
      <c r="K32" s="16">
        <f t="shared" si="1"/>
        <v>0</v>
      </c>
      <c r="L32" s="21">
        <f t="shared" si="2"/>
        <v>0</v>
      </c>
      <c r="M32" s="17">
        <f t="shared" si="3"/>
        <v>0</v>
      </c>
      <c r="N32" s="17">
        <f t="shared" si="4"/>
        <v>0</v>
      </c>
      <c r="O32" s="40">
        <f t="shared" si="5"/>
        <v>0</v>
      </c>
      <c r="P32" s="120"/>
      <c r="Q32" s="3"/>
      <c r="R32" s="104">
        <f t="shared" si="6"/>
        <v>0</v>
      </c>
      <c r="S32" s="105">
        <f t="shared" si="7"/>
        <v>0</v>
      </c>
      <c r="T32" s="3">
        <v>0</v>
      </c>
      <c r="U32" s="23"/>
      <c r="V32" s="11"/>
      <c r="W32" s="18"/>
      <c r="X32" s="104">
        <f t="shared" si="8"/>
        <v>0</v>
      </c>
      <c r="Y32" s="29">
        <f t="shared" si="9"/>
        <v>0</v>
      </c>
      <c r="Z32" s="25">
        <f t="shared" si="10"/>
        <v>0</v>
      </c>
      <c r="AA32" s="90"/>
      <c r="AB32" s="90"/>
      <c r="AE32" s="89"/>
      <c r="AG32" s="92"/>
    </row>
    <row r="33" spans="1:41" s="90" customFormat="1" ht="14.25" customHeight="1">
      <c r="A33" s="82">
        <v>28</v>
      </c>
      <c r="B33" s="35"/>
      <c r="C33" s="1"/>
      <c r="D33" s="7"/>
      <c r="E33" s="3">
        <f t="shared" si="0"/>
        <v>30</v>
      </c>
      <c r="F33" s="16"/>
      <c r="G33" s="17"/>
      <c r="H33" s="17"/>
      <c r="I33" s="17"/>
      <c r="J33" s="22"/>
      <c r="K33" s="16">
        <f t="shared" si="1"/>
        <v>0</v>
      </c>
      <c r="L33" s="21">
        <f t="shared" si="2"/>
        <v>0</v>
      </c>
      <c r="M33" s="17">
        <f t="shared" si="3"/>
        <v>0</v>
      </c>
      <c r="N33" s="17">
        <f t="shared" si="4"/>
        <v>0</v>
      </c>
      <c r="O33" s="40">
        <f t="shared" si="5"/>
        <v>0</v>
      </c>
      <c r="P33" s="120"/>
      <c r="Q33" s="3"/>
      <c r="R33" s="105">
        <f t="shared" si="6"/>
        <v>0</v>
      </c>
      <c r="S33" s="105">
        <f t="shared" si="7"/>
        <v>0</v>
      </c>
      <c r="T33" s="3">
        <v>0</v>
      </c>
      <c r="U33" s="23"/>
      <c r="V33" s="11"/>
      <c r="W33" s="18"/>
      <c r="X33" s="105">
        <f t="shared" si="8"/>
        <v>0</v>
      </c>
      <c r="Y33" s="29">
        <f t="shared" si="9"/>
        <v>0</v>
      </c>
      <c r="Z33" s="25">
        <f t="shared" si="10"/>
        <v>0</v>
      </c>
      <c r="AC33" s="89"/>
      <c r="AD33" s="89"/>
      <c r="AE33" s="89"/>
      <c r="AF33" s="89"/>
      <c r="AG33" s="91"/>
      <c r="AK33" s="89"/>
      <c r="AL33" s="89"/>
      <c r="AO33" s="89"/>
    </row>
    <row r="34" spans="1:41" ht="14.25" customHeight="1">
      <c r="A34" s="82">
        <v>29</v>
      </c>
      <c r="B34" s="35"/>
      <c r="C34" s="1"/>
      <c r="D34" s="7"/>
      <c r="E34" s="3">
        <f t="shared" si="0"/>
        <v>30</v>
      </c>
      <c r="F34" s="16"/>
      <c r="G34" s="17"/>
      <c r="H34" s="17"/>
      <c r="I34" s="17"/>
      <c r="J34" s="22"/>
      <c r="K34" s="16">
        <f t="shared" si="1"/>
        <v>0</v>
      </c>
      <c r="L34" s="21">
        <f t="shared" si="2"/>
        <v>0</v>
      </c>
      <c r="M34" s="17">
        <f t="shared" si="3"/>
        <v>0</v>
      </c>
      <c r="N34" s="17">
        <f t="shared" si="4"/>
        <v>0</v>
      </c>
      <c r="O34" s="40">
        <f t="shared" si="5"/>
        <v>0</v>
      </c>
      <c r="P34" s="120"/>
      <c r="Q34" s="3"/>
      <c r="R34" s="104">
        <f t="shared" si="6"/>
        <v>0</v>
      </c>
      <c r="S34" s="105">
        <f t="shared" si="7"/>
        <v>0</v>
      </c>
      <c r="T34" s="3">
        <v>0</v>
      </c>
      <c r="U34" s="23"/>
      <c r="V34" s="11"/>
      <c r="W34" s="18"/>
      <c r="X34" s="104">
        <f t="shared" si="8"/>
        <v>0</v>
      </c>
      <c r="Y34" s="29">
        <f t="shared" si="9"/>
        <v>0</v>
      </c>
      <c r="Z34" s="25">
        <f t="shared" si="10"/>
        <v>0</v>
      </c>
      <c r="AA34" s="90"/>
      <c r="AB34" s="90"/>
      <c r="AE34" s="89"/>
      <c r="AG34" s="92"/>
    </row>
    <row r="35" spans="1:41" ht="14.25" customHeight="1">
      <c r="A35" s="82">
        <v>30</v>
      </c>
      <c r="B35" s="35"/>
      <c r="C35" s="1"/>
      <c r="D35" s="7"/>
      <c r="E35" s="3">
        <f t="shared" si="0"/>
        <v>30</v>
      </c>
      <c r="F35" s="16"/>
      <c r="G35" s="17"/>
      <c r="H35" s="17"/>
      <c r="I35" s="17"/>
      <c r="J35" s="22"/>
      <c r="K35" s="16">
        <f t="shared" si="1"/>
        <v>0</v>
      </c>
      <c r="L35" s="21">
        <f t="shared" si="2"/>
        <v>0</v>
      </c>
      <c r="M35" s="17">
        <f t="shared" si="3"/>
        <v>0</v>
      </c>
      <c r="N35" s="17">
        <f t="shared" si="4"/>
        <v>0</v>
      </c>
      <c r="O35" s="40">
        <f t="shared" si="5"/>
        <v>0</v>
      </c>
      <c r="P35" s="120"/>
      <c r="Q35" s="3"/>
      <c r="R35" s="104">
        <f t="shared" si="6"/>
        <v>0</v>
      </c>
      <c r="S35" s="105">
        <f t="shared" si="7"/>
        <v>0</v>
      </c>
      <c r="T35" s="3">
        <v>0</v>
      </c>
      <c r="U35" s="23"/>
      <c r="V35" s="11"/>
      <c r="W35" s="18"/>
      <c r="X35" s="104">
        <f t="shared" si="8"/>
        <v>0</v>
      </c>
      <c r="Y35" s="29">
        <f t="shared" si="9"/>
        <v>0</v>
      </c>
      <c r="Z35" s="25">
        <f t="shared" si="10"/>
        <v>0</v>
      </c>
      <c r="AA35" s="90"/>
      <c r="AB35" s="90"/>
      <c r="AE35" s="89"/>
      <c r="AG35" s="92"/>
    </row>
    <row r="36" spans="1:41" ht="14.25" customHeight="1">
      <c r="A36" s="13">
        <v>31</v>
      </c>
      <c r="B36" s="35"/>
      <c r="C36" s="1"/>
      <c r="D36" s="7"/>
      <c r="E36" s="3">
        <f t="shared" si="0"/>
        <v>30</v>
      </c>
      <c r="F36" s="16"/>
      <c r="G36" s="17"/>
      <c r="H36" s="17"/>
      <c r="I36" s="17"/>
      <c r="J36" s="22"/>
      <c r="K36" s="16">
        <f t="shared" si="1"/>
        <v>0</v>
      </c>
      <c r="L36" s="21">
        <f t="shared" si="2"/>
        <v>0</v>
      </c>
      <c r="M36" s="17">
        <f t="shared" si="3"/>
        <v>0</v>
      </c>
      <c r="N36" s="17">
        <f t="shared" si="4"/>
        <v>0</v>
      </c>
      <c r="O36" s="40">
        <f t="shared" si="5"/>
        <v>0</v>
      </c>
      <c r="P36" s="120"/>
      <c r="Q36" s="3"/>
      <c r="R36" s="104">
        <f t="shared" si="6"/>
        <v>0</v>
      </c>
      <c r="S36" s="105">
        <f t="shared" si="7"/>
        <v>0</v>
      </c>
      <c r="T36" s="3">
        <v>0</v>
      </c>
      <c r="U36" s="23"/>
      <c r="V36" s="11"/>
      <c r="W36" s="18"/>
      <c r="X36" s="104">
        <f t="shared" si="8"/>
        <v>0</v>
      </c>
      <c r="Y36" s="29">
        <f t="shared" si="9"/>
        <v>0</v>
      </c>
      <c r="Z36" s="25">
        <f t="shared" si="10"/>
        <v>0</v>
      </c>
      <c r="AA36" s="90"/>
      <c r="AB36" s="90"/>
      <c r="AE36" s="89"/>
      <c r="AG36" s="92"/>
    </row>
    <row r="37" spans="1:41" ht="14.25" customHeight="1">
      <c r="A37" s="82">
        <v>32</v>
      </c>
      <c r="B37" s="35"/>
      <c r="C37" s="1"/>
      <c r="D37" s="7"/>
      <c r="E37" s="3">
        <f t="shared" si="0"/>
        <v>30</v>
      </c>
      <c r="F37" s="16"/>
      <c r="G37" s="17"/>
      <c r="H37" s="17"/>
      <c r="I37" s="17"/>
      <c r="J37" s="22"/>
      <c r="K37" s="16">
        <f t="shared" si="1"/>
        <v>0</v>
      </c>
      <c r="L37" s="21">
        <f t="shared" si="2"/>
        <v>0</v>
      </c>
      <c r="M37" s="17">
        <f t="shared" si="3"/>
        <v>0</v>
      </c>
      <c r="N37" s="17">
        <f t="shared" si="4"/>
        <v>0</v>
      </c>
      <c r="O37" s="40">
        <f t="shared" si="5"/>
        <v>0</v>
      </c>
      <c r="P37" s="120"/>
      <c r="Q37" s="7"/>
      <c r="R37" s="104">
        <f t="shared" si="6"/>
        <v>0</v>
      </c>
      <c r="S37" s="104">
        <f t="shared" si="7"/>
        <v>0</v>
      </c>
      <c r="T37" s="3">
        <v>0</v>
      </c>
      <c r="U37" s="6"/>
      <c r="V37" s="11"/>
      <c r="W37" s="12"/>
      <c r="X37" s="104">
        <f t="shared" si="8"/>
        <v>0</v>
      </c>
      <c r="Y37" s="29">
        <f t="shared" si="9"/>
        <v>0</v>
      </c>
      <c r="Z37" s="25">
        <f t="shared" si="10"/>
        <v>0</v>
      </c>
      <c r="AA37" s="90"/>
      <c r="AB37" s="90"/>
      <c r="AE37" s="89"/>
      <c r="AG37" s="92"/>
    </row>
    <row r="38" spans="1:41" ht="14.25" customHeight="1">
      <c r="A38" s="82">
        <v>33</v>
      </c>
      <c r="B38" s="35"/>
      <c r="C38" s="1"/>
      <c r="D38" s="7"/>
      <c r="E38" s="3">
        <f t="shared" si="0"/>
        <v>30</v>
      </c>
      <c r="F38" s="16"/>
      <c r="G38" s="17"/>
      <c r="H38" s="17"/>
      <c r="I38" s="17"/>
      <c r="J38" s="22"/>
      <c r="K38" s="16">
        <f t="shared" si="1"/>
        <v>0</v>
      </c>
      <c r="L38" s="21">
        <f t="shared" si="2"/>
        <v>0</v>
      </c>
      <c r="M38" s="17">
        <f t="shared" si="3"/>
        <v>0</v>
      </c>
      <c r="N38" s="17">
        <f t="shared" si="4"/>
        <v>0</v>
      </c>
      <c r="O38" s="40">
        <f t="shared" si="5"/>
        <v>0</v>
      </c>
      <c r="P38" s="120"/>
      <c r="Q38" s="7"/>
      <c r="R38" s="104">
        <f t="shared" si="6"/>
        <v>0</v>
      </c>
      <c r="S38" s="104">
        <f t="shared" si="7"/>
        <v>0</v>
      </c>
      <c r="T38" s="7">
        <v>0</v>
      </c>
      <c r="U38" s="6"/>
      <c r="V38" s="11"/>
      <c r="W38" s="12"/>
      <c r="X38" s="104">
        <f t="shared" si="8"/>
        <v>0</v>
      </c>
      <c r="Y38" s="29">
        <f t="shared" si="9"/>
        <v>0</v>
      </c>
      <c r="Z38" s="25">
        <f t="shared" si="10"/>
        <v>0</v>
      </c>
      <c r="AA38" s="90"/>
      <c r="AB38" s="90"/>
      <c r="AE38" s="89"/>
      <c r="AG38" s="92"/>
    </row>
    <row r="39" spans="1:41" ht="14.25" customHeight="1">
      <c r="A39" s="82">
        <v>34</v>
      </c>
      <c r="B39" s="35"/>
      <c r="C39" s="1"/>
      <c r="D39" s="7"/>
      <c r="E39" s="3">
        <f t="shared" si="0"/>
        <v>30</v>
      </c>
      <c r="F39" s="16"/>
      <c r="G39" s="17"/>
      <c r="H39" s="17"/>
      <c r="I39" s="17"/>
      <c r="J39" s="22"/>
      <c r="K39" s="16">
        <f t="shared" si="1"/>
        <v>0</v>
      </c>
      <c r="L39" s="21">
        <f t="shared" si="2"/>
        <v>0</v>
      </c>
      <c r="M39" s="17">
        <f t="shared" si="3"/>
        <v>0</v>
      </c>
      <c r="N39" s="17">
        <f t="shared" si="4"/>
        <v>0</v>
      </c>
      <c r="O39" s="40">
        <f t="shared" si="5"/>
        <v>0</v>
      </c>
      <c r="P39" s="120"/>
      <c r="Q39" s="7"/>
      <c r="R39" s="104">
        <f t="shared" si="6"/>
        <v>0</v>
      </c>
      <c r="S39" s="104">
        <f t="shared" si="7"/>
        <v>0</v>
      </c>
      <c r="T39" s="7">
        <v>0</v>
      </c>
      <c r="U39" s="10"/>
      <c r="V39" s="11"/>
      <c r="W39" s="7"/>
      <c r="X39" s="104">
        <f t="shared" si="8"/>
        <v>0</v>
      </c>
      <c r="Y39" s="29">
        <f t="shared" si="9"/>
        <v>0</v>
      </c>
      <c r="Z39" s="25">
        <f t="shared" si="10"/>
        <v>0</v>
      </c>
      <c r="AA39" s="90"/>
      <c r="AB39" s="90"/>
      <c r="AE39" s="89"/>
      <c r="AG39" s="92"/>
    </row>
    <row r="40" spans="1:41" ht="14.25" customHeight="1">
      <c r="A40" s="13">
        <v>35</v>
      </c>
      <c r="B40" s="35"/>
      <c r="C40" s="1"/>
      <c r="D40" s="54"/>
      <c r="E40" s="3">
        <f t="shared" si="0"/>
        <v>30</v>
      </c>
      <c r="F40" s="16"/>
      <c r="G40" s="17"/>
      <c r="H40" s="17"/>
      <c r="I40" s="17"/>
      <c r="J40" s="22"/>
      <c r="K40" s="16">
        <f t="shared" si="1"/>
        <v>0</v>
      </c>
      <c r="L40" s="21">
        <f t="shared" si="2"/>
        <v>0</v>
      </c>
      <c r="M40" s="17">
        <f t="shared" si="3"/>
        <v>0</v>
      </c>
      <c r="N40" s="17">
        <f t="shared" si="4"/>
        <v>0</v>
      </c>
      <c r="O40" s="40">
        <f t="shared" si="5"/>
        <v>0</v>
      </c>
      <c r="P40" s="120"/>
      <c r="Q40" s="7"/>
      <c r="R40" s="104">
        <f t="shared" si="6"/>
        <v>0</v>
      </c>
      <c r="S40" s="104">
        <f t="shared" si="7"/>
        <v>0</v>
      </c>
      <c r="T40" s="7">
        <v>0</v>
      </c>
      <c r="U40" s="6"/>
      <c r="V40" s="11"/>
      <c r="W40" s="7"/>
      <c r="X40" s="104">
        <f t="shared" si="8"/>
        <v>0</v>
      </c>
      <c r="Y40" s="29">
        <f t="shared" si="9"/>
        <v>0</v>
      </c>
      <c r="Z40" s="25">
        <f t="shared" si="10"/>
        <v>0</v>
      </c>
      <c r="AA40" s="90"/>
      <c r="AB40" s="90"/>
      <c r="AE40" s="89"/>
      <c r="AG40" s="92"/>
    </row>
    <row r="41" spans="1:41" ht="14.25" customHeight="1">
      <c r="A41" s="82">
        <v>36</v>
      </c>
      <c r="B41" s="35"/>
      <c r="C41" s="1"/>
      <c r="D41" s="7"/>
      <c r="E41" s="3">
        <f t="shared" si="0"/>
        <v>30</v>
      </c>
      <c r="F41" s="16"/>
      <c r="G41" s="17"/>
      <c r="H41" s="17"/>
      <c r="I41" s="17"/>
      <c r="J41" s="22"/>
      <c r="K41" s="16">
        <f t="shared" si="1"/>
        <v>0</v>
      </c>
      <c r="L41" s="21">
        <f t="shared" si="2"/>
        <v>0</v>
      </c>
      <c r="M41" s="17">
        <f t="shared" si="3"/>
        <v>0</v>
      </c>
      <c r="N41" s="17">
        <f t="shared" si="4"/>
        <v>0</v>
      </c>
      <c r="O41" s="40">
        <f t="shared" si="5"/>
        <v>0</v>
      </c>
      <c r="P41" s="121"/>
      <c r="Q41" s="7"/>
      <c r="R41" s="104">
        <f t="shared" si="6"/>
        <v>0</v>
      </c>
      <c r="S41" s="104">
        <f t="shared" si="7"/>
        <v>0</v>
      </c>
      <c r="T41" s="7">
        <f>S41</f>
        <v>0</v>
      </c>
      <c r="U41" s="6"/>
      <c r="V41" s="11"/>
      <c r="W41" s="7"/>
      <c r="X41" s="104">
        <f t="shared" si="8"/>
        <v>0</v>
      </c>
      <c r="Y41" s="29">
        <f t="shared" si="9"/>
        <v>0</v>
      </c>
      <c r="Z41" s="25">
        <f t="shared" si="10"/>
        <v>0</v>
      </c>
      <c r="AA41" s="90"/>
      <c r="AB41" s="90"/>
      <c r="AE41" s="89"/>
      <c r="AG41" s="92"/>
    </row>
    <row r="42" spans="1:41" ht="14.25" customHeight="1">
      <c r="A42" s="82">
        <v>37</v>
      </c>
      <c r="B42" s="78"/>
      <c r="C42" s="2"/>
      <c r="D42" s="7"/>
      <c r="E42" s="3">
        <f t="shared" si="0"/>
        <v>30</v>
      </c>
      <c r="F42" s="16"/>
      <c r="G42" s="17"/>
      <c r="H42" s="17"/>
      <c r="I42" s="17"/>
      <c r="J42" s="22"/>
      <c r="K42" s="16">
        <f t="shared" si="1"/>
        <v>0</v>
      </c>
      <c r="L42" s="21">
        <f t="shared" si="2"/>
        <v>0</v>
      </c>
      <c r="M42" s="17">
        <f t="shared" si="3"/>
        <v>0</v>
      </c>
      <c r="N42" s="17">
        <f t="shared" si="4"/>
        <v>0</v>
      </c>
      <c r="O42" s="40">
        <f t="shared" si="5"/>
        <v>0</v>
      </c>
      <c r="P42" s="120"/>
      <c r="Q42" s="9"/>
      <c r="R42" s="104">
        <f t="shared" si="6"/>
        <v>0</v>
      </c>
      <c r="S42" s="104">
        <f t="shared" si="7"/>
        <v>0</v>
      </c>
      <c r="T42" s="7">
        <v>0</v>
      </c>
      <c r="U42" s="8"/>
      <c r="V42" s="15"/>
      <c r="W42" s="9"/>
      <c r="X42" s="104">
        <f t="shared" si="8"/>
        <v>0</v>
      </c>
      <c r="Y42" s="29">
        <f t="shared" si="9"/>
        <v>0</v>
      </c>
      <c r="Z42" s="25">
        <f t="shared" si="10"/>
        <v>0</v>
      </c>
      <c r="AA42" s="90"/>
      <c r="AB42" s="90"/>
      <c r="AE42" s="89"/>
      <c r="AG42" s="92"/>
    </row>
    <row r="43" spans="1:41" ht="14.25" customHeight="1">
      <c r="A43" s="82">
        <v>38</v>
      </c>
      <c r="B43" s="78"/>
      <c r="C43" s="32"/>
      <c r="D43" s="7"/>
      <c r="E43" s="28">
        <f t="shared" si="0"/>
        <v>30</v>
      </c>
      <c r="F43" s="26"/>
      <c r="G43" s="24"/>
      <c r="H43" s="24"/>
      <c r="I43" s="17"/>
      <c r="J43" s="22"/>
      <c r="K43" s="26">
        <f t="shared" si="1"/>
        <v>0</v>
      </c>
      <c r="L43" s="27">
        <f t="shared" si="2"/>
        <v>0</v>
      </c>
      <c r="M43" s="17">
        <f t="shared" si="3"/>
        <v>0</v>
      </c>
      <c r="N43" s="17">
        <f t="shared" si="4"/>
        <v>0</v>
      </c>
      <c r="O43" s="40">
        <f t="shared" si="5"/>
        <v>0</v>
      </c>
      <c r="P43" s="120"/>
      <c r="Q43" s="9"/>
      <c r="R43" s="106">
        <f t="shared" si="6"/>
        <v>0</v>
      </c>
      <c r="S43" s="106">
        <f t="shared" si="7"/>
        <v>0</v>
      </c>
      <c r="T43" s="9">
        <v>0</v>
      </c>
      <c r="U43" s="8"/>
      <c r="V43" s="33"/>
      <c r="W43" s="9"/>
      <c r="X43" s="106">
        <f t="shared" si="8"/>
        <v>0</v>
      </c>
      <c r="Y43" s="29">
        <f t="shared" si="9"/>
        <v>0</v>
      </c>
      <c r="Z43" s="25">
        <f t="shared" si="10"/>
        <v>0</v>
      </c>
      <c r="AA43" s="90"/>
      <c r="AB43" s="90"/>
      <c r="AE43" s="89"/>
      <c r="AG43" s="92"/>
    </row>
    <row r="44" spans="1:41" ht="14.25" customHeight="1">
      <c r="A44" s="13">
        <v>39</v>
      </c>
      <c r="B44" s="35"/>
      <c r="C44" s="31"/>
      <c r="D44" s="54"/>
      <c r="E44" s="3">
        <f t="shared" si="0"/>
        <v>30</v>
      </c>
      <c r="F44" s="16"/>
      <c r="G44" s="17"/>
      <c r="H44" s="17"/>
      <c r="I44" s="17"/>
      <c r="J44" s="22"/>
      <c r="K44" s="16">
        <f t="shared" si="1"/>
        <v>0</v>
      </c>
      <c r="L44" s="21">
        <f t="shared" si="2"/>
        <v>0</v>
      </c>
      <c r="M44" s="17">
        <f t="shared" si="3"/>
        <v>0</v>
      </c>
      <c r="N44" s="17">
        <f t="shared" si="4"/>
        <v>0</v>
      </c>
      <c r="O44" s="40">
        <f t="shared" si="5"/>
        <v>0</v>
      </c>
      <c r="P44" s="120"/>
      <c r="Q44" s="7"/>
      <c r="R44" s="104">
        <f t="shared" si="6"/>
        <v>0</v>
      </c>
      <c r="S44" s="104">
        <f t="shared" si="7"/>
        <v>0</v>
      </c>
      <c r="T44" s="7">
        <v>0</v>
      </c>
      <c r="U44" s="6"/>
      <c r="V44" s="36"/>
      <c r="W44" s="7"/>
      <c r="X44" s="104">
        <f t="shared" si="8"/>
        <v>0</v>
      </c>
      <c r="Y44" s="29">
        <f t="shared" si="9"/>
        <v>0</v>
      </c>
      <c r="Z44" s="25">
        <f t="shared" si="10"/>
        <v>0</v>
      </c>
      <c r="AA44" s="90"/>
      <c r="AB44" s="90"/>
      <c r="AE44" s="89"/>
      <c r="AG44" s="92"/>
    </row>
    <row r="45" spans="1:41" ht="14.25" customHeight="1">
      <c r="A45" s="82">
        <v>40</v>
      </c>
      <c r="B45" s="35"/>
      <c r="C45" s="31"/>
      <c r="D45" s="54"/>
      <c r="E45" s="3">
        <f t="shared" si="0"/>
        <v>30</v>
      </c>
      <c r="F45" s="16"/>
      <c r="G45" s="17"/>
      <c r="H45" s="17"/>
      <c r="I45" s="17"/>
      <c r="J45" s="22"/>
      <c r="K45" s="16">
        <f t="shared" si="1"/>
        <v>0</v>
      </c>
      <c r="L45" s="21">
        <f t="shared" si="2"/>
        <v>0</v>
      </c>
      <c r="M45" s="17">
        <f t="shared" si="3"/>
        <v>0</v>
      </c>
      <c r="N45" s="17">
        <f t="shared" si="4"/>
        <v>0</v>
      </c>
      <c r="O45" s="40">
        <f t="shared" si="5"/>
        <v>0</v>
      </c>
      <c r="P45" s="120"/>
      <c r="Q45" s="7"/>
      <c r="R45" s="104">
        <f t="shared" si="6"/>
        <v>0</v>
      </c>
      <c r="S45" s="104">
        <f t="shared" si="7"/>
        <v>0</v>
      </c>
      <c r="T45" s="7">
        <v>0</v>
      </c>
      <c r="U45" s="6"/>
      <c r="V45" s="36"/>
      <c r="W45" s="7"/>
      <c r="X45" s="104">
        <f t="shared" si="8"/>
        <v>0</v>
      </c>
      <c r="Y45" s="29">
        <f t="shared" si="9"/>
        <v>0</v>
      </c>
      <c r="Z45" s="25">
        <f t="shared" si="10"/>
        <v>0</v>
      </c>
      <c r="AA45" s="90"/>
      <c r="AB45" s="90"/>
      <c r="AE45" s="89"/>
      <c r="AG45" s="92"/>
    </row>
    <row r="46" spans="1:41" ht="14.25" customHeight="1">
      <c r="A46" s="82">
        <v>41</v>
      </c>
      <c r="B46" s="35"/>
      <c r="C46" s="31"/>
      <c r="D46" s="54"/>
      <c r="E46" s="3">
        <f t="shared" si="0"/>
        <v>30</v>
      </c>
      <c r="F46" s="16"/>
      <c r="G46" s="17"/>
      <c r="H46" s="17"/>
      <c r="I46" s="17"/>
      <c r="J46" s="22"/>
      <c r="K46" s="16">
        <f t="shared" si="1"/>
        <v>0</v>
      </c>
      <c r="L46" s="21">
        <f t="shared" si="2"/>
        <v>0</v>
      </c>
      <c r="M46" s="17">
        <f t="shared" si="3"/>
        <v>0</v>
      </c>
      <c r="N46" s="17">
        <f t="shared" si="4"/>
        <v>0</v>
      </c>
      <c r="O46" s="40">
        <f t="shared" si="5"/>
        <v>0</v>
      </c>
      <c r="P46" s="120"/>
      <c r="Q46" s="7"/>
      <c r="R46" s="104">
        <f t="shared" si="6"/>
        <v>0</v>
      </c>
      <c r="S46" s="104">
        <f t="shared" si="7"/>
        <v>0</v>
      </c>
      <c r="T46" s="7">
        <v>0</v>
      </c>
      <c r="U46" s="6"/>
      <c r="V46" s="36"/>
      <c r="W46" s="7"/>
      <c r="X46" s="104">
        <f t="shared" si="8"/>
        <v>0</v>
      </c>
      <c r="Y46" s="29">
        <f t="shared" si="9"/>
        <v>0</v>
      </c>
      <c r="Z46" s="25">
        <f t="shared" si="10"/>
        <v>0</v>
      </c>
      <c r="AA46" s="90"/>
      <c r="AB46" s="90"/>
      <c r="AE46" s="89"/>
      <c r="AG46" s="92"/>
    </row>
    <row r="47" spans="1:41" ht="14.25" customHeight="1">
      <c r="A47" s="82">
        <v>42</v>
      </c>
      <c r="B47" s="35"/>
      <c r="C47" s="31"/>
      <c r="D47" s="54"/>
      <c r="E47" s="3">
        <f t="shared" si="0"/>
        <v>30</v>
      </c>
      <c r="F47" s="16"/>
      <c r="G47" s="17"/>
      <c r="H47" s="17"/>
      <c r="I47" s="17"/>
      <c r="J47" s="22"/>
      <c r="K47" s="16">
        <f t="shared" si="1"/>
        <v>0</v>
      </c>
      <c r="L47" s="21">
        <f t="shared" si="2"/>
        <v>0</v>
      </c>
      <c r="M47" s="17">
        <f t="shared" si="3"/>
        <v>0</v>
      </c>
      <c r="N47" s="17">
        <f t="shared" si="4"/>
        <v>0</v>
      </c>
      <c r="O47" s="40">
        <f t="shared" si="5"/>
        <v>0</v>
      </c>
      <c r="P47" s="120"/>
      <c r="Q47" s="7"/>
      <c r="R47" s="104">
        <f t="shared" si="6"/>
        <v>0</v>
      </c>
      <c r="S47" s="104">
        <f t="shared" si="7"/>
        <v>0</v>
      </c>
      <c r="T47" s="7">
        <v>0</v>
      </c>
      <c r="U47" s="6"/>
      <c r="V47" s="36"/>
      <c r="W47" s="7"/>
      <c r="X47" s="104">
        <f t="shared" si="8"/>
        <v>0</v>
      </c>
      <c r="Y47" s="29">
        <f t="shared" si="9"/>
        <v>0</v>
      </c>
      <c r="Z47" s="25">
        <f t="shared" si="10"/>
        <v>0</v>
      </c>
      <c r="AA47" s="90"/>
      <c r="AB47" s="90"/>
      <c r="AE47" s="89"/>
      <c r="AG47" s="92"/>
    </row>
    <row r="48" spans="1:41" ht="14.25" customHeight="1">
      <c r="A48" s="13">
        <v>43</v>
      </c>
      <c r="B48" s="35"/>
      <c r="C48" s="31"/>
      <c r="D48" s="54"/>
      <c r="E48" s="3">
        <f t="shared" si="0"/>
        <v>30</v>
      </c>
      <c r="F48" s="16"/>
      <c r="G48" s="17"/>
      <c r="H48" s="17"/>
      <c r="I48" s="17"/>
      <c r="J48" s="22"/>
      <c r="K48" s="16">
        <f t="shared" si="1"/>
        <v>0</v>
      </c>
      <c r="L48" s="21">
        <f t="shared" si="2"/>
        <v>0</v>
      </c>
      <c r="M48" s="17">
        <f t="shared" si="3"/>
        <v>0</v>
      </c>
      <c r="N48" s="17">
        <f t="shared" si="4"/>
        <v>0</v>
      </c>
      <c r="O48" s="40">
        <f t="shared" si="5"/>
        <v>0</v>
      </c>
      <c r="P48" s="120"/>
      <c r="Q48" s="7"/>
      <c r="R48" s="104">
        <f t="shared" si="6"/>
        <v>0</v>
      </c>
      <c r="S48" s="104">
        <f t="shared" si="7"/>
        <v>0</v>
      </c>
      <c r="T48" s="7">
        <v>0</v>
      </c>
      <c r="U48" s="6"/>
      <c r="V48" s="36"/>
      <c r="W48" s="7"/>
      <c r="X48" s="104">
        <f t="shared" si="8"/>
        <v>0</v>
      </c>
      <c r="Y48" s="29">
        <f t="shared" si="9"/>
        <v>0</v>
      </c>
      <c r="Z48" s="25">
        <f t="shared" si="10"/>
        <v>0</v>
      </c>
      <c r="AA48" s="90"/>
      <c r="AB48" s="90"/>
      <c r="AE48" s="89"/>
      <c r="AG48" s="92"/>
    </row>
    <row r="49" spans="1:33" ht="14.25" customHeight="1">
      <c r="A49" s="82">
        <v>44</v>
      </c>
      <c r="B49" s="35"/>
      <c r="C49" s="31"/>
      <c r="D49" s="54"/>
      <c r="E49" s="3">
        <f t="shared" si="0"/>
        <v>30</v>
      </c>
      <c r="F49" s="16"/>
      <c r="G49" s="17"/>
      <c r="H49" s="17"/>
      <c r="I49" s="17"/>
      <c r="J49" s="22"/>
      <c r="K49" s="16">
        <f t="shared" si="1"/>
        <v>0</v>
      </c>
      <c r="L49" s="21">
        <f t="shared" si="2"/>
        <v>0</v>
      </c>
      <c r="M49" s="17">
        <f t="shared" si="3"/>
        <v>0</v>
      </c>
      <c r="N49" s="17">
        <f t="shared" si="4"/>
        <v>0</v>
      </c>
      <c r="O49" s="40">
        <f t="shared" si="5"/>
        <v>0</v>
      </c>
      <c r="P49" s="120"/>
      <c r="Q49" s="7"/>
      <c r="R49" s="104">
        <f t="shared" si="6"/>
        <v>0</v>
      </c>
      <c r="S49" s="104">
        <f t="shared" si="7"/>
        <v>0</v>
      </c>
      <c r="T49" s="7">
        <v>0</v>
      </c>
      <c r="U49" s="6"/>
      <c r="V49" s="36"/>
      <c r="W49" s="7"/>
      <c r="X49" s="104">
        <f t="shared" si="8"/>
        <v>0</v>
      </c>
      <c r="Y49" s="29">
        <f t="shared" si="9"/>
        <v>0</v>
      </c>
      <c r="Z49" s="25">
        <f t="shared" si="10"/>
        <v>0</v>
      </c>
      <c r="AA49" s="90"/>
      <c r="AB49" s="90"/>
      <c r="AE49" s="89"/>
      <c r="AG49" s="92"/>
    </row>
    <row r="50" spans="1:33" ht="14.25" customHeight="1">
      <c r="A50" s="82">
        <v>45</v>
      </c>
      <c r="B50" s="35"/>
      <c r="C50" s="31"/>
      <c r="D50" s="54"/>
      <c r="E50" s="3">
        <f t="shared" si="0"/>
        <v>30</v>
      </c>
      <c r="F50" s="16"/>
      <c r="G50" s="17"/>
      <c r="H50" s="17"/>
      <c r="I50" s="17"/>
      <c r="J50" s="22"/>
      <c r="K50" s="16">
        <f t="shared" si="1"/>
        <v>0</v>
      </c>
      <c r="L50" s="21">
        <f t="shared" si="2"/>
        <v>0</v>
      </c>
      <c r="M50" s="17">
        <f t="shared" si="3"/>
        <v>0</v>
      </c>
      <c r="N50" s="17">
        <f t="shared" si="4"/>
        <v>0</v>
      </c>
      <c r="O50" s="40">
        <f t="shared" si="5"/>
        <v>0</v>
      </c>
      <c r="P50" s="120"/>
      <c r="Q50" s="7"/>
      <c r="R50" s="104">
        <f t="shared" si="6"/>
        <v>0</v>
      </c>
      <c r="S50" s="104">
        <f t="shared" si="7"/>
        <v>0</v>
      </c>
      <c r="T50" s="7">
        <v>0</v>
      </c>
      <c r="U50" s="6"/>
      <c r="V50" s="36"/>
      <c r="W50" s="7"/>
      <c r="X50" s="104">
        <f t="shared" si="8"/>
        <v>0</v>
      </c>
      <c r="Y50" s="29">
        <f t="shared" si="9"/>
        <v>0</v>
      </c>
      <c r="Z50" s="25">
        <f t="shared" si="10"/>
        <v>0</v>
      </c>
      <c r="AA50" s="90"/>
      <c r="AB50" s="90"/>
      <c r="AE50" s="89"/>
      <c r="AG50" s="92"/>
    </row>
    <row r="51" spans="1:33" ht="14.25" customHeight="1">
      <c r="A51" s="82">
        <v>46</v>
      </c>
      <c r="B51" s="35"/>
      <c r="C51" s="31"/>
      <c r="D51" s="54"/>
      <c r="E51" s="3">
        <f t="shared" si="0"/>
        <v>30</v>
      </c>
      <c r="F51" s="16"/>
      <c r="G51" s="17"/>
      <c r="H51" s="17"/>
      <c r="I51" s="17"/>
      <c r="J51" s="22"/>
      <c r="K51" s="16">
        <f t="shared" si="1"/>
        <v>0</v>
      </c>
      <c r="L51" s="21">
        <f t="shared" si="2"/>
        <v>0</v>
      </c>
      <c r="M51" s="17">
        <f t="shared" si="3"/>
        <v>0</v>
      </c>
      <c r="N51" s="17">
        <f t="shared" si="4"/>
        <v>0</v>
      </c>
      <c r="O51" s="40">
        <f t="shared" si="5"/>
        <v>0</v>
      </c>
      <c r="P51" s="120"/>
      <c r="Q51" s="7"/>
      <c r="R51" s="104">
        <f t="shared" si="6"/>
        <v>0</v>
      </c>
      <c r="S51" s="104">
        <f t="shared" si="7"/>
        <v>0</v>
      </c>
      <c r="T51" s="7">
        <v>0</v>
      </c>
      <c r="U51" s="6"/>
      <c r="V51" s="36"/>
      <c r="W51" s="7"/>
      <c r="X51" s="104">
        <f t="shared" si="8"/>
        <v>0</v>
      </c>
      <c r="Y51" s="29">
        <f t="shared" si="9"/>
        <v>0</v>
      </c>
      <c r="Z51" s="25">
        <f t="shared" si="10"/>
        <v>0</v>
      </c>
      <c r="AA51" s="90"/>
      <c r="AB51" s="90"/>
      <c r="AE51" s="89"/>
      <c r="AG51" s="92"/>
    </row>
    <row r="52" spans="1:33" ht="14.25" customHeight="1">
      <c r="A52" s="13">
        <v>47</v>
      </c>
      <c r="B52" s="35"/>
      <c r="C52" s="31"/>
      <c r="D52" s="54"/>
      <c r="E52" s="3">
        <f t="shared" si="0"/>
        <v>30</v>
      </c>
      <c r="F52" s="16"/>
      <c r="G52" s="17"/>
      <c r="H52" s="17"/>
      <c r="I52" s="17"/>
      <c r="J52" s="22"/>
      <c r="K52" s="16">
        <f t="shared" si="1"/>
        <v>0</v>
      </c>
      <c r="L52" s="21">
        <f t="shared" si="2"/>
        <v>0</v>
      </c>
      <c r="M52" s="17">
        <f t="shared" si="3"/>
        <v>0</v>
      </c>
      <c r="N52" s="17">
        <f t="shared" si="4"/>
        <v>0</v>
      </c>
      <c r="O52" s="40">
        <f t="shared" si="5"/>
        <v>0</v>
      </c>
      <c r="P52" s="120"/>
      <c r="Q52" s="7"/>
      <c r="R52" s="104">
        <f t="shared" si="6"/>
        <v>0</v>
      </c>
      <c r="S52" s="104">
        <f t="shared" si="7"/>
        <v>0</v>
      </c>
      <c r="T52" s="7">
        <v>0</v>
      </c>
      <c r="U52" s="6"/>
      <c r="V52" s="36"/>
      <c r="W52" s="7"/>
      <c r="X52" s="104">
        <f t="shared" si="8"/>
        <v>0</v>
      </c>
      <c r="Y52" s="29">
        <f t="shared" si="9"/>
        <v>0</v>
      </c>
      <c r="Z52" s="25">
        <f t="shared" si="10"/>
        <v>0</v>
      </c>
      <c r="AA52" s="90"/>
      <c r="AB52" s="90"/>
      <c r="AE52" s="89"/>
      <c r="AG52" s="92"/>
    </row>
    <row r="53" spans="1:33" ht="14.25" customHeight="1">
      <c r="A53" s="82">
        <v>48</v>
      </c>
      <c r="B53" s="35"/>
      <c r="C53" s="41"/>
      <c r="D53" s="54"/>
      <c r="E53" s="3">
        <f t="shared" si="0"/>
        <v>30</v>
      </c>
      <c r="F53" s="16"/>
      <c r="G53" s="17"/>
      <c r="H53" s="17"/>
      <c r="I53" s="17"/>
      <c r="J53" s="22"/>
      <c r="K53" s="16">
        <f t="shared" si="1"/>
        <v>0</v>
      </c>
      <c r="L53" s="21">
        <f t="shared" si="2"/>
        <v>0</v>
      </c>
      <c r="M53" s="17">
        <f t="shared" si="3"/>
        <v>0</v>
      </c>
      <c r="N53" s="17">
        <f t="shared" si="4"/>
        <v>0</v>
      </c>
      <c r="O53" s="40">
        <f t="shared" si="5"/>
        <v>0</v>
      </c>
      <c r="P53" s="120"/>
      <c r="Q53" s="7"/>
      <c r="R53" s="104">
        <f t="shared" si="6"/>
        <v>0</v>
      </c>
      <c r="S53" s="104">
        <f t="shared" si="7"/>
        <v>0</v>
      </c>
      <c r="T53" s="7">
        <v>0</v>
      </c>
      <c r="U53" s="38"/>
      <c r="V53" s="36"/>
      <c r="W53" s="7"/>
      <c r="X53" s="104">
        <f t="shared" si="8"/>
        <v>0</v>
      </c>
      <c r="Y53" s="29">
        <f t="shared" si="9"/>
        <v>0</v>
      </c>
      <c r="Z53" s="25">
        <f t="shared" si="10"/>
        <v>0</v>
      </c>
      <c r="AA53" s="90"/>
      <c r="AB53" s="90"/>
      <c r="AE53" s="89"/>
      <c r="AG53" s="92"/>
    </row>
    <row r="54" spans="1:33" ht="14.25" customHeight="1">
      <c r="A54" s="82">
        <v>49</v>
      </c>
      <c r="B54" s="35"/>
      <c r="C54" s="41"/>
      <c r="D54" s="54"/>
      <c r="E54" s="3">
        <f>30-(F54+G54)</f>
        <v>30</v>
      </c>
      <c r="F54" s="16"/>
      <c r="G54" s="17"/>
      <c r="H54" s="17"/>
      <c r="I54" s="17"/>
      <c r="J54" s="22"/>
      <c r="K54" s="16">
        <f>F54*(V54/30)</f>
        <v>0</v>
      </c>
      <c r="L54" s="21">
        <f>G54*(V54/30)</f>
        <v>0</v>
      </c>
      <c r="M54" s="17">
        <f t="shared" si="3"/>
        <v>0</v>
      </c>
      <c r="N54" s="17">
        <f t="shared" si="4"/>
        <v>0</v>
      </c>
      <c r="O54" s="40">
        <f t="shared" si="5"/>
        <v>0</v>
      </c>
      <c r="P54" s="120"/>
      <c r="Q54" s="7"/>
      <c r="R54" s="104">
        <f>(P54*26/100)+(Q54*24/100)</f>
        <v>0</v>
      </c>
      <c r="S54" s="104">
        <f>(P54*14/100)+(Q54*11/100)</f>
        <v>0</v>
      </c>
      <c r="T54" s="7">
        <v>0</v>
      </c>
      <c r="U54" s="38"/>
      <c r="V54" s="36"/>
      <c r="W54" s="7"/>
      <c r="X54" s="104">
        <f t="shared" si="8"/>
        <v>0</v>
      </c>
      <c r="Y54" s="29">
        <f t="shared" si="9"/>
        <v>0</v>
      </c>
      <c r="Z54" s="25">
        <f t="shared" si="10"/>
        <v>0</v>
      </c>
      <c r="AA54" s="90"/>
      <c r="AB54" s="90"/>
      <c r="AE54" s="89"/>
      <c r="AG54" s="92"/>
    </row>
    <row r="55" spans="1:33" ht="14.25" customHeight="1">
      <c r="A55" s="82">
        <v>50</v>
      </c>
      <c r="B55" s="35"/>
      <c r="C55" s="41"/>
      <c r="D55" s="54"/>
      <c r="E55" s="3">
        <f>30-(F55+G55)</f>
        <v>30</v>
      </c>
      <c r="F55" s="16"/>
      <c r="G55" s="17"/>
      <c r="H55" s="17"/>
      <c r="I55" s="17"/>
      <c r="J55" s="22"/>
      <c r="K55" s="16">
        <f>F55*(V55/30)</f>
        <v>0</v>
      </c>
      <c r="L55" s="21">
        <f>G55*(V55/30)</f>
        <v>0</v>
      </c>
      <c r="M55" s="17">
        <f>H55*(V55/30)</f>
        <v>0</v>
      </c>
      <c r="N55" s="17">
        <f t="shared" si="4"/>
        <v>0</v>
      </c>
      <c r="O55" s="40">
        <f t="shared" si="5"/>
        <v>0</v>
      </c>
      <c r="P55" s="120"/>
      <c r="Q55" s="7"/>
      <c r="R55" s="104">
        <f>(P55*26/100)+(Q55*24/100)</f>
        <v>0</v>
      </c>
      <c r="S55" s="104">
        <f>(P55*14/100)+(Q55*11/100)</f>
        <v>0</v>
      </c>
      <c r="T55" s="7">
        <v>0</v>
      </c>
      <c r="U55" s="38"/>
      <c r="V55" s="36"/>
      <c r="W55" s="7"/>
      <c r="X55" s="104">
        <f t="shared" si="8"/>
        <v>0</v>
      </c>
      <c r="Y55" s="29">
        <f t="shared" si="9"/>
        <v>0</v>
      </c>
      <c r="Z55" s="25">
        <f t="shared" si="10"/>
        <v>0</v>
      </c>
      <c r="AA55" s="90"/>
      <c r="AB55" s="90"/>
      <c r="AE55" s="89"/>
      <c r="AG55" s="92"/>
    </row>
    <row r="56" spans="1:33" ht="14.25" customHeight="1" thickBot="1">
      <c r="A56" s="13">
        <v>51</v>
      </c>
      <c r="B56" s="37"/>
      <c r="C56" s="31"/>
      <c r="D56" s="54"/>
      <c r="E56" s="28">
        <f>30-(F56+G56)</f>
        <v>30</v>
      </c>
      <c r="F56" s="26"/>
      <c r="G56" s="24"/>
      <c r="H56" s="24"/>
      <c r="I56" s="24"/>
      <c r="J56" s="22"/>
      <c r="K56" s="26">
        <f>F56*(V56/30)</f>
        <v>0</v>
      </c>
      <c r="L56" s="27">
        <f>G56*(V56/30)</f>
        <v>0</v>
      </c>
      <c r="M56" s="24">
        <f>H56*(V56/30)</f>
        <v>0</v>
      </c>
      <c r="N56" s="17">
        <f t="shared" si="4"/>
        <v>0</v>
      </c>
      <c r="O56" s="48">
        <f t="shared" si="5"/>
        <v>0</v>
      </c>
      <c r="P56" s="120"/>
      <c r="Q56" s="7"/>
      <c r="R56" s="106">
        <f>(P56*26/100)+(Q56*24/100)</f>
        <v>0</v>
      </c>
      <c r="S56" s="106">
        <f>(P56*14/100)+(Q56*11/100)</f>
        <v>0</v>
      </c>
      <c r="T56" s="9">
        <v>0</v>
      </c>
      <c r="U56" s="47"/>
      <c r="V56" s="33"/>
      <c r="W56" s="9"/>
      <c r="X56" s="106">
        <f t="shared" si="8"/>
        <v>0</v>
      </c>
      <c r="Y56" s="29">
        <f t="shared" si="9"/>
        <v>0</v>
      </c>
      <c r="Z56" s="25">
        <f t="shared" si="10"/>
        <v>0</v>
      </c>
      <c r="AA56" s="90"/>
      <c r="AB56" s="90"/>
      <c r="AE56" s="89"/>
      <c r="AG56" s="92"/>
    </row>
    <row r="57" spans="1:33" ht="14.25" customHeight="1">
      <c r="A57" s="82">
        <v>52</v>
      </c>
      <c r="B57" s="35"/>
      <c r="C57" s="31"/>
      <c r="D57" s="7"/>
      <c r="E57" s="3">
        <f t="shared" ref="E57:E84" si="11">30-(F57+G57)</f>
        <v>30</v>
      </c>
      <c r="F57" s="16"/>
      <c r="G57" s="30"/>
      <c r="H57" s="30"/>
      <c r="I57" s="30"/>
      <c r="J57" s="22"/>
      <c r="K57" s="26">
        <f t="shared" ref="K57:K63" si="12">F57*(V57/30)</f>
        <v>0</v>
      </c>
      <c r="L57" s="27">
        <f t="shared" ref="L57:L63" si="13">G57*(V57/30)</f>
        <v>0</v>
      </c>
      <c r="M57" s="24">
        <f t="shared" ref="M57:M63" si="14">H57*(V57/30)</f>
        <v>0</v>
      </c>
      <c r="N57" s="17">
        <f t="shared" si="4"/>
        <v>0</v>
      </c>
      <c r="O57" s="48">
        <f t="shared" si="5"/>
        <v>0</v>
      </c>
      <c r="P57" s="122"/>
      <c r="Q57" s="49"/>
      <c r="R57" s="106">
        <f t="shared" ref="R57:R63" si="15">(P57*26/100)+(Q57*24/100)</f>
        <v>0</v>
      </c>
      <c r="S57" s="106">
        <f t="shared" ref="S57:S63" si="16">(P57*14/100)+(Q57*11/100)</f>
        <v>0</v>
      </c>
      <c r="T57" s="7">
        <v>0</v>
      </c>
      <c r="U57" s="38"/>
      <c r="V57" s="36"/>
      <c r="W57" s="9"/>
      <c r="X57" s="107">
        <f t="shared" si="8"/>
        <v>0</v>
      </c>
      <c r="Y57" s="29">
        <f t="shared" si="9"/>
        <v>0</v>
      </c>
      <c r="Z57" s="25">
        <f t="shared" si="10"/>
        <v>0</v>
      </c>
      <c r="AA57" s="90"/>
      <c r="AB57" s="90"/>
      <c r="AE57" s="89"/>
      <c r="AG57" s="92"/>
    </row>
    <row r="58" spans="1:33" ht="14.25" customHeight="1">
      <c r="A58" s="82">
        <v>53</v>
      </c>
      <c r="B58" s="35"/>
      <c r="C58" s="31"/>
      <c r="D58" s="7"/>
      <c r="E58" s="3">
        <f t="shared" si="11"/>
        <v>30</v>
      </c>
      <c r="F58" s="16"/>
      <c r="G58" s="30"/>
      <c r="H58" s="30"/>
      <c r="I58" s="30"/>
      <c r="J58" s="22"/>
      <c r="K58" s="26">
        <f t="shared" si="12"/>
        <v>0</v>
      </c>
      <c r="L58" s="27">
        <f t="shared" si="13"/>
        <v>0</v>
      </c>
      <c r="M58" s="24">
        <f t="shared" si="14"/>
        <v>0</v>
      </c>
      <c r="N58" s="17">
        <f t="shared" si="4"/>
        <v>0</v>
      </c>
      <c r="O58" s="48">
        <f t="shared" si="5"/>
        <v>0</v>
      </c>
      <c r="P58" s="120"/>
      <c r="Q58" s="50"/>
      <c r="R58" s="106">
        <f t="shared" si="15"/>
        <v>0</v>
      </c>
      <c r="S58" s="106">
        <f t="shared" si="16"/>
        <v>0</v>
      </c>
      <c r="T58" s="7">
        <v>0</v>
      </c>
      <c r="U58" s="38"/>
      <c r="V58" s="36"/>
      <c r="W58" s="9"/>
      <c r="X58" s="107">
        <f t="shared" si="8"/>
        <v>0</v>
      </c>
      <c r="Y58" s="29">
        <f t="shared" si="9"/>
        <v>0</v>
      </c>
      <c r="Z58" s="25">
        <f t="shared" si="10"/>
        <v>0</v>
      </c>
      <c r="AA58" s="90"/>
      <c r="AB58" s="90"/>
      <c r="AE58" s="89"/>
      <c r="AG58" s="92"/>
    </row>
    <row r="59" spans="1:33" ht="14.25" customHeight="1">
      <c r="A59" s="82">
        <v>54</v>
      </c>
      <c r="B59" s="35"/>
      <c r="C59" s="31"/>
      <c r="D59" s="7"/>
      <c r="E59" s="3">
        <f t="shared" si="11"/>
        <v>30</v>
      </c>
      <c r="F59" s="16"/>
      <c r="G59" s="30"/>
      <c r="H59" s="30"/>
      <c r="I59" s="30"/>
      <c r="J59" s="22"/>
      <c r="K59" s="26">
        <f t="shared" si="12"/>
        <v>0</v>
      </c>
      <c r="L59" s="27">
        <f t="shared" si="13"/>
        <v>0</v>
      </c>
      <c r="M59" s="24">
        <f t="shared" si="14"/>
        <v>0</v>
      </c>
      <c r="N59" s="17">
        <f t="shared" si="4"/>
        <v>0</v>
      </c>
      <c r="O59" s="48">
        <f t="shared" si="5"/>
        <v>0</v>
      </c>
      <c r="P59" s="120"/>
      <c r="Q59" s="50"/>
      <c r="R59" s="106">
        <f t="shared" si="15"/>
        <v>0</v>
      </c>
      <c r="S59" s="106">
        <f t="shared" si="16"/>
        <v>0</v>
      </c>
      <c r="T59" s="7">
        <v>0</v>
      </c>
      <c r="U59" s="38"/>
      <c r="V59" s="36"/>
      <c r="W59" s="9"/>
      <c r="X59" s="107">
        <f t="shared" si="8"/>
        <v>0</v>
      </c>
      <c r="Y59" s="29">
        <f t="shared" si="9"/>
        <v>0</v>
      </c>
      <c r="Z59" s="25">
        <f t="shared" si="10"/>
        <v>0</v>
      </c>
      <c r="AA59" s="90"/>
      <c r="AB59" s="90"/>
      <c r="AE59" s="89"/>
      <c r="AG59" s="92"/>
    </row>
    <row r="60" spans="1:33" ht="14.25" customHeight="1">
      <c r="A60" s="13">
        <v>55</v>
      </c>
      <c r="B60" s="35"/>
      <c r="C60" s="31"/>
      <c r="D60" s="7"/>
      <c r="E60" s="3">
        <f t="shared" si="11"/>
        <v>30</v>
      </c>
      <c r="F60" s="16"/>
      <c r="G60" s="30"/>
      <c r="H60" s="30"/>
      <c r="I60" s="30"/>
      <c r="J60" s="22"/>
      <c r="K60" s="26">
        <f t="shared" si="12"/>
        <v>0</v>
      </c>
      <c r="L60" s="27">
        <f t="shared" si="13"/>
        <v>0</v>
      </c>
      <c r="M60" s="24">
        <f t="shared" si="14"/>
        <v>0</v>
      </c>
      <c r="N60" s="17">
        <f t="shared" si="4"/>
        <v>0</v>
      </c>
      <c r="O60" s="48">
        <f t="shared" si="5"/>
        <v>0</v>
      </c>
      <c r="P60" s="120"/>
      <c r="Q60" s="50"/>
      <c r="R60" s="106">
        <f t="shared" si="15"/>
        <v>0</v>
      </c>
      <c r="S60" s="106">
        <f t="shared" si="16"/>
        <v>0</v>
      </c>
      <c r="T60" s="7">
        <v>0</v>
      </c>
      <c r="U60" s="38"/>
      <c r="V60" s="36"/>
      <c r="W60" s="9"/>
      <c r="X60" s="107">
        <f t="shared" si="8"/>
        <v>0</v>
      </c>
      <c r="Y60" s="29">
        <f t="shared" si="9"/>
        <v>0</v>
      </c>
      <c r="Z60" s="25">
        <f t="shared" si="10"/>
        <v>0</v>
      </c>
      <c r="AA60" s="90"/>
      <c r="AB60" s="90"/>
      <c r="AE60" s="89"/>
      <c r="AG60" s="92"/>
    </row>
    <row r="61" spans="1:33" ht="14.25" customHeight="1">
      <c r="A61" s="82">
        <v>56</v>
      </c>
      <c r="B61" s="35"/>
      <c r="C61" s="31"/>
      <c r="D61" s="7"/>
      <c r="E61" s="3">
        <f t="shared" si="11"/>
        <v>30</v>
      </c>
      <c r="F61" s="16"/>
      <c r="G61" s="30"/>
      <c r="H61" s="30"/>
      <c r="I61" s="30"/>
      <c r="J61" s="22"/>
      <c r="K61" s="26">
        <f t="shared" si="12"/>
        <v>0</v>
      </c>
      <c r="L61" s="27">
        <f t="shared" si="13"/>
        <v>0</v>
      </c>
      <c r="M61" s="24">
        <f t="shared" si="14"/>
        <v>0</v>
      </c>
      <c r="N61" s="17">
        <f t="shared" si="4"/>
        <v>0</v>
      </c>
      <c r="O61" s="48">
        <f t="shared" si="5"/>
        <v>0</v>
      </c>
      <c r="P61" s="120"/>
      <c r="Q61" s="50"/>
      <c r="R61" s="106">
        <f t="shared" si="15"/>
        <v>0</v>
      </c>
      <c r="S61" s="106">
        <f t="shared" si="16"/>
        <v>0</v>
      </c>
      <c r="T61" s="7">
        <v>0</v>
      </c>
      <c r="U61" s="38"/>
      <c r="V61" s="36"/>
      <c r="W61" s="9"/>
      <c r="X61" s="107">
        <f t="shared" si="8"/>
        <v>0</v>
      </c>
      <c r="Y61" s="29">
        <f t="shared" si="9"/>
        <v>0</v>
      </c>
      <c r="Z61" s="25">
        <f t="shared" si="10"/>
        <v>0</v>
      </c>
      <c r="AA61" s="90"/>
      <c r="AB61" s="90"/>
      <c r="AE61" s="89"/>
      <c r="AG61" s="92"/>
    </row>
    <row r="62" spans="1:33" ht="14.25" customHeight="1">
      <c r="A62" s="82">
        <v>57</v>
      </c>
      <c r="B62" s="35"/>
      <c r="C62" s="31"/>
      <c r="D62" s="7"/>
      <c r="E62" s="3">
        <f t="shared" si="11"/>
        <v>30</v>
      </c>
      <c r="F62" s="16"/>
      <c r="G62" s="30"/>
      <c r="H62" s="30"/>
      <c r="I62" s="30"/>
      <c r="J62" s="22"/>
      <c r="K62" s="26">
        <f t="shared" si="12"/>
        <v>0</v>
      </c>
      <c r="L62" s="27">
        <f t="shared" si="13"/>
        <v>0</v>
      </c>
      <c r="M62" s="24">
        <f t="shared" si="14"/>
        <v>0</v>
      </c>
      <c r="N62" s="17">
        <f t="shared" si="4"/>
        <v>0</v>
      </c>
      <c r="O62" s="48">
        <f t="shared" si="5"/>
        <v>0</v>
      </c>
      <c r="P62" s="120"/>
      <c r="Q62" s="50"/>
      <c r="R62" s="106">
        <f t="shared" si="15"/>
        <v>0</v>
      </c>
      <c r="S62" s="106">
        <f t="shared" si="16"/>
        <v>0</v>
      </c>
      <c r="T62" s="7">
        <v>0</v>
      </c>
      <c r="U62" s="38"/>
      <c r="V62" s="36"/>
      <c r="W62" s="9"/>
      <c r="X62" s="107">
        <f t="shared" si="8"/>
        <v>0</v>
      </c>
      <c r="Y62" s="29">
        <f t="shared" si="9"/>
        <v>0</v>
      </c>
      <c r="Z62" s="25">
        <f t="shared" si="10"/>
        <v>0</v>
      </c>
      <c r="AA62" s="90"/>
      <c r="AB62" s="90"/>
      <c r="AE62" s="89"/>
      <c r="AG62" s="92"/>
    </row>
    <row r="63" spans="1:33" ht="14.25" customHeight="1">
      <c r="A63" s="82">
        <v>58</v>
      </c>
      <c r="B63" s="35"/>
      <c r="C63" s="31"/>
      <c r="D63" s="54"/>
      <c r="E63" s="28">
        <f t="shared" si="11"/>
        <v>30</v>
      </c>
      <c r="F63" s="16"/>
      <c r="G63" s="30"/>
      <c r="H63" s="30"/>
      <c r="I63" s="30"/>
      <c r="J63" s="22"/>
      <c r="K63" s="16">
        <f t="shared" si="12"/>
        <v>0</v>
      </c>
      <c r="L63" s="17">
        <f t="shared" si="13"/>
        <v>0</v>
      </c>
      <c r="M63" s="17">
        <f t="shared" si="14"/>
        <v>0</v>
      </c>
      <c r="N63" s="17">
        <f t="shared" si="4"/>
        <v>0</v>
      </c>
      <c r="O63" s="52">
        <f t="shared" si="5"/>
        <v>0</v>
      </c>
      <c r="P63" s="120"/>
      <c r="Q63" s="50"/>
      <c r="R63" s="104">
        <f t="shared" si="15"/>
        <v>0</v>
      </c>
      <c r="S63" s="104">
        <f t="shared" si="16"/>
        <v>0</v>
      </c>
      <c r="T63" s="7">
        <v>0</v>
      </c>
      <c r="U63" s="38"/>
      <c r="V63" s="36"/>
      <c r="W63" s="9"/>
      <c r="X63" s="108">
        <f t="shared" si="8"/>
        <v>0</v>
      </c>
      <c r="Y63" s="29">
        <f t="shared" si="9"/>
        <v>0</v>
      </c>
      <c r="Z63" s="25">
        <f t="shared" si="10"/>
        <v>0</v>
      </c>
      <c r="AA63" s="90"/>
      <c r="AB63" s="90"/>
      <c r="AE63" s="89"/>
      <c r="AG63" s="92"/>
    </row>
    <row r="64" spans="1:33" ht="14.25" customHeight="1">
      <c r="A64" s="13">
        <v>59</v>
      </c>
      <c r="B64" s="35"/>
      <c r="C64" s="77"/>
      <c r="D64" s="54"/>
      <c r="E64" s="28">
        <f t="shared" si="11"/>
        <v>30</v>
      </c>
      <c r="F64" s="30"/>
      <c r="G64" s="30"/>
      <c r="H64" s="30"/>
      <c r="I64" s="17"/>
      <c r="J64" s="22"/>
      <c r="K64" s="16">
        <f>F64*(V64/30)</f>
        <v>0</v>
      </c>
      <c r="L64" s="17">
        <f>G64*(V64/30)</f>
        <v>0</v>
      </c>
      <c r="M64" s="17">
        <f>H64*(V64/30)</f>
        <v>0</v>
      </c>
      <c r="N64" s="17">
        <f t="shared" si="4"/>
        <v>0</v>
      </c>
      <c r="O64" s="52">
        <f>J64*(V64/30/8)</f>
        <v>0</v>
      </c>
      <c r="P64" s="122"/>
      <c r="Q64" s="73"/>
      <c r="R64" s="104">
        <f>(P64*26/100)+(Q64*24/100)</f>
        <v>0</v>
      </c>
      <c r="S64" s="104">
        <f>(P64*14/100)+(Q64*11/100)</f>
        <v>0</v>
      </c>
      <c r="T64" s="6">
        <v>0</v>
      </c>
      <c r="U64" s="53"/>
      <c r="V64" s="64"/>
      <c r="W64" s="53"/>
      <c r="X64" s="108">
        <f>(K64+L64+M64+N64+S64+T64)</f>
        <v>0</v>
      </c>
      <c r="Y64" s="29">
        <f t="shared" si="9"/>
        <v>0</v>
      </c>
      <c r="Z64" s="25">
        <f t="shared" si="10"/>
        <v>0</v>
      </c>
      <c r="AA64" s="90"/>
      <c r="AB64" s="90"/>
      <c r="AE64" s="89"/>
      <c r="AG64" s="92"/>
    </row>
    <row r="65" spans="1:33" ht="14.25" customHeight="1">
      <c r="A65" s="82">
        <v>60</v>
      </c>
      <c r="B65" s="78"/>
      <c r="C65" s="79"/>
      <c r="D65" s="54"/>
      <c r="E65" s="28">
        <f t="shared" si="11"/>
        <v>30</v>
      </c>
      <c r="F65" s="58"/>
      <c r="G65" s="58"/>
      <c r="H65" s="58"/>
      <c r="I65" s="24"/>
      <c r="J65" s="22"/>
      <c r="K65" s="16">
        <f>F65*(V65/30)</f>
        <v>0</v>
      </c>
      <c r="L65" s="17">
        <f>G65*(V65/30)</f>
        <v>0</v>
      </c>
      <c r="M65" s="17">
        <f>H65*(V65/30)</f>
        <v>0</v>
      </c>
      <c r="N65" s="17">
        <f t="shared" si="4"/>
        <v>0</v>
      </c>
      <c r="O65" s="52">
        <f>J65*(V65/30/8)</f>
        <v>0</v>
      </c>
      <c r="P65" s="122"/>
      <c r="Q65" s="80"/>
      <c r="R65" s="106">
        <f>(P65*26/100)+(Q65*24/100)</f>
        <v>0</v>
      </c>
      <c r="S65" s="106">
        <f>(P65*14/100)+(Q65*11/100)</f>
        <v>0</v>
      </c>
      <c r="T65" s="8">
        <v>0</v>
      </c>
      <c r="U65" s="62"/>
      <c r="V65" s="81"/>
      <c r="W65" s="62"/>
      <c r="X65" s="109">
        <f>(K65+L65+M65+N65+S65+T65)</f>
        <v>0</v>
      </c>
      <c r="Y65" s="29">
        <f t="shared" si="9"/>
        <v>0</v>
      </c>
      <c r="Z65" s="25">
        <f t="shared" si="10"/>
        <v>0</v>
      </c>
      <c r="AA65" s="90"/>
      <c r="AB65" s="90"/>
      <c r="AE65" s="89"/>
      <c r="AG65" s="92"/>
    </row>
    <row r="66" spans="1:33" ht="14.25" customHeight="1">
      <c r="A66" s="82">
        <v>61</v>
      </c>
      <c r="B66" s="84"/>
      <c r="C66" s="31"/>
      <c r="D66" s="54"/>
      <c r="E66" s="28">
        <f t="shared" si="11"/>
        <v>30</v>
      </c>
      <c r="F66" s="85"/>
      <c r="G66" s="24"/>
      <c r="H66" s="24"/>
      <c r="I66" s="17"/>
      <c r="J66" s="22"/>
      <c r="K66" s="16">
        <f>F66*(V66/30)</f>
        <v>0</v>
      </c>
      <c r="L66" s="17">
        <f>G66*(V66/30)</f>
        <v>0</v>
      </c>
      <c r="M66" s="17">
        <f>H66*(V66/30)</f>
        <v>0</v>
      </c>
      <c r="N66" s="17">
        <f t="shared" si="4"/>
        <v>0</v>
      </c>
      <c r="O66" s="52">
        <f>J66*(V66/30/8)</f>
        <v>0</v>
      </c>
      <c r="P66" s="122"/>
      <c r="Q66" s="80"/>
      <c r="R66" s="106">
        <f>(P66*26/100)+(Q66*24/100)</f>
        <v>0</v>
      </c>
      <c r="S66" s="112">
        <f>(P66*14/100)+(Q66*11/100)</f>
        <v>0</v>
      </c>
      <c r="T66" s="8">
        <v>0</v>
      </c>
      <c r="U66" s="62"/>
      <c r="V66" s="81"/>
      <c r="W66" s="62"/>
      <c r="X66" s="109">
        <f>(K66+L66+M66+N66+S66+T66)</f>
        <v>0</v>
      </c>
      <c r="Y66" s="34">
        <f t="shared" si="9"/>
        <v>0</v>
      </c>
      <c r="Z66" s="25">
        <f t="shared" si="10"/>
        <v>0</v>
      </c>
      <c r="AA66" s="90"/>
      <c r="AB66" s="90"/>
      <c r="AE66" s="89"/>
      <c r="AG66" s="92"/>
    </row>
    <row r="67" spans="1:33" ht="14.25" customHeight="1">
      <c r="A67" s="82">
        <v>62</v>
      </c>
      <c r="B67" s="4"/>
      <c r="C67" s="41"/>
      <c r="D67" s="54"/>
      <c r="E67" s="3">
        <f t="shared" si="11"/>
        <v>30</v>
      </c>
      <c r="F67" s="16"/>
      <c r="G67" s="17"/>
      <c r="H67" s="17"/>
      <c r="I67" s="17"/>
      <c r="J67" s="22"/>
      <c r="K67" s="16">
        <f t="shared" ref="K67:K84" si="17">F67*(V67/30)</f>
        <v>0</v>
      </c>
      <c r="L67" s="17">
        <f t="shared" ref="L67:L84" si="18">G67*(V67/30)</f>
        <v>0</v>
      </c>
      <c r="M67" s="17">
        <f t="shared" ref="M67:M84" si="19">H67*(V67/30)</f>
        <v>0</v>
      </c>
      <c r="N67" s="17">
        <f t="shared" si="4"/>
        <v>0</v>
      </c>
      <c r="O67" s="52">
        <f t="shared" ref="O67:O84" si="20">J67*(V67/30/8)</f>
        <v>0</v>
      </c>
      <c r="P67" s="122"/>
      <c r="Q67" s="73"/>
      <c r="R67" s="104">
        <f t="shared" ref="R67:R84" si="21">(P67*26/100)+(Q67*24/100)</f>
        <v>0</v>
      </c>
      <c r="S67" s="106">
        <f t="shared" ref="S67:S84" si="22">(P67*14/100)+(Q67*11/100)</f>
        <v>0</v>
      </c>
      <c r="T67" s="6">
        <v>0</v>
      </c>
      <c r="U67" s="53"/>
      <c r="V67" s="64"/>
      <c r="W67" s="53"/>
      <c r="X67" s="109">
        <f t="shared" ref="X67:X84" si="23">(K67+L67+M67+N67+S67+T67)</f>
        <v>0</v>
      </c>
      <c r="Y67" s="34">
        <f t="shared" si="9"/>
        <v>0</v>
      </c>
      <c r="Z67" s="25">
        <f t="shared" si="10"/>
        <v>0</v>
      </c>
      <c r="AA67" s="90"/>
      <c r="AB67" s="90"/>
      <c r="AE67" s="89"/>
      <c r="AG67" s="92"/>
    </row>
    <row r="68" spans="1:33" ht="14.25" customHeight="1">
      <c r="A68" s="13">
        <v>63</v>
      </c>
      <c r="B68" s="4"/>
      <c r="C68" s="77"/>
      <c r="D68" s="54"/>
      <c r="E68" s="3">
        <f t="shared" si="11"/>
        <v>30</v>
      </c>
      <c r="F68" s="16"/>
      <c r="G68" s="17"/>
      <c r="H68" s="17"/>
      <c r="I68" s="17"/>
      <c r="J68" s="12"/>
      <c r="K68" s="16">
        <f t="shared" si="17"/>
        <v>0</v>
      </c>
      <c r="L68" s="17">
        <f t="shared" si="18"/>
        <v>0</v>
      </c>
      <c r="M68" s="17">
        <f t="shared" si="19"/>
        <v>0</v>
      </c>
      <c r="N68" s="17">
        <f t="shared" si="4"/>
        <v>0</v>
      </c>
      <c r="O68" s="52">
        <f t="shared" si="20"/>
        <v>0</v>
      </c>
      <c r="P68" s="122"/>
      <c r="Q68" s="73"/>
      <c r="R68" s="104">
        <f t="shared" si="21"/>
        <v>0</v>
      </c>
      <c r="S68" s="113">
        <f t="shared" si="22"/>
        <v>0</v>
      </c>
      <c r="T68" s="6">
        <v>0</v>
      </c>
      <c r="U68" s="53"/>
      <c r="V68" s="64"/>
      <c r="W68" s="53"/>
      <c r="X68" s="109">
        <f t="shared" si="23"/>
        <v>0</v>
      </c>
      <c r="Y68" s="34">
        <f t="shared" si="9"/>
        <v>0</v>
      </c>
      <c r="Z68" s="25">
        <f t="shared" si="10"/>
        <v>0</v>
      </c>
      <c r="AA68" s="90"/>
      <c r="AB68" s="90"/>
      <c r="AE68" s="89"/>
      <c r="AG68" s="92"/>
    </row>
    <row r="69" spans="1:33" ht="14.25" customHeight="1">
      <c r="A69" s="82">
        <v>64</v>
      </c>
      <c r="B69" s="4"/>
      <c r="C69" s="77"/>
      <c r="D69" s="54"/>
      <c r="E69" s="28">
        <f t="shared" si="11"/>
        <v>30</v>
      </c>
      <c r="F69" s="30"/>
      <c r="G69" s="30"/>
      <c r="H69" s="30"/>
      <c r="I69" s="30"/>
      <c r="J69" s="38"/>
      <c r="K69" s="16">
        <f t="shared" si="17"/>
        <v>0</v>
      </c>
      <c r="L69" s="17">
        <f t="shared" si="18"/>
        <v>0</v>
      </c>
      <c r="M69" s="17">
        <f t="shared" si="19"/>
        <v>0</v>
      </c>
      <c r="N69" s="17">
        <f t="shared" ref="N69:N84" si="24">I69*(V69/30/8/60)</f>
        <v>0</v>
      </c>
      <c r="O69" s="52">
        <f t="shared" si="20"/>
        <v>0</v>
      </c>
      <c r="P69" s="122"/>
      <c r="Q69" s="73"/>
      <c r="R69" s="106">
        <f t="shared" si="21"/>
        <v>0</v>
      </c>
      <c r="S69" s="112">
        <f t="shared" si="22"/>
        <v>0</v>
      </c>
      <c r="T69" s="6">
        <v>0</v>
      </c>
      <c r="U69" s="53"/>
      <c r="V69" s="64"/>
      <c r="W69" s="63"/>
      <c r="X69" s="109">
        <f t="shared" si="23"/>
        <v>0</v>
      </c>
      <c r="Y69" s="34">
        <f t="shared" ref="Y69:Y124" si="25">(V69+O69+U69+W69)-X69</f>
        <v>0</v>
      </c>
      <c r="Z69" s="25">
        <f t="shared" si="10"/>
        <v>0</v>
      </c>
      <c r="AA69" s="90"/>
      <c r="AB69" s="90"/>
      <c r="AE69" s="89"/>
      <c r="AG69" s="92"/>
    </row>
    <row r="70" spans="1:33" ht="14.25" customHeight="1">
      <c r="A70" s="82">
        <v>65</v>
      </c>
      <c r="B70" s="4"/>
      <c r="C70" s="77"/>
      <c r="D70" s="54"/>
      <c r="E70" s="28">
        <f t="shared" si="11"/>
        <v>30</v>
      </c>
      <c r="F70" s="30"/>
      <c r="G70" s="30"/>
      <c r="H70" s="30"/>
      <c r="I70" s="30"/>
      <c r="J70" s="38"/>
      <c r="K70" s="16">
        <f t="shared" si="17"/>
        <v>0</v>
      </c>
      <c r="L70" s="17">
        <f t="shared" si="18"/>
        <v>0</v>
      </c>
      <c r="M70" s="17">
        <f t="shared" si="19"/>
        <v>0</v>
      </c>
      <c r="N70" s="17">
        <f t="shared" si="24"/>
        <v>0</v>
      </c>
      <c r="O70" s="52">
        <f t="shared" si="20"/>
        <v>0</v>
      </c>
      <c r="P70" s="122"/>
      <c r="Q70" s="73"/>
      <c r="R70" s="106">
        <f t="shared" si="21"/>
        <v>0</v>
      </c>
      <c r="S70" s="112">
        <f t="shared" si="22"/>
        <v>0</v>
      </c>
      <c r="T70" s="6">
        <v>0</v>
      </c>
      <c r="U70" s="53"/>
      <c r="V70" s="64"/>
      <c r="W70" s="63"/>
      <c r="X70" s="109">
        <f t="shared" si="23"/>
        <v>0</v>
      </c>
      <c r="Y70" s="34">
        <f t="shared" si="25"/>
        <v>0</v>
      </c>
      <c r="Z70" s="25">
        <f t="shared" ref="Z70:Z84" si="26">MROUND(Y70,5)</f>
        <v>0</v>
      </c>
      <c r="AA70" s="90"/>
      <c r="AB70" s="90"/>
      <c r="AE70" s="89"/>
      <c r="AG70" s="92"/>
    </row>
    <row r="71" spans="1:33" ht="14.25" customHeight="1">
      <c r="A71" s="82">
        <v>66</v>
      </c>
      <c r="B71" s="4"/>
      <c r="C71" s="77"/>
      <c r="D71" s="54"/>
      <c r="E71" s="28">
        <f t="shared" si="11"/>
        <v>30</v>
      </c>
      <c r="F71" s="30"/>
      <c r="G71" s="30"/>
      <c r="H71" s="30"/>
      <c r="I71" s="30"/>
      <c r="J71" s="38"/>
      <c r="K71" s="16">
        <f t="shared" si="17"/>
        <v>0</v>
      </c>
      <c r="L71" s="17">
        <f t="shared" si="18"/>
        <v>0</v>
      </c>
      <c r="M71" s="17">
        <f t="shared" si="19"/>
        <v>0</v>
      </c>
      <c r="N71" s="17">
        <f t="shared" si="24"/>
        <v>0</v>
      </c>
      <c r="O71" s="52">
        <f t="shared" si="20"/>
        <v>0</v>
      </c>
      <c r="P71" s="122"/>
      <c r="Q71" s="73"/>
      <c r="R71" s="106">
        <f t="shared" si="21"/>
        <v>0</v>
      </c>
      <c r="S71" s="112">
        <f t="shared" si="22"/>
        <v>0</v>
      </c>
      <c r="T71" s="6">
        <v>0</v>
      </c>
      <c r="U71" s="53"/>
      <c r="V71" s="64"/>
      <c r="W71" s="63"/>
      <c r="X71" s="109">
        <f t="shared" si="23"/>
        <v>0</v>
      </c>
      <c r="Y71" s="34">
        <f t="shared" si="25"/>
        <v>0</v>
      </c>
      <c r="Z71" s="25">
        <f t="shared" si="26"/>
        <v>0</v>
      </c>
      <c r="AA71" s="90"/>
      <c r="AB71" s="90"/>
      <c r="AE71" s="89"/>
      <c r="AG71" s="92"/>
    </row>
    <row r="72" spans="1:33" ht="14.25" customHeight="1">
      <c r="A72" s="13">
        <v>67</v>
      </c>
      <c r="B72" s="4"/>
      <c r="C72" s="77"/>
      <c r="D72" s="54"/>
      <c r="E72" s="28">
        <f t="shared" si="11"/>
        <v>30</v>
      </c>
      <c r="F72" s="30"/>
      <c r="G72" s="30"/>
      <c r="H72" s="30"/>
      <c r="I72" s="30"/>
      <c r="J72" s="38"/>
      <c r="K72" s="16">
        <f t="shared" si="17"/>
        <v>0</v>
      </c>
      <c r="L72" s="17">
        <f t="shared" si="18"/>
        <v>0</v>
      </c>
      <c r="M72" s="17">
        <f t="shared" si="19"/>
        <v>0</v>
      </c>
      <c r="N72" s="17">
        <f t="shared" si="24"/>
        <v>0</v>
      </c>
      <c r="O72" s="52">
        <f t="shared" si="20"/>
        <v>0</v>
      </c>
      <c r="P72" s="122"/>
      <c r="Q72" s="73"/>
      <c r="R72" s="106">
        <f t="shared" si="21"/>
        <v>0</v>
      </c>
      <c r="S72" s="112">
        <f t="shared" si="22"/>
        <v>0</v>
      </c>
      <c r="T72" s="6">
        <v>0</v>
      </c>
      <c r="U72" s="53"/>
      <c r="V72" s="64"/>
      <c r="W72" s="63"/>
      <c r="X72" s="109">
        <f t="shared" si="23"/>
        <v>0</v>
      </c>
      <c r="Y72" s="34">
        <f t="shared" si="25"/>
        <v>0</v>
      </c>
      <c r="Z72" s="25">
        <f t="shared" si="26"/>
        <v>0</v>
      </c>
      <c r="AA72" s="90"/>
      <c r="AB72" s="90"/>
      <c r="AE72" s="89"/>
      <c r="AG72" s="92"/>
    </row>
    <row r="73" spans="1:33" ht="14.25" customHeight="1">
      <c r="A73" s="82">
        <v>68</v>
      </c>
      <c r="B73" s="4"/>
      <c r="C73" s="77"/>
      <c r="D73" s="7"/>
      <c r="E73" s="28">
        <f t="shared" si="11"/>
        <v>30</v>
      </c>
      <c r="F73" s="30"/>
      <c r="G73" s="30"/>
      <c r="H73" s="30"/>
      <c r="I73" s="30"/>
      <c r="J73" s="38"/>
      <c r="K73" s="16">
        <f t="shared" si="17"/>
        <v>0</v>
      </c>
      <c r="L73" s="17">
        <f t="shared" si="18"/>
        <v>0</v>
      </c>
      <c r="M73" s="17">
        <f t="shared" si="19"/>
        <v>0</v>
      </c>
      <c r="N73" s="17">
        <f t="shared" si="24"/>
        <v>0</v>
      </c>
      <c r="O73" s="52">
        <f t="shared" si="20"/>
        <v>0</v>
      </c>
      <c r="P73" s="122"/>
      <c r="Q73" s="73"/>
      <c r="R73" s="106">
        <f t="shared" si="21"/>
        <v>0</v>
      </c>
      <c r="S73" s="112">
        <f t="shared" si="22"/>
        <v>0</v>
      </c>
      <c r="T73" s="6">
        <v>0</v>
      </c>
      <c r="U73" s="53"/>
      <c r="V73" s="64"/>
      <c r="W73" s="63"/>
      <c r="X73" s="109">
        <f t="shared" si="23"/>
        <v>0</v>
      </c>
      <c r="Y73" s="34">
        <f t="shared" si="25"/>
        <v>0</v>
      </c>
      <c r="Z73" s="25">
        <f t="shared" si="26"/>
        <v>0</v>
      </c>
      <c r="AA73" s="90"/>
      <c r="AB73" s="90"/>
      <c r="AE73" s="89"/>
      <c r="AG73" s="92"/>
    </row>
    <row r="74" spans="1:33" ht="14.25" customHeight="1">
      <c r="A74" s="82">
        <v>69</v>
      </c>
      <c r="B74" s="5"/>
      <c r="C74" s="79"/>
      <c r="D74" s="54"/>
      <c r="E74" s="28">
        <f t="shared" si="11"/>
        <v>30</v>
      </c>
      <c r="F74" s="16"/>
      <c r="G74" s="30"/>
      <c r="H74" s="30"/>
      <c r="I74" s="30"/>
      <c r="J74" s="38"/>
      <c r="K74" s="16">
        <f t="shared" si="17"/>
        <v>0</v>
      </c>
      <c r="L74" s="17">
        <f t="shared" si="18"/>
        <v>0</v>
      </c>
      <c r="M74" s="17">
        <f t="shared" si="19"/>
        <v>0</v>
      </c>
      <c r="N74" s="17">
        <f t="shared" si="24"/>
        <v>0</v>
      </c>
      <c r="O74" s="52">
        <f t="shared" si="20"/>
        <v>0</v>
      </c>
      <c r="P74" s="122"/>
      <c r="Q74" s="73"/>
      <c r="R74" s="104">
        <f t="shared" si="21"/>
        <v>0</v>
      </c>
      <c r="S74" s="112">
        <f t="shared" si="22"/>
        <v>0</v>
      </c>
      <c r="T74" s="7">
        <v>0</v>
      </c>
      <c r="U74" s="62"/>
      <c r="V74" s="36"/>
      <c r="W74" s="98"/>
      <c r="X74" s="109">
        <f t="shared" si="23"/>
        <v>0</v>
      </c>
      <c r="Y74" s="34">
        <f t="shared" si="25"/>
        <v>0</v>
      </c>
      <c r="Z74" s="25">
        <f t="shared" si="26"/>
        <v>0</v>
      </c>
      <c r="AA74" s="90"/>
      <c r="AB74" s="90"/>
      <c r="AE74" s="89"/>
      <c r="AG74" s="92"/>
    </row>
    <row r="75" spans="1:33" ht="14.25" customHeight="1">
      <c r="A75" s="82">
        <v>70</v>
      </c>
      <c r="B75" s="5"/>
      <c r="C75" s="32"/>
      <c r="D75" s="101"/>
      <c r="E75" s="28">
        <f t="shared" si="11"/>
        <v>30</v>
      </c>
      <c r="F75" s="65"/>
      <c r="G75" s="24"/>
      <c r="H75" s="66"/>
      <c r="I75" s="24"/>
      <c r="J75" s="60"/>
      <c r="K75" s="16">
        <f t="shared" si="17"/>
        <v>0</v>
      </c>
      <c r="L75" s="17">
        <f t="shared" si="18"/>
        <v>0</v>
      </c>
      <c r="M75" s="17">
        <f t="shared" si="19"/>
        <v>0</v>
      </c>
      <c r="N75" s="17">
        <f t="shared" si="24"/>
        <v>0</v>
      </c>
      <c r="O75" s="52">
        <f t="shared" si="20"/>
        <v>0</v>
      </c>
      <c r="P75" s="122"/>
      <c r="Q75" s="80"/>
      <c r="R75" s="106">
        <f t="shared" si="21"/>
        <v>0</v>
      </c>
      <c r="S75" s="112">
        <f t="shared" si="22"/>
        <v>0</v>
      </c>
      <c r="T75" s="83">
        <v>0</v>
      </c>
      <c r="U75" s="9"/>
      <c r="V75" s="61"/>
      <c r="W75" s="28"/>
      <c r="X75" s="106">
        <f t="shared" si="23"/>
        <v>0</v>
      </c>
      <c r="Y75" s="34">
        <f t="shared" si="25"/>
        <v>0</v>
      </c>
      <c r="Z75" s="25">
        <f t="shared" si="26"/>
        <v>0</v>
      </c>
      <c r="AA75" s="90"/>
      <c r="AB75" s="90"/>
      <c r="AE75" s="89"/>
      <c r="AG75" s="92"/>
    </row>
    <row r="76" spans="1:33" ht="14.25" customHeight="1">
      <c r="A76" s="13">
        <v>71</v>
      </c>
      <c r="B76" s="86"/>
      <c r="C76" s="31"/>
      <c r="D76" s="54"/>
      <c r="E76" s="3">
        <f t="shared" si="11"/>
        <v>30</v>
      </c>
      <c r="F76" s="30"/>
      <c r="G76" s="30"/>
      <c r="H76" s="30"/>
      <c r="I76" s="30"/>
      <c r="J76" s="38"/>
      <c r="K76" s="16">
        <f t="shared" si="17"/>
        <v>0</v>
      </c>
      <c r="L76" s="17">
        <f t="shared" si="18"/>
        <v>0</v>
      </c>
      <c r="M76" s="17">
        <f t="shared" si="19"/>
        <v>0</v>
      </c>
      <c r="N76" s="17">
        <f t="shared" si="24"/>
        <v>0</v>
      </c>
      <c r="O76" s="52">
        <f t="shared" si="20"/>
        <v>0</v>
      </c>
      <c r="P76" s="122"/>
      <c r="Q76" s="73"/>
      <c r="R76" s="104">
        <f t="shared" si="21"/>
        <v>0</v>
      </c>
      <c r="S76" s="113">
        <f t="shared" si="22"/>
        <v>0</v>
      </c>
      <c r="T76" s="6">
        <v>0</v>
      </c>
      <c r="U76" s="7"/>
      <c r="V76" s="64"/>
      <c r="W76" s="3"/>
      <c r="X76" s="104">
        <f t="shared" si="23"/>
        <v>0</v>
      </c>
      <c r="Y76" s="29">
        <f t="shared" si="25"/>
        <v>0</v>
      </c>
      <c r="Z76" s="25">
        <f t="shared" si="26"/>
        <v>0</v>
      </c>
      <c r="AA76" s="90"/>
      <c r="AB76" s="90"/>
      <c r="AE76" s="89"/>
      <c r="AG76" s="92"/>
    </row>
    <row r="77" spans="1:33" ht="14.25" customHeight="1">
      <c r="A77" s="82">
        <v>72</v>
      </c>
      <c r="B77" s="4"/>
      <c r="C77" s="31"/>
      <c r="D77" s="54"/>
      <c r="E77" s="3">
        <f t="shared" si="11"/>
        <v>30</v>
      </c>
      <c r="F77" s="30"/>
      <c r="G77" s="17"/>
      <c r="H77" s="30"/>
      <c r="I77" s="30"/>
      <c r="J77" s="38"/>
      <c r="K77" s="16">
        <f t="shared" si="17"/>
        <v>0</v>
      </c>
      <c r="L77" s="17">
        <f t="shared" si="18"/>
        <v>0</v>
      </c>
      <c r="M77" s="17">
        <f t="shared" si="19"/>
        <v>0</v>
      </c>
      <c r="N77" s="17">
        <f t="shared" si="24"/>
        <v>0</v>
      </c>
      <c r="O77" s="52">
        <f t="shared" si="20"/>
        <v>0</v>
      </c>
      <c r="P77" s="122"/>
      <c r="Q77" s="114"/>
      <c r="R77" s="106">
        <f t="shared" si="21"/>
        <v>0</v>
      </c>
      <c r="S77" s="106">
        <f t="shared" si="22"/>
        <v>0</v>
      </c>
      <c r="T77" s="7">
        <v>0</v>
      </c>
      <c r="U77" s="9"/>
      <c r="V77" s="36"/>
      <c r="W77" s="28"/>
      <c r="X77" s="106">
        <f t="shared" si="23"/>
        <v>0</v>
      </c>
      <c r="Y77" s="34">
        <f t="shared" si="25"/>
        <v>0</v>
      </c>
      <c r="Z77" s="25">
        <f t="shared" si="26"/>
        <v>0</v>
      </c>
      <c r="AA77" s="90"/>
      <c r="AB77" s="90"/>
      <c r="AE77" s="89"/>
      <c r="AG77" s="92"/>
    </row>
    <row r="78" spans="1:33" ht="14.25" customHeight="1">
      <c r="A78" s="82">
        <v>73</v>
      </c>
      <c r="B78" s="5"/>
      <c r="C78" s="32"/>
      <c r="D78" s="54"/>
      <c r="E78" s="65">
        <f t="shared" si="11"/>
        <v>30</v>
      </c>
      <c r="F78" s="26"/>
      <c r="G78" s="66"/>
      <c r="H78" s="72"/>
      <c r="I78" s="72"/>
      <c r="J78" s="60"/>
      <c r="K78" s="26">
        <f t="shared" si="17"/>
        <v>0</v>
      </c>
      <c r="L78" s="24">
        <f t="shared" si="18"/>
        <v>0</v>
      </c>
      <c r="M78" s="24">
        <f t="shared" si="19"/>
        <v>0</v>
      </c>
      <c r="N78" s="24">
        <f t="shared" si="24"/>
        <v>0</v>
      </c>
      <c r="O78" s="48">
        <f t="shared" si="20"/>
        <v>0</v>
      </c>
      <c r="P78" s="122"/>
      <c r="Q78" s="59"/>
      <c r="R78" s="106">
        <f t="shared" si="21"/>
        <v>0</v>
      </c>
      <c r="S78" s="106">
        <f t="shared" si="22"/>
        <v>0</v>
      </c>
      <c r="T78" s="67">
        <v>0</v>
      </c>
      <c r="U78" s="9"/>
      <c r="V78" s="61"/>
      <c r="W78" s="28"/>
      <c r="X78" s="106">
        <f t="shared" si="23"/>
        <v>0</v>
      </c>
      <c r="Y78" s="34">
        <f t="shared" si="25"/>
        <v>0</v>
      </c>
      <c r="Z78" s="25">
        <f t="shared" si="26"/>
        <v>0</v>
      </c>
      <c r="AA78" s="90"/>
      <c r="AB78" s="90"/>
      <c r="AE78" s="89"/>
      <c r="AG78" s="92"/>
    </row>
    <row r="79" spans="1:33" ht="14.25" customHeight="1">
      <c r="A79" s="82">
        <v>74</v>
      </c>
      <c r="B79" s="4"/>
      <c r="C79" s="41"/>
      <c r="D79" s="54"/>
      <c r="E79" s="3">
        <f t="shared" si="11"/>
        <v>30</v>
      </c>
      <c r="F79" s="30"/>
      <c r="G79" s="30"/>
      <c r="H79" s="30"/>
      <c r="I79" s="30"/>
      <c r="J79" s="38"/>
      <c r="K79" s="16">
        <f t="shared" si="17"/>
        <v>0</v>
      </c>
      <c r="L79" s="17">
        <f t="shared" si="18"/>
        <v>0</v>
      </c>
      <c r="M79" s="17">
        <f t="shared" si="19"/>
        <v>0</v>
      </c>
      <c r="N79" s="17">
        <f t="shared" si="24"/>
        <v>0</v>
      </c>
      <c r="O79" s="52">
        <f t="shared" si="20"/>
        <v>0</v>
      </c>
      <c r="P79" s="122"/>
      <c r="Q79" s="73"/>
      <c r="R79" s="104">
        <f t="shared" si="21"/>
        <v>0</v>
      </c>
      <c r="S79" s="104">
        <f t="shared" si="22"/>
        <v>0</v>
      </c>
      <c r="T79" s="53">
        <v>0</v>
      </c>
      <c r="U79" s="7"/>
      <c r="V79" s="64"/>
      <c r="W79" s="3"/>
      <c r="X79" s="104">
        <f t="shared" si="23"/>
        <v>0</v>
      </c>
      <c r="Y79" s="29">
        <f t="shared" si="25"/>
        <v>0</v>
      </c>
      <c r="Z79" s="25">
        <f t="shared" si="26"/>
        <v>0</v>
      </c>
      <c r="AA79" s="90"/>
      <c r="AB79" s="90"/>
      <c r="AE79" s="89"/>
      <c r="AG79" s="92"/>
    </row>
    <row r="80" spans="1:33" ht="14.25" customHeight="1">
      <c r="A80" s="13">
        <v>75</v>
      </c>
      <c r="B80" s="5"/>
      <c r="C80" s="100"/>
      <c r="D80" s="54"/>
      <c r="E80" s="28">
        <f t="shared" si="11"/>
        <v>30</v>
      </c>
      <c r="F80" s="58"/>
      <c r="G80" s="58"/>
      <c r="H80" s="58"/>
      <c r="I80" s="58"/>
      <c r="J80" s="47"/>
      <c r="K80" s="26">
        <f t="shared" si="17"/>
        <v>0</v>
      </c>
      <c r="L80" s="24">
        <f t="shared" si="18"/>
        <v>0</v>
      </c>
      <c r="M80" s="24">
        <f t="shared" si="19"/>
        <v>0</v>
      </c>
      <c r="N80" s="24">
        <f t="shared" si="24"/>
        <v>0</v>
      </c>
      <c r="O80" s="48">
        <f t="shared" si="20"/>
        <v>0</v>
      </c>
      <c r="P80" s="122"/>
      <c r="Q80" s="80"/>
      <c r="R80" s="106">
        <f t="shared" si="21"/>
        <v>0</v>
      </c>
      <c r="S80" s="106">
        <f t="shared" si="22"/>
        <v>0</v>
      </c>
      <c r="T80" s="62">
        <v>0</v>
      </c>
      <c r="U80" s="9"/>
      <c r="V80" s="81"/>
      <c r="W80" s="28"/>
      <c r="X80" s="106">
        <f t="shared" si="23"/>
        <v>0</v>
      </c>
      <c r="Y80" s="34">
        <f t="shared" si="25"/>
        <v>0</v>
      </c>
      <c r="Z80" s="25">
        <f t="shared" si="26"/>
        <v>0</v>
      </c>
      <c r="AA80" s="90"/>
      <c r="AB80" s="90"/>
      <c r="AE80" s="89"/>
      <c r="AG80" s="92"/>
    </row>
    <row r="81" spans="1:33" ht="14.25" customHeight="1">
      <c r="A81" s="82">
        <v>76</v>
      </c>
      <c r="B81" s="57"/>
      <c r="C81" s="31"/>
      <c r="D81" s="102"/>
      <c r="E81" s="3">
        <f t="shared" si="11"/>
        <v>30</v>
      </c>
      <c r="F81" s="16"/>
      <c r="G81" s="30"/>
      <c r="H81" s="30"/>
      <c r="I81" s="30"/>
      <c r="J81" s="38"/>
      <c r="K81" s="16">
        <f t="shared" si="17"/>
        <v>0</v>
      </c>
      <c r="L81" s="17">
        <f t="shared" si="18"/>
        <v>0</v>
      </c>
      <c r="M81" s="17">
        <f t="shared" si="19"/>
        <v>0</v>
      </c>
      <c r="N81" s="17">
        <f t="shared" si="24"/>
        <v>0</v>
      </c>
      <c r="O81" s="52">
        <f t="shared" si="20"/>
        <v>0</v>
      </c>
      <c r="P81" s="122"/>
      <c r="Q81" s="73"/>
      <c r="R81" s="104">
        <f t="shared" si="21"/>
        <v>0</v>
      </c>
      <c r="S81" s="104">
        <f t="shared" si="22"/>
        <v>0</v>
      </c>
      <c r="T81" s="53">
        <v>0</v>
      </c>
      <c r="U81" s="7"/>
      <c r="V81" s="81"/>
      <c r="W81" s="3"/>
      <c r="X81" s="104">
        <f t="shared" si="23"/>
        <v>0</v>
      </c>
      <c r="Y81" s="29">
        <f t="shared" si="25"/>
        <v>0</v>
      </c>
      <c r="Z81" s="25">
        <f t="shared" si="26"/>
        <v>0</v>
      </c>
      <c r="AA81" s="90"/>
      <c r="AB81" s="90"/>
      <c r="AE81" s="89"/>
      <c r="AG81" s="92"/>
    </row>
    <row r="82" spans="1:33" ht="14.25" customHeight="1">
      <c r="A82" s="82">
        <v>77</v>
      </c>
      <c r="B82" s="57"/>
      <c r="C82" s="31"/>
      <c r="D82" s="54"/>
      <c r="E82" s="3">
        <f t="shared" si="11"/>
        <v>30</v>
      </c>
      <c r="F82" s="16"/>
      <c r="G82" s="30"/>
      <c r="H82" s="30"/>
      <c r="I82" s="30"/>
      <c r="J82" s="38"/>
      <c r="K82" s="16">
        <f t="shared" si="17"/>
        <v>0</v>
      </c>
      <c r="L82" s="17">
        <f t="shared" si="18"/>
        <v>0</v>
      </c>
      <c r="M82" s="17">
        <f t="shared" si="19"/>
        <v>0</v>
      </c>
      <c r="N82" s="17">
        <f t="shared" si="24"/>
        <v>0</v>
      </c>
      <c r="O82" s="52">
        <f t="shared" si="20"/>
        <v>0</v>
      </c>
      <c r="P82" s="122"/>
      <c r="Q82" s="73"/>
      <c r="R82" s="104">
        <f t="shared" si="21"/>
        <v>0</v>
      </c>
      <c r="S82" s="104">
        <f t="shared" si="22"/>
        <v>0</v>
      </c>
      <c r="T82" s="53">
        <v>0</v>
      </c>
      <c r="U82" s="7"/>
      <c r="V82" s="36"/>
      <c r="W82" s="3"/>
      <c r="X82" s="104">
        <f t="shared" si="23"/>
        <v>0</v>
      </c>
      <c r="Y82" s="29">
        <f t="shared" si="25"/>
        <v>0</v>
      </c>
      <c r="Z82" s="25">
        <f t="shared" si="26"/>
        <v>0</v>
      </c>
      <c r="AA82" s="90"/>
      <c r="AB82" s="90"/>
      <c r="AE82" s="89"/>
      <c r="AG82" s="92"/>
    </row>
    <row r="83" spans="1:33" ht="14.25" customHeight="1">
      <c r="A83" s="82">
        <v>78</v>
      </c>
      <c r="B83" s="57"/>
      <c r="C83" s="31"/>
      <c r="D83" s="54"/>
      <c r="E83" s="3">
        <f t="shared" si="11"/>
        <v>30</v>
      </c>
      <c r="F83" s="16"/>
      <c r="G83" s="30"/>
      <c r="H83" s="30"/>
      <c r="I83" s="30"/>
      <c r="J83" s="38"/>
      <c r="K83" s="16">
        <f t="shared" si="17"/>
        <v>0</v>
      </c>
      <c r="L83" s="17">
        <f t="shared" si="18"/>
        <v>0</v>
      </c>
      <c r="M83" s="17">
        <f t="shared" si="19"/>
        <v>0</v>
      </c>
      <c r="N83" s="17">
        <f t="shared" si="24"/>
        <v>0</v>
      </c>
      <c r="O83" s="52">
        <f t="shared" si="20"/>
        <v>0</v>
      </c>
      <c r="P83" s="122"/>
      <c r="Q83" s="73"/>
      <c r="R83" s="104">
        <f t="shared" si="21"/>
        <v>0</v>
      </c>
      <c r="S83" s="104">
        <f t="shared" si="22"/>
        <v>0</v>
      </c>
      <c r="T83" s="53">
        <v>0</v>
      </c>
      <c r="U83" s="7"/>
      <c r="V83" s="64"/>
      <c r="W83" s="3"/>
      <c r="X83" s="104">
        <f t="shared" si="23"/>
        <v>0</v>
      </c>
      <c r="Y83" s="29">
        <f t="shared" si="25"/>
        <v>0</v>
      </c>
      <c r="Z83" s="25">
        <f t="shared" si="26"/>
        <v>0</v>
      </c>
      <c r="AA83" s="90"/>
      <c r="AB83" s="90"/>
      <c r="AE83" s="89"/>
      <c r="AG83" s="92"/>
    </row>
    <row r="84" spans="1:33" ht="14.25" customHeight="1">
      <c r="A84" s="149">
        <v>79</v>
      </c>
      <c r="B84" s="57"/>
      <c r="C84" s="32"/>
      <c r="D84" s="102"/>
      <c r="E84" s="28">
        <f t="shared" si="11"/>
        <v>30</v>
      </c>
      <c r="F84" s="26"/>
      <c r="G84" s="58"/>
      <c r="H84" s="58"/>
      <c r="I84" s="58"/>
      <c r="J84" s="47"/>
      <c r="K84" s="26">
        <f t="shared" si="17"/>
        <v>0</v>
      </c>
      <c r="L84" s="24">
        <f t="shared" si="18"/>
        <v>0</v>
      </c>
      <c r="M84" s="24">
        <f t="shared" si="19"/>
        <v>0</v>
      </c>
      <c r="N84" s="24">
        <f t="shared" si="24"/>
        <v>0</v>
      </c>
      <c r="O84" s="48">
        <f t="shared" si="20"/>
        <v>0</v>
      </c>
      <c r="P84" s="150"/>
      <c r="Q84" s="80"/>
      <c r="R84" s="106">
        <f t="shared" si="21"/>
        <v>0</v>
      </c>
      <c r="S84" s="106">
        <f t="shared" si="22"/>
        <v>0</v>
      </c>
      <c r="T84" s="62">
        <v>0</v>
      </c>
      <c r="U84" s="9"/>
      <c r="V84" s="81"/>
      <c r="W84" s="28"/>
      <c r="X84" s="106">
        <f t="shared" si="23"/>
        <v>0</v>
      </c>
      <c r="Y84" s="34">
        <f t="shared" si="25"/>
        <v>0</v>
      </c>
      <c r="Z84" s="151">
        <f t="shared" si="26"/>
        <v>0</v>
      </c>
      <c r="AA84" s="90"/>
      <c r="AB84" s="90"/>
      <c r="AE84" s="89"/>
      <c r="AG84" s="92"/>
    </row>
    <row r="85" spans="1:33" ht="15" customHeight="1">
      <c r="A85" s="13">
        <v>80</v>
      </c>
      <c r="B85" s="4"/>
      <c r="C85" s="31"/>
      <c r="D85" s="54"/>
      <c r="E85" s="3">
        <f t="shared" ref="E85:E124" si="27">30-(F85+G85)</f>
        <v>30</v>
      </c>
      <c r="F85" s="16"/>
      <c r="G85" s="30"/>
      <c r="H85" s="30"/>
      <c r="I85" s="30"/>
      <c r="J85" s="38"/>
      <c r="K85" s="16">
        <f t="shared" ref="K85:K124" si="28">F85*(V85/30)</f>
        <v>0</v>
      </c>
      <c r="L85" s="17">
        <f t="shared" ref="L85:L124" si="29">G85*(V85/30)</f>
        <v>0</v>
      </c>
      <c r="M85" s="17">
        <f t="shared" ref="M85:M124" si="30">H85*(V85/30)</f>
        <v>0</v>
      </c>
      <c r="N85" s="17">
        <f t="shared" ref="N85:N124" si="31">I85*(V85/30/8/60)</f>
        <v>0</v>
      </c>
      <c r="O85" s="52">
        <f t="shared" ref="O85:O124" si="32">J85*(V85/30/8)</f>
        <v>0</v>
      </c>
      <c r="P85" s="122"/>
      <c r="Q85" s="73"/>
      <c r="R85" s="104">
        <f t="shared" ref="R85:R124" si="33">(P85*26/100)+(Q85*24/100)</f>
        <v>0</v>
      </c>
      <c r="S85" s="104">
        <f t="shared" ref="S85:S124" si="34">(P85*14/100)+(Q85*11/100)</f>
        <v>0</v>
      </c>
      <c r="T85" s="53">
        <v>0</v>
      </c>
      <c r="U85" s="7"/>
      <c r="V85" s="64"/>
      <c r="W85" s="3"/>
      <c r="X85" s="104">
        <f t="shared" ref="X85:X124" si="35">(K85+L85+M85+N85+S85+T85)</f>
        <v>0</v>
      </c>
      <c r="Y85" s="29">
        <f t="shared" si="25"/>
        <v>0</v>
      </c>
      <c r="Z85" s="25">
        <f t="shared" ref="Z85:Z124" si="36">MROUND(Y85,5)</f>
        <v>0</v>
      </c>
      <c r="AA85" s="94"/>
      <c r="AB85" s="90"/>
      <c r="AE85" s="89"/>
    </row>
    <row r="86" spans="1:33" ht="15" customHeight="1">
      <c r="A86" s="13">
        <v>81</v>
      </c>
      <c r="B86" s="4"/>
      <c r="C86" s="31"/>
      <c r="D86" s="54"/>
      <c r="E86" s="3">
        <f t="shared" si="27"/>
        <v>30</v>
      </c>
      <c r="F86" s="16"/>
      <c r="G86" s="30"/>
      <c r="H86" s="30"/>
      <c r="I86" s="30"/>
      <c r="J86" s="38"/>
      <c r="K86" s="16">
        <f t="shared" si="28"/>
        <v>0</v>
      </c>
      <c r="L86" s="17">
        <f t="shared" si="29"/>
        <v>0</v>
      </c>
      <c r="M86" s="17">
        <f t="shared" si="30"/>
        <v>0</v>
      </c>
      <c r="N86" s="17">
        <f t="shared" si="31"/>
        <v>0</v>
      </c>
      <c r="O86" s="52">
        <f t="shared" si="32"/>
        <v>0</v>
      </c>
      <c r="P86" s="122"/>
      <c r="Q86" s="73"/>
      <c r="R86" s="104">
        <f t="shared" si="33"/>
        <v>0</v>
      </c>
      <c r="S86" s="104">
        <f t="shared" si="34"/>
        <v>0</v>
      </c>
      <c r="T86" s="53">
        <v>0</v>
      </c>
      <c r="U86" s="7"/>
      <c r="V86" s="64"/>
      <c r="W86" s="3"/>
      <c r="X86" s="104">
        <f t="shared" si="35"/>
        <v>0</v>
      </c>
      <c r="Y86" s="29">
        <f t="shared" si="25"/>
        <v>0</v>
      </c>
      <c r="Z86" s="25">
        <f t="shared" si="36"/>
        <v>0</v>
      </c>
      <c r="AA86" s="90"/>
      <c r="AB86" s="90"/>
      <c r="AE86" s="89"/>
    </row>
    <row r="87" spans="1:33" ht="14.25" customHeight="1">
      <c r="A87" s="13">
        <v>82</v>
      </c>
      <c r="B87" s="4"/>
      <c r="C87" s="31"/>
      <c r="D87" s="54"/>
      <c r="E87" s="3">
        <f t="shared" si="27"/>
        <v>30</v>
      </c>
      <c r="F87" s="16"/>
      <c r="G87" s="30"/>
      <c r="H87" s="30"/>
      <c r="I87" s="30"/>
      <c r="J87" s="38"/>
      <c r="K87" s="16">
        <f t="shared" si="28"/>
        <v>0</v>
      </c>
      <c r="L87" s="17">
        <f t="shared" si="29"/>
        <v>0</v>
      </c>
      <c r="M87" s="17">
        <f t="shared" si="30"/>
        <v>0</v>
      </c>
      <c r="N87" s="17">
        <f t="shared" si="31"/>
        <v>0</v>
      </c>
      <c r="O87" s="52">
        <f t="shared" si="32"/>
        <v>0</v>
      </c>
      <c r="P87" s="122"/>
      <c r="Q87" s="73"/>
      <c r="R87" s="104">
        <f t="shared" si="33"/>
        <v>0</v>
      </c>
      <c r="S87" s="104">
        <f t="shared" si="34"/>
        <v>0</v>
      </c>
      <c r="T87" s="53">
        <v>0</v>
      </c>
      <c r="U87" s="7"/>
      <c r="V87" s="64"/>
      <c r="W87" s="3"/>
      <c r="X87" s="104">
        <f t="shared" si="35"/>
        <v>0</v>
      </c>
      <c r="Y87" s="29">
        <f t="shared" si="25"/>
        <v>0</v>
      </c>
      <c r="Z87" s="25">
        <f t="shared" si="36"/>
        <v>0</v>
      </c>
    </row>
    <row r="88" spans="1:33" ht="15" customHeight="1">
      <c r="A88" s="13">
        <v>83</v>
      </c>
      <c r="B88" s="4"/>
      <c r="C88" s="31"/>
      <c r="D88" s="54"/>
      <c r="E88" s="3">
        <f t="shared" si="27"/>
        <v>30</v>
      </c>
      <c r="F88" s="16"/>
      <c r="G88" s="30"/>
      <c r="H88" s="30"/>
      <c r="I88" s="30"/>
      <c r="J88" s="38"/>
      <c r="K88" s="16">
        <f t="shared" si="28"/>
        <v>0</v>
      </c>
      <c r="L88" s="17">
        <f t="shared" si="29"/>
        <v>0</v>
      </c>
      <c r="M88" s="17">
        <f t="shared" si="30"/>
        <v>0</v>
      </c>
      <c r="N88" s="17">
        <f t="shared" si="31"/>
        <v>0</v>
      </c>
      <c r="O88" s="52">
        <f t="shared" si="32"/>
        <v>0</v>
      </c>
      <c r="P88" s="122"/>
      <c r="Q88" s="73"/>
      <c r="R88" s="104">
        <f t="shared" si="33"/>
        <v>0</v>
      </c>
      <c r="S88" s="104">
        <f t="shared" si="34"/>
        <v>0</v>
      </c>
      <c r="T88" s="53">
        <v>0</v>
      </c>
      <c r="U88" s="7"/>
      <c r="V88" s="64"/>
      <c r="W88" s="3"/>
      <c r="X88" s="104">
        <f t="shared" si="35"/>
        <v>0</v>
      </c>
      <c r="Y88" s="29">
        <f t="shared" si="25"/>
        <v>0</v>
      </c>
      <c r="Z88" s="25">
        <f t="shared" si="36"/>
        <v>0</v>
      </c>
    </row>
    <row r="89" spans="1:33">
      <c r="A89" s="13">
        <v>84</v>
      </c>
      <c r="B89" s="4"/>
      <c r="C89" s="31"/>
      <c r="D89" s="54"/>
      <c r="E89" s="3">
        <f t="shared" si="27"/>
        <v>30</v>
      </c>
      <c r="F89" s="16"/>
      <c r="G89" s="30"/>
      <c r="H89" s="30"/>
      <c r="I89" s="30"/>
      <c r="J89" s="38"/>
      <c r="K89" s="16">
        <f t="shared" si="28"/>
        <v>0</v>
      </c>
      <c r="L89" s="17">
        <f t="shared" si="29"/>
        <v>0</v>
      </c>
      <c r="M89" s="17">
        <f t="shared" si="30"/>
        <v>0</v>
      </c>
      <c r="N89" s="17">
        <f t="shared" si="31"/>
        <v>0</v>
      </c>
      <c r="O89" s="52">
        <f t="shared" si="32"/>
        <v>0</v>
      </c>
      <c r="P89" s="122"/>
      <c r="Q89" s="73"/>
      <c r="R89" s="104">
        <f t="shared" si="33"/>
        <v>0</v>
      </c>
      <c r="S89" s="104">
        <f t="shared" si="34"/>
        <v>0</v>
      </c>
      <c r="T89" s="53">
        <v>0</v>
      </c>
      <c r="U89" s="7"/>
      <c r="V89" s="64"/>
      <c r="W89" s="3"/>
      <c r="X89" s="104">
        <f t="shared" si="35"/>
        <v>0</v>
      </c>
      <c r="Y89" s="29">
        <f t="shared" si="25"/>
        <v>0</v>
      </c>
      <c r="Z89" s="25">
        <f t="shared" si="36"/>
        <v>0</v>
      </c>
    </row>
    <row r="90" spans="1:33">
      <c r="A90" s="13">
        <v>85</v>
      </c>
      <c r="B90" s="4"/>
      <c r="C90" s="31"/>
      <c r="D90" s="54"/>
      <c r="E90" s="3">
        <f t="shared" si="27"/>
        <v>30</v>
      </c>
      <c r="F90" s="16"/>
      <c r="G90" s="30"/>
      <c r="H90" s="30"/>
      <c r="I90" s="30"/>
      <c r="J90" s="38"/>
      <c r="K90" s="16">
        <f t="shared" si="28"/>
        <v>0</v>
      </c>
      <c r="L90" s="17">
        <f t="shared" si="29"/>
        <v>0</v>
      </c>
      <c r="M90" s="17">
        <f t="shared" si="30"/>
        <v>0</v>
      </c>
      <c r="N90" s="17">
        <f t="shared" si="31"/>
        <v>0</v>
      </c>
      <c r="O90" s="52">
        <f t="shared" si="32"/>
        <v>0</v>
      </c>
      <c r="P90" s="122"/>
      <c r="Q90" s="73"/>
      <c r="R90" s="104">
        <f t="shared" si="33"/>
        <v>0</v>
      </c>
      <c r="S90" s="104">
        <f t="shared" si="34"/>
        <v>0</v>
      </c>
      <c r="T90" s="53">
        <v>0</v>
      </c>
      <c r="U90" s="7"/>
      <c r="V90" s="64"/>
      <c r="W90" s="3"/>
      <c r="X90" s="104">
        <f t="shared" si="35"/>
        <v>0</v>
      </c>
      <c r="Y90" s="29">
        <f t="shared" si="25"/>
        <v>0</v>
      </c>
      <c r="Z90" s="25">
        <f t="shared" si="36"/>
        <v>0</v>
      </c>
    </row>
    <row r="91" spans="1:33">
      <c r="A91" s="13">
        <v>86</v>
      </c>
      <c r="B91" s="4"/>
      <c r="C91" s="31"/>
      <c r="D91" s="54"/>
      <c r="E91" s="3">
        <f t="shared" si="27"/>
        <v>30</v>
      </c>
      <c r="F91" s="16"/>
      <c r="G91" s="30"/>
      <c r="H91" s="30"/>
      <c r="I91" s="30"/>
      <c r="J91" s="38"/>
      <c r="K91" s="16">
        <f t="shared" si="28"/>
        <v>0</v>
      </c>
      <c r="L91" s="17">
        <f t="shared" si="29"/>
        <v>0</v>
      </c>
      <c r="M91" s="17">
        <f t="shared" si="30"/>
        <v>0</v>
      </c>
      <c r="N91" s="17">
        <f t="shared" si="31"/>
        <v>0</v>
      </c>
      <c r="O91" s="52">
        <f t="shared" si="32"/>
        <v>0</v>
      </c>
      <c r="P91" s="122"/>
      <c r="Q91" s="73"/>
      <c r="R91" s="104">
        <f t="shared" si="33"/>
        <v>0</v>
      </c>
      <c r="S91" s="104">
        <f t="shared" si="34"/>
        <v>0</v>
      </c>
      <c r="T91" s="53">
        <v>0</v>
      </c>
      <c r="U91" s="7"/>
      <c r="V91" s="64"/>
      <c r="W91" s="3"/>
      <c r="X91" s="104">
        <f t="shared" si="35"/>
        <v>0</v>
      </c>
      <c r="Y91" s="29">
        <f t="shared" si="25"/>
        <v>0</v>
      </c>
      <c r="Z91" s="25">
        <f t="shared" si="36"/>
        <v>0</v>
      </c>
    </row>
    <row r="92" spans="1:33">
      <c r="A92" s="13">
        <v>87</v>
      </c>
      <c r="B92" s="4"/>
      <c r="C92" s="31"/>
      <c r="D92" s="54"/>
      <c r="E92" s="3">
        <f t="shared" si="27"/>
        <v>30</v>
      </c>
      <c r="F92" s="16"/>
      <c r="G92" s="30"/>
      <c r="H92" s="30"/>
      <c r="I92" s="30"/>
      <c r="J92" s="38"/>
      <c r="K92" s="16">
        <f t="shared" si="28"/>
        <v>0</v>
      </c>
      <c r="L92" s="17">
        <f t="shared" si="29"/>
        <v>0</v>
      </c>
      <c r="M92" s="17">
        <f t="shared" si="30"/>
        <v>0</v>
      </c>
      <c r="N92" s="17">
        <f t="shared" si="31"/>
        <v>0</v>
      </c>
      <c r="O92" s="52">
        <f t="shared" si="32"/>
        <v>0</v>
      </c>
      <c r="P92" s="122"/>
      <c r="Q92" s="73"/>
      <c r="R92" s="104">
        <f t="shared" si="33"/>
        <v>0</v>
      </c>
      <c r="S92" s="104">
        <f t="shared" si="34"/>
        <v>0</v>
      </c>
      <c r="T92" s="53">
        <v>0</v>
      </c>
      <c r="U92" s="7"/>
      <c r="V92" s="64"/>
      <c r="W92" s="3"/>
      <c r="X92" s="104">
        <f t="shared" si="35"/>
        <v>0</v>
      </c>
      <c r="Y92" s="29">
        <f t="shared" si="25"/>
        <v>0</v>
      </c>
      <c r="Z92" s="25">
        <f t="shared" si="36"/>
        <v>0</v>
      </c>
    </row>
    <row r="93" spans="1:33">
      <c r="A93" s="13">
        <v>88</v>
      </c>
      <c r="B93" s="4"/>
      <c r="C93" s="31"/>
      <c r="D93" s="54"/>
      <c r="E93" s="3">
        <f t="shared" si="27"/>
        <v>30</v>
      </c>
      <c r="F93" s="16"/>
      <c r="G93" s="30"/>
      <c r="H93" s="30"/>
      <c r="I93" s="30"/>
      <c r="J93" s="38"/>
      <c r="K93" s="16">
        <f t="shared" si="28"/>
        <v>0</v>
      </c>
      <c r="L93" s="17">
        <f t="shared" si="29"/>
        <v>0</v>
      </c>
      <c r="M93" s="17">
        <f t="shared" si="30"/>
        <v>0</v>
      </c>
      <c r="N93" s="17">
        <f t="shared" si="31"/>
        <v>0</v>
      </c>
      <c r="O93" s="52">
        <f t="shared" si="32"/>
        <v>0</v>
      </c>
      <c r="P93" s="122"/>
      <c r="Q93" s="73"/>
      <c r="R93" s="104">
        <f t="shared" si="33"/>
        <v>0</v>
      </c>
      <c r="S93" s="104">
        <f t="shared" si="34"/>
        <v>0</v>
      </c>
      <c r="T93" s="53">
        <v>0</v>
      </c>
      <c r="U93" s="7"/>
      <c r="V93" s="64"/>
      <c r="W93" s="3"/>
      <c r="X93" s="104">
        <f t="shared" si="35"/>
        <v>0</v>
      </c>
      <c r="Y93" s="29">
        <f t="shared" si="25"/>
        <v>0</v>
      </c>
      <c r="Z93" s="25">
        <f t="shared" si="36"/>
        <v>0</v>
      </c>
      <c r="AD93" s="90"/>
    </row>
    <row r="94" spans="1:33">
      <c r="A94" s="13">
        <v>89</v>
      </c>
      <c r="B94" s="4"/>
      <c r="C94" s="31"/>
      <c r="D94" s="54"/>
      <c r="E94" s="3">
        <f t="shared" si="27"/>
        <v>30</v>
      </c>
      <c r="F94" s="16"/>
      <c r="G94" s="30"/>
      <c r="H94" s="30"/>
      <c r="I94" s="30"/>
      <c r="J94" s="38"/>
      <c r="K94" s="16">
        <f t="shared" si="28"/>
        <v>0</v>
      </c>
      <c r="L94" s="17">
        <f t="shared" si="29"/>
        <v>0</v>
      </c>
      <c r="M94" s="17">
        <f t="shared" si="30"/>
        <v>0</v>
      </c>
      <c r="N94" s="17">
        <f t="shared" si="31"/>
        <v>0</v>
      </c>
      <c r="O94" s="52">
        <f t="shared" si="32"/>
        <v>0</v>
      </c>
      <c r="P94" s="122"/>
      <c r="Q94" s="73"/>
      <c r="R94" s="104">
        <f t="shared" si="33"/>
        <v>0</v>
      </c>
      <c r="S94" s="104">
        <f t="shared" si="34"/>
        <v>0</v>
      </c>
      <c r="T94" s="53">
        <v>0</v>
      </c>
      <c r="U94" s="7"/>
      <c r="V94" s="64"/>
      <c r="W94" s="3"/>
      <c r="X94" s="104">
        <f t="shared" si="35"/>
        <v>0</v>
      </c>
      <c r="Y94" s="29">
        <f t="shared" si="25"/>
        <v>0</v>
      </c>
      <c r="Z94" s="25">
        <f t="shared" si="36"/>
        <v>0</v>
      </c>
      <c r="AD94" s="90"/>
    </row>
    <row r="95" spans="1:33">
      <c r="A95" s="13">
        <v>90</v>
      </c>
      <c r="B95" s="4"/>
      <c r="C95" s="31"/>
      <c r="D95" s="54"/>
      <c r="E95" s="3">
        <f t="shared" si="27"/>
        <v>30</v>
      </c>
      <c r="F95" s="16"/>
      <c r="G95" s="30"/>
      <c r="H95" s="30"/>
      <c r="I95" s="30"/>
      <c r="J95" s="38"/>
      <c r="K95" s="16">
        <f t="shared" si="28"/>
        <v>0</v>
      </c>
      <c r="L95" s="17">
        <f t="shared" si="29"/>
        <v>0</v>
      </c>
      <c r="M95" s="17">
        <f t="shared" si="30"/>
        <v>0</v>
      </c>
      <c r="N95" s="17">
        <f t="shared" si="31"/>
        <v>0</v>
      </c>
      <c r="O95" s="52">
        <f t="shared" si="32"/>
        <v>0</v>
      </c>
      <c r="P95" s="122"/>
      <c r="Q95" s="73"/>
      <c r="R95" s="104">
        <f t="shared" si="33"/>
        <v>0</v>
      </c>
      <c r="S95" s="104">
        <f t="shared" si="34"/>
        <v>0</v>
      </c>
      <c r="T95" s="53">
        <v>0</v>
      </c>
      <c r="U95" s="7"/>
      <c r="V95" s="64"/>
      <c r="W95" s="3"/>
      <c r="X95" s="104">
        <f t="shared" si="35"/>
        <v>0</v>
      </c>
      <c r="Y95" s="29">
        <f t="shared" si="25"/>
        <v>0</v>
      </c>
      <c r="Z95" s="25">
        <f t="shared" si="36"/>
        <v>0</v>
      </c>
    </row>
    <row r="96" spans="1:33">
      <c r="A96" s="13">
        <v>91</v>
      </c>
      <c r="B96" s="4"/>
      <c r="C96" s="31"/>
      <c r="D96" s="54"/>
      <c r="E96" s="3">
        <f t="shared" si="27"/>
        <v>30</v>
      </c>
      <c r="F96" s="16"/>
      <c r="G96" s="30"/>
      <c r="H96" s="30"/>
      <c r="I96" s="30"/>
      <c r="J96" s="38"/>
      <c r="K96" s="16">
        <f t="shared" si="28"/>
        <v>0</v>
      </c>
      <c r="L96" s="17">
        <f t="shared" si="29"/>
        <v>0</v>
      </c>
      <c r="M96" s="17">
        <f t="shared" si="30"/>
        <v>0</v>
      </c>
      <c r="N96" s="17">
        <f t="shared" si="31"/>
        <v>0</v>
      </c>
      <c r="O96" s="52">
        <f t="shared" si="32"/>
        <v>0</v>
      </c>
      <c r="P96" s="122"/>
      <c r="Q96" s="73"/>
      <c r="R96" s="104">
        <f t="shared" si="33"/>
        <v>0</v>
      </c>
      <c r="S96" s="104">
        <f t="shared" si="34"/>
        <v>0</v>
      </c>
      <c r="T96" s="53">
        <v>0</v>
      </c>
      <c r="U96" s="7"/>
      <c r="V96" s="64"/>
      <c r="W96" s="3"/>
      <c r="X96" s="104">
        <f t="shared" si="35"/>
        <v>0</v>
      </c>
      <c r="Y96" s="29">
        <f t="shared" si="25"/>
        <v>0</v>
      </c>
      <c r="Z96" s="25">
        <f t="shared" si="36"/>
        <v>0</v>
      </c>
    </row>
    <row r="97" spans="1:31">
      <c r="A97" s="13">
        <v>92</v>
      </c>
      <c r="B97" s="4"/>
      <c r="C97" s="31"/>
      <c r="D97" s="54"/>
      <c r="E97" s="3">
        <f t="shared" si="27"/>
        <v>30</v>
      </c>
      <c r="F97" s="16"/>
      <c r="G97" s="30"/>
      <c r="H97" s="30"/>
      <c r="I97" s="30"/>
      <c r="J97" s="38"/>
      <c r="K97" s="16">
        <f t="shared" si="28"/>
        <v>0</v>
      </c>
      <c r="L97" s="17">
        <f t="shared" si="29"/>
        <v>0</v>
      </c>
      <c r="M97" s="17">
        <f t="shared" si="30"/>
        <v>0</v>
      </c>
      <c r="N97" s="17">
        <f t="shared" si="31"/>
        <v>0</v>
      </c>
      <c r="O97" s="52">
        <f t="shared" si="32"/>
        <v>0</v>
      </c>
      <c r="P97" s="122"/>
      <c r="Q97" s="73"/>
      <c r="R97" s="104">
        <f t="shared" si="33"/>
        <v>0</v>
      </c>
      <c r="S97" s="104">
        <f t="shared" si="34"/>
        <v>0</v>
      </c>
      <c r="T97" s="53">
        <v>0</v>
      </c>
      <c r="U97" s="7"/>
      <c r="V97" s="64"/>
      <c r="W97" s="3"/>
      <c r="X97" s="104">
        <f t="shared" si="35"/>
        <v>0</v>
      </c>
      <c r="Y97" s="29">
        <f t="shared" si="25"/>
        <v>0</v>
      </c>
      <c r="Z97" s="25">
        <f t="shared" si="36"/>
        <v>0</v>
      </c>
    </row>
    <row r="98" spans="1:31">
      <c r="A98" s="13">
        <v>93</v>
      </c>
      <c r="B98" s="4"/>
      <c r="C98" s="31"/>
      <c r="D98" s="54"/>
      <c r="E98" s="3">
        <f t="shared" si="27"/>
        <v>30</v>
      </c>
      <c r="F98" s="16"/>
      <c r="G98" s="30"/>
      <c r="H98" s="30"/>
      <c r="I98" s="30"/>
      <c r="J98" s="38"/>
      <c r="K98" s="16">
        <f t="shared" si="28"/>
        <v>0</v>
      </c>
      <c r="L98" s="17">
        <f t="shared" si="29"/>
        <v>0</v>
      </c>
      <c r="M98" s="17">
        <f t="shared" si="30"/>
        <v>0</v>
      </c>
      <c r="N98" s="17">
        <f t="shared" si="31"/>
        <v>0</v>
      </c>
      <c r="O98" s="52">
        <f t="shared" si="32"/>
        <v>0</v>
      </c>
      <c r="P98" s="122"/>
      <c r="Q98" s="73"/>
      <c r="R98" s="104">
        <f t="shared" si="33"/>
        <v>0</v>
      </c>
      <c r="S98" s="104">
        <f t="shared" si="34"/>
        <v>0</v>
      </c>
      <c r="T98" s="53">
        <v>0</v>
      </c>
      <c r="U98" s="7"/>
      <c r="V98" s="64"/>
      <c r="W98" s="3"/>
      <c r="X98" s="104">
        <f t="shared" si="35"/>
        <v>0</v>
      </c>
      <c r="Y98" s="29">
        <f t="shared" si="25"/>
        <v>0</v>
      </c>
      <c r="Z98" s="25">
        <f t="shared" si="36"/>
        <v>0</v>
      </c>
    </row>
    <row r="99" spans="1:31">
      <c r="A99" s="13">
        <v>94</v>
      </c>
      <c r="B99" s="4"/>
      <c r="C99" s="31"/>
      <c r="D99" s="54"/>
      <c r="E99" s="3">
        <f t="shared" si="27"/>
        <v>30</v>
      </c>
      <c r="F99" s="16"/>
      <c r="G99" s="30"/>
      <c r="H99" s="30"/>
      <c r="I99" s="30"/>
      <c r="J99" s="38"/>
      <c r="K99" s="16">
        <f t="shared" si="28"/>
        <v>0</v>
      </c>
      <c r="L99" s="17">
        <f t="shared" si="29"/>
        <v>0</v>
      </c>
      <c r="M99" s="17">
        <f t="shared" si="30"/>
        <v>0</v>
      </c>
      <c r="N99" s="17">
        <f t="shared" si="31"/>
        <v>0</v>
      </c>
      <c r="O99" s="52">
        <f t="shared" si="32"/>
        <v>0</v>
      </c>
      <c r="P99" s="122"/>
      <c r="Q99" s="73"/>
      <c r="R99" s="104">
        <f t="shared" si="33"/>
        <v>0</v>
      </c>
      <c r="S99" s="104">
        <f t="shared" si="34"/>
        <v>0</v>
      </c>
      <c r="T99" s="53">
        <v>0</v>
      </c>
      <c r="U99" s="7"/>
      <c r="V99" s="64"/>
      <c r="W99" s="3"/>
      <c r="X99" s="104">
        <f t="shared" si="35"/>
        <v>0</v>
      </c>
      <c r="Y99" s="29">
        <f t="shared" si="25"/>
        <v>0</v>
      </c>
      <c r="Z99" s="25">
        <f t="shared" si="36"/>
        <v>0</v>
      </c>
    </row>
    <row r="100" spans="1:31">
      <c r="A100" s="13">
        <v>95</v>
      </c>
      <c r="B100" s="4"/>
      <c r="C100" s="31"/>
      <c r="D100" s="54"/>
      <c r="E100" s="3">
        <f t="shared" si="27"/>
        <v>30</v>
      </c>
      <c r="F100" s="16"/>
      <c r="G100" s="30"/>
      <c r="H100" s="30"/>
      <c r="I100" s="30"/>
      <c r="J100" s="38"/>
      <c r="K100" s="16">
        <f t="shared" si="28"/>
        <v>0</v>
      </c>
      <c r="L100" s="17">
        <f t="shared" si="29"/>
        <v>0</v>
      </c>
      <c r="M100" s="17">
        <f t="shared" si="30"/>
        <v>0</v>
      </c>
      <c r="N100" s="17">
        <f t="shared" si="31"/>
        <v>0</v>
      </c>
      <c r="O100" s="52">
        <f t="shared" si="32"/>
        <v>0</v>
      </c>
      <c r="P100" s="122"/>
      <c r="Q100" s="73"/>
      <c r="R100" s="104">
        <f t="shared" si="33"/>
        <v>0</v>
      </c>
      <c r="S100" s="104">
        <f t="shared" si="34"/>
        <v>0</v>
      </c>
      <c r="T100" s="53">
        <v>0</v>
      </c>
      <c r="U100" s="7"/>
      <c r="V100" s="64"/>
      <c r="W100" s="3"/>
      <c r="X100" s="104">
        <f t="shared" si="35"/>
        <v>0</v>
      </c>
      <c r="Y100" s="29">
        <f t="shared" si="25"/>
        <v>0</v>
      </c>
      <c r="Z100" s="25">
        <f t="shared" si="36"/>
        <v>0</v>
      </c>
    </row>
    <row r="101" spans="1:31">
      <c r="A101" s="13">
        <v>96</v>
      </c>
      <c r="B101" s="4"/>
      <c r="C101" s="31"/>
      <c r="D101" s="54"/>
      <c r="E101" s="3">
        <f t="shared" si="27"/>
        <v>30</v>
      </c>
      <c r="F101" s="16"/>
      <c r="G101" s="30"/>
      <c r="H101" s="30"/>
      <c r="I101" s="30"/>
      <c r="J101" s="38"/>
      <c r="K101" s="16">
        <f t="shared" si="28"/>
        <v>0</v>
      </c>
      <c r="L101" s="17">
        <f t="shared" si="29"/>
        <v>0</v>
      </c>
      <c r="M101" s="17">
        <f t="shared" si="30"/>
        <v>0</v>
      </c>
      <c r="N101" s="17">
        <f t="shared" si="31"/>
        <v>0</v>
      </c>
      <c r="O101" s="52">
        <f t="shared" si="32"/>
        <v>0</v>
      </c>
      <c r="P101" s="122"/>
      <c r="Q101" s="73"/>
      <c r="R101" s="104">
        <f t="shared" si="33"/>
        <v>0</v>
      </c>
      <c r="S101" s="104">
        <f t="shared" si="34"/>
        <v>0</v>
      </c>
      <c r="T101" s="53">
        <v>0</v>
      </c>
      <c r="U101" s="7"/>
      <c r="V101" s="64"/>
      <c r="W101" s="3"/>
      <c r="X101" s="104">
        <f t="shared" si="35"/>
        <v>0</v>
      </c>
      <c r="Y101" s="29">
        <f t="shared" si="25"/>
        <v>0</v>
      </c>
      <c r="Z101" s="25">
        <f t="shared" si="36"/>
        <v>0</v>
      </c>
    </row>
    <row r="102" spans="1:31">
      <c r="A102" s="13">
        <v>97</v>
      </c>
      <c r="B102" s="4"/>
      <c r="C102" s="31"/>
      <c r="D102" s="54"/>
      <c r="E102" s="3">
        <f t="shared" si="27"/>
        <v>30</v>
      </c>
      <c r="F102" s="16"/>
      <c r="G102" s="30"/>
      <c r="H102" s="30"/>
      <c r="I102" s="30"/>
      <c r="J102" s="38"/>
      <c r="K102" s="16">
        <f t="shared" si="28"/>
        <v>0</v>
      </c>
      <c r="L102" s="17">
        <f t="shared" si="29"/>
        <v>0</v>
      </c>
      <c r="M102" s="17">
        <f t="shared" si="30"/>
        <v>0</v>
      </c>
      <c r="N102" s="17">
        <f t="shared" si="31"/>
        <v>0</v>
      </c>
      <c r="O102" s="52">
        <f t="shared" si="32"/>
        <v>0</v>
      </c>
      <c r="P102" s="122"/>
      <c r="Q102" s="73"/>
      <c r="R102" s="104">
        <f t="shared" si="33"/>
        <v>0</v>
      </c>
      <c r="S102" s="104">
        <f t="shared" si="34"/>
        <v>0</v>
      </c>
      <c r="T102" s="53">
        <v>0</v>
      </c>
      <c r="U102" s="7"/>
      <c r="V102" s="64"/>
      <c r="W102" s="3"/>
      <c r="X102" s="104">
        <f t="shared" si="35"/>
        <v>0</v>
      </c>
      <c r="Y102" s="29">
        <f t="shared" si="25"/>
        <v>0</v>
      </c>
      <c r="Z102" s="25">
        <f t="shared" si="36"/>
        <v>0</v>
      </c>
    </row>
    <row r="103" spans="1:31">
      <c r="A103" s="13">
        <v>98</v>
      </c>
      <c r="B103" s="4"/>
      <c r="C103" s="31"/>
      <c r="D103" s="54"/>
      <c r="E103" s="3">
        <f t="shared" si="27"/>
        <v>30</v>
      </c>
      <c r="F103" s="16"/>
      <c r="G103" s="30"/>
      <c r="H103" s="30"/>
      <c r="I103" s="30"/>
      <c r="J103" s="38"/>
      <c r="K103" s="16">
        <f t="shared" si="28"/>
        <v>0</v>
      </c>
      <c r="L103" s="17">
        <f t="shared" si="29"/>
        <v>0</v>
      </c>
      <c r="M103" s="17">
        <f t="shared" si="30"/>
        <v>0</v>
      </c>
      <c r="N103" s="17">
        <f t="shared" si="31"/>
        <v>0</v>
      </c>
      <c r="O103" s="52">
        <f t="shared" si="32"/>
        <v>0</v>
      </c>
      <c r="P103" s="122"/>
      <c r="Q103" s="73"/>
      <c r="R103" s="104">
        <f t="shared" si="33"/>
        <v>0</v>
      </c>
      <c r="S103" s="104">
        <f t="shared" si="34"/>
        <v>0</v>
      </c>
      <c r="T103" s="53">
        <v>0</v>
      </c>
      <c r="U103" s="7"/>
      <c r="V103" s="64"/>
      <c r="W103" s="3"/>
      <c r="X103" s="104">
        <f t="shared" si="35"/>
        <v>0</v>
      </c>
      <c r="Y103" s="29">
        <f t="shared" si="25"/>
        <v>0</v>
      </c>
      <c r="Z103" s="25">
        <f t="shared" si="36"/>
        <v>0</v>
      </c>
    </row>
    <row r="104" spans="1:31">
      <c r="A104" s="13">
        <v>99</v>
      </c>
      <c r="B104" s="4"/>
      <c r="C104" s="31"/>
      <c r="D104" s="54"/>
      <c r="E104" s="3">
        <f t="shared" si="27"/>
        <v>30</v>
      </c>
      <c r="F104" s="16"/>
      <c r="G104" s="30"/>
      <c r="H104" s="30"/>
      <c r="I104" s="30"/>
      <c r="J104" s="38"/>
      <c r="K104" s="16">
        <f t="shared" si="28"/>
        <v>0</v>
      </c>
      <c r="L104" s="17">
        <f t="shared" si="29"/>
        <v>0</v>
      </c>
      <c r="M104" s="17">
        <f t="shared" si="30"/>
        <v>0</v>
      </c>
      <c r="N104" s="17">
        <f t="shared" si="31"/>
        <v>0</v>
      </c>
      <c r="O104" s="52">
        <f t="shared" si="32"/>
        <v>0</v>
      </c>
      <c r="P104" s="122"/>
      <c r="Q104" s="73"/>
      <c r="R104" s="104">
        <f t="shared" si="33"/>
        <v>0</v>
      </c>
      <c r="S104" s="104">
        <f t="shared" si="34"/>
        <v>0</v>
      </c>
      <c r="T104" s="53">
        <v>0</v>
      </c>
      <c r="U104" s="7"/>
      <c r="V104" s="64"/>
      <c r="W104" s="3"/>
      <c r="X104" s="104">
        <f t="shared" si="35"/>
        <v>0</v>
      </c>
      <c r="Y104" s="29">
        <f t="shared" si="25"/>
        <v>0</v>
      </c>
      <c r="Z104" s="25">
        <f t="shared" si="36"/>
        <v>0</v>
      </c>
    </row>
    <row r="105" spans="1:31">
      <c r="A105" s="13">
        <v>100</v>
      </c>
      <c r="B105" s="4"/>
      <c r="C105" s="31"/>
      <c r="D105" s="54"/>
      <c r="E105" s="3">
        <f t="shared" si="27"/>
        <v>30</v>
      </c>
      <c r="F105" s="16"/>
      <c r="G105" s="30"/>
      <c r="H105" s="30"/>
      <c r="I105" s="30"/>
      <c r="J105" s="38"/>
      <c r="K105" s="16">
        <f t="shared" si="28"/>
        <v>0</v>
      </c>
      <c r="L105" s="17">
        <f t="shared" si="29"/>
        <v>0</v>
      </c>
      <c r="M105" s="17">
        <f t="shared" si="30"/>
        <v>0</v>
      </c>
      <c r="N105" s="17">
        <f t="shared" si="31"/>
        <v>0</v>
      </c>
      <c r="O105" s="52">
        <f t="shared" si="32"/>
        <v>0</v>
      </c>
      <c r="P105" s="122"/>
      <c r="Q105" s="73"/>
      <c r="R105" s="104">
        <f t="shared" si="33"/>
        <v>0</v>
      </c>
      <c r="S105" s="104">
        <f t="shared" si="34"/>
        <v>0</v>
      </c>
      <c r="T105" s="53">
        <v>0</v>
      </c>
      <c r="U105" s="7"/>
      <c r="V105" s="64"/>
      <c r="W105" s="3"/>
      <c r="X105" s="104">
        <f t="shared" si="35"/>
        <v>0</v>
      </c>
      <c r="Y105" s="29">
        <f t="shared" si="25"/>
        <v>0</v>
      </c>
      <c r="Z105" s="25">
        <f t="shared" si="36"/>
        <v>0</v>
      </c>
    </row>
    <row r="106" spans="1:31">
      <c r="A106" s="13">
        <v>101</v>
      </c>
      <c r="B106" s="4"/>
      <c r="C106" s="31"/>
      <c r="D106" s="54"/>
      <c r="E106" s="3">
        <f t="shared" si="27"/>
        <v>30</v>
      </c>
      <c r="F106" s="16"/>
      <c r="G106" s="30"/>
      <c r="H106" s="30"/>
      <c r="I106" s="30"/>
      <c r="J106" s="38"/>
      <c r="K106" s="16">
        <f t="shared" si="28"/>
        <v>0</v>
      </c>
      <c r="L106" s="17">
        <f t="shared" si="29"/>
        <v>0</v>
      </c>
      <c r="M106" s="17">
        <f t="shared" si="30"/>
        <v>0</v>
      </c>
      <c r="N106" s="17">
        <f t="shared" si="31"/>
        <v>0</v>
      </c>
      <c r="O106" s="52">
        <f t="shared" si="32"/>
        <v>0</v>
      </c>
      <c r="P106" s="122"/>
      <c r="Q106" s="73"/>
      <c r="R106" s="104">
        <f t="shared" si="33"/>
        <v>0</v>
      </c>
      <c r="S106" s="104">
        <f t="shared" si="34"/>
        <v>0</v>
      </c>
      <c r="T106" s="53">
        <v>0</v>
      </c>
      <c r="U106" s="7"/>
      <c r="V106" s="64"/>
      <c r="W106" s="3"/>
      <c r="X106" s="104">
        <f t="shared" si="35"/>
        <v>0</v>
      </c>
      <c r="Y106" s="29">
        <f t="shared" si="25"/>
        <v>0</v>
      </c>
      <c r="Z106" s="25">
        <f t="shared" si="36"/>
        <v>0</v>
      </c>
    </row>
    <row r="107" spans="1:31" ht="16.5" customHeight="1">
      <c r="A107" s="13">
        <v>102</v>
      </c>
      <c r="B107" s="4"/>
      <c r="C107" s="31"/>
      <c r="D107" s="54"/>
      <c r="E107" s="3">
        <f t="shared" si="27"/>
        <v>30</v>
      </c>
      <c r="F107" s="16"/>
      <c r="G107" s="30"/>
      <c r="H107" s="30"/>
      <c r="I107" s="30"/>
      <c r="J107" s="38"/>
      <c r="K107" s="16">
        <f t="shared" si="28"/>
        <v>0</v>
      </c>
      <c r="L107" s="17">
        <f t="shared" si="29"/>
        <v>0</v>
      </c>
      <c r="M107" s="17">
        <f t="shared" si="30"/>
        <v>0</v>
      </c>
      <c r="N107" s="17">
        <f t="shared" si="31"/>
        <v>0</v>
      </c>
      <c r="O107" s="52">
        <f t="shared" si="32"/>
        <v>0</v>
      </c>
      <c r="P107" s="122"/>
      <c r="Q107" s="73"/>
      <c r="R107" s="104">
        <f t="shared" si="33"/>
        <v>0</v>
      </c>
      <c r="S107" s="104">
        <f t="shared" si="34"/>
        <v>0</v>
      </c>
      <c r="T107" s="53">
        <v>0</v>
      </c>
      <c r="U107" s="7"/>
      <c r="V107" s="64"/>
      <c r="W107" s="3"/>
      <c r="X107" s="104">
        <f t="shared" si="35"/>
        <v>0</v>
      </c>
      <c r="Y107" s="29">
        <f t="shared" si="25"/>
        <v>0</v>
      </c>
      <c r="Z107" s="25">
        <f t="shared" si="36"/>
        <v>0</v>
      </c>
      <c r="AE107" s="89"/>
    </row>
    <row r="108" spans="1:31">
      <c r="A108" s="13">
        <v>103</v>
      </c>
      <c r="B108" s="4"/>
      <c r="C108" s="31"/>
      <c r="D108" s="54"/>
      <c r="E108" s="3">
        <f t="shared" si="27"/>
        <v>30</v>
      </c>
      <c r="F108" s="16"/>
      <c r="G108" s="30"/>
      <c r="H108" s="30"/>
      <c r="I108" s="30"/>
      <c r="J108" s="38"/>
      <c r="K108" s="16">
        <f t="shared" si="28"/>
        <v>0</v>
      </c>
      <c r="L108" s="17">
        <f t="shared" si="29"/>
        <v>0</v>
      </c>
      <c r="M108" s="17">
        <f t="shared" si="30"/>
        <v>0</v>
      </c>
      <c r="N108" s="17">
        <f t="shared" si="31"/>
        <v>0</v>
      </c>
      <c r="O108" s="52">
        <f t="shared" si="32"/>
        <v>0</v>
      </c>
      <c r="P108" s="122"/>
      <c r="Q108" s="73"/>
      <c r="R108" s="104">
        <f t="shared" si="33"/>
        <v>0</v>
      </c>
      <c r="S108" s="104">
        <f t="shared" si="34"/>
        <v>0</v>
      </c>
      <c r="T108" s="53">
        <v>0</v>
      </c>
      <c r="U108" s="7"/>
      <c r="V108" s="64"/>
      <c r="W108" s="3"/>
      <c r="X108" s="104">
        <f t="shared" si="35"/>
        <v>0</v>
      </c>
      <c r="Y108" s="29">
        <f t="shared" si="25"/>
        <v>0</v>
      </c>
      <c r="Z108" s="25">
        <f t="shared" si="36"/>
        <v>0</v>
      </c>
      <c r="AA108" s="90"/>
      <c r="AB108" s="90"/>
      <c r="AE108" s="89"/>
    </row>
    <row r="109" spans="1:31">
      <c r="A109" s="13">
        <v>104</v>
      </c>
      <c r="B109" s="4"/>
      <c r="C109" s="31"/>
      <c r="D109" s="54"/>
      <c r="E109" s="3">
        <f t="shared" si="27"/>
        <v>30</v>
      </c>
      <c r="F109" s="16"/>
      <c r="G109" s="30"/>
      <c r="H109" s="30"/>
      <c r="I109" s="30"/>
      <c r="J109" s="38"/>
      <c r="K109" s="16">
        <f t="shared" si="28"/>
        <v>0</v>
      </c>
      <c r="L109" s="17">
        <f t="shared" si="29"/>
        <v>0</v>
      </c>
      <c r="M109" s="17">
        <f t="shared" si="30"/>
        <v>0</v>
      </c>
      <c r="N109" s="17">
        <f t="shared" si="31"/>
        <v>0</v>
      </c>
      <c r="O109" s="52">
        <f t="shared" si="32"/>
        <v>0</v>
      </c>
      <c r="P109" s="122"/>
      <c r="Q109" s="73"/>
      <c r="R109" s="104">
        <f t="shared" si="33"/>
        <v>0</v>
      </c>
      <c r="S109" s="104">
        <f t="shared" si="34"/>
        <v>0</v>
      </c>
      <c r="T109" s="53">
        <v>0</v>
      </c>
      <c r="U109" s="7"/>
      <c r="V109" s="64"/>
      <c r="W109" s="3"/>
      <c r="X109" s="104">
        <f t="shared" si="35"/>
        <v>0</v>
      </c>
      <c r="Y109" s="29">
        <f t="shared" si="25"/>
        <v>0</v>
      </c>
      <c r="Z109" s="25">
        <f t="shared" si="36"/>
        <v>0</v>
      </c>
      <c r="AE109" s="89"/>
    </row>
    <row r="110" spans="1:31">
      <c r="A110" s="13">
        <v>105</v>
      </c>
      <c r="B110" s="4"/>
      <c r="C110" s="31"/>
      <c r="D110" s="54"/>
      <c r="E110" s="3">
        <f t="shared" si="27"/>
        <v>30</v>
      </c>
      <c r="F110" s="16"/>
      <c r="G110" s="30"/>
      <c r="H110" s="30"/>
      <c r="I110" s="30"/>
      <c r="J110" s="38"/>
      <c r="K110" s="16">
        <f t="shared" si="28"/>
        <v>0</v>
      </c>
      <c r="L110" s="17">
        <f t="shared" si="29"/>
        <v>0</v>
      </c>
      <c r="M110" s="17">
        <f t="shared" si="30"/>
        <v>0</v>
      </c>
      <c r="N110" s="17">
        <f t="shared" si="31"/>
        <v>0</v>
      </c>
      <c r="O110" s="52">
        <f t="shared" si="32"/>
        <v>0</v>
      </c>
      <c r="P110" s="122"/>
      <c r="Q110" s="73"/>
      <c r="R110" s="104">
        <f t="shared" si="33"/>
        <v>0</v>
      </c>
      <c r="S110" s="104">
        <f t="shared" si="34"/>
        <v>0</v>
      </c>
      <c r="T110" s="53">
        <v>0</v>
      </c>
      <c r="U110" s="7"/>
      <c r="V110" s="64"/>
      <c r="W110" s="3"/>
      <c r="X110" s="104">
        <f t="shared" si="35"/>
        <v>0</v>
      </c>
      <c r="Y110" s="29">
        <f t="shared" si="25"/>
        <v>0</v>
      </c>
      <c r="Z110" s="25">
        <f t="shared" si="36"/>
        <v>0</v>
      </c>
    </row>
    <row r="111" spans="1:31">
      <c r="A111" s="13">
        <v>106</v>
      </c>
      <c r="B111" s="4"/>
      <c r="C111" s="31"/>
      <c r="D111" s="54"/>
      <c r="E111" s="3">
        <f t="shared" si="27"/>
        <v>30</v>
      </c>
      <c r="F111" s="16"/>
      <c r="G111" s="30"/>
      <c r="H111" s="30"/>
      <c r="I111" s="30"/>
      <c r="J111" s="38"/>
      <c r="K111" s="16">
        <f t="shared" si="28"/>
        <v>0</v>
      </c>
      <c r="L111" s="17">
        <f t="shared" si="29"/>
        <v>0</v>
      </c>
      <c r="M111" s="17">
        <f t="shared" si="30"/>
        <v>0</v>
      </c>
      <c r="N111" s="17">
        <f t="shared" si="31"/>
        <v>0</v>
      </c>
      <c r="O111" s="52">
        <f t="shared" si="32"/>
        <v>0</v>
      </c>
      <c r="P111" s="122"/>
      <c r="Q111" s="73"/>
      <c r="R111" s="104">
        <f t="shared" si="33"/>
        <v>0</v>
      </c>
      <c r="S111" s="104">
        <f t="shared" si="34"/>
        <v>0</v>
      </c>
      <c r="T111" s="53">
        <v>0</v>
      </c>
      <c r="U111" s="7"/>
      <c r="V111" s="64"/>
      <c r="W111" s="3"/>
      <c r="X111" s="104">
        <f t="shared" si="35"/>
        <v>0</v>
      </c>
      <c r="Y111" s="29">
        <f t="shared" si="25"/>
        <v>0</v>
      </c>
      <c r="Z111" s="25">
        <f t="shared" si="36"/>
        <v>0</v>
      </c>
    </row>
    <row r="112" spans="1:31">
      <c r="A112" s="13">
        <v>107</v>
      </c>
      <c r="B112" s="4"/>
      <c r="C112" s="31"/>
      <c r="D112" s="54"/>
      <c r="E112" s="3">
        <f t="shared" si="27"/>
        <v>30</v>
      </c>
      <c r="F112" s="16"/>
      <c r="G112" s="30"/>
      <c r="H112" s="30"/>
      <c r="I112" s="30"/>
      <c r="J112" s="38"/>
      <c r="K112" s="16">
        <f t="shared" si="28"/>
        <v>0</v>
      </c>
      <c r="L112" s="17">
        <f t="shared" si="29"/>
        <v>0</v>
      </c>
      <c r="M112" s="17">
        <f t="shared" si="30"/>
        <v>0</v>
      </c>
      <c r="N112" s="17">
        <f t="shared" si="31"/>
        <v>0</v>
      </c>
      <c r="O112" s="52">
        <f t="shared" si="32"/>
        <v>0</v>
      </c>
      <c r="P112" s="122"/>
      <c r="Q112" s="73"/>
      <c r="R112" s="104">
        <f t="shared" si="33"/>
        <v>0</v>
      </c>
      <c r="S112" s="104">
        <f t="shared" si="34"/>
        <v>0</v>
      </c>
      <c r="T112" s="53">
        <v>0</v>
      </c>
      <c r="U112" s="7"/>
      <c r="V112" s="64"/>
      <c r="W112" s="3"/>
      <c r="X112" s="104">
        <f t="shared" si="35"/>
        <v>0</v>
      </c>
      <c r="Y112" s="29">
        <f t="shared" si="25"/>
        <v>0</v>
      </c>
      <c r="Z112" s="25">
        <f t="shared" si="36"/>
        <v>0</v>
      </c>
    </row>
    <row r="113" spans="1:26">
      <c r="A113" s="13">
        <v>108</v>
      </c>
      <c r="B113" s="4"/>
      <c r="C113" s="31"/>
      <c r="D113" s="54"/>
      <c r="E113" s="3">
        <f t="shared" si="27"/>
        <v>30</v>
      </c>
      <c r="F113" s="16"/>
      <c r="G113" s="30"/>
      <c r="H113" s="30"/>
      <c r="I113" s="30"/>
      <c r="J113" s="38"/>
      <c r="K113" s="16">
        <f t="shared" si="28"/>
        <v>0</v>
      </c>
      <c r="L113" s="17">
        <f t="shared" si="29"/>
        <v>0</v>
      </c>
      <c r="M113" s="17">
        <f t="shared" si="30"/>
        <v>0</v>
      </c>
      <c r="N113" s="17">
        <f t="shared" si="31"/>
        <v>0</v>
      </c>
      <c r="O113" s="52">
        <f t="shared" si="32"/>
        <v>0</v>
      </c>
      <c r="P113" s="122"/>
      <c r="Q113" s="73"/>
      <c r="R113" s="104">
        <f t="shared" si="33"/>
        <v>0</v>
      </c>
      <c r="S113" s="104">
        <f t="shared" si="34"/>
        <v>0</v>
      </c>
      <c r="T113" s="53">
        <v>0</v>
      </c>
      <c r="U113" s="7"/>
      <c r="V113" s="64"/>
      <c r="W113" s="3"/>
      <c r="X113" s="104">
        <f t="shared" si="35"/>
        <v>0</v>
      </c>
      <c r="Y113" s="29">
        <f t="shared" si="25"/>
        <v>0</v>
      </c>
      <c r="Z113" s="25">
        <f t="shared" si="36"/>
        <v>0</v>
      </c>
    </row>
    <row r="114" spans="1:26">
      <c r="A114" s="13">
        <v>109</v>
      </c>
      <c r="B114" s="4"/>
      <c r="C114" s="31"/>
      <c r="D114" s="54"/>
      <c r="E114" s="3">
        <f t="shared" si="27"/>
        <v>30</v>
      </c>
      <c r="F114" s="16"/>
      <c r="G114" s="30"/>
      <c r="H114" s="30"/>
      <c r="I114" s="30"/>
      <c r="J114" s="38"/>
      <c r="K114" s="16">
        <f t="shared" si="28"/>
        <v>0</v>
      </c>
      <c r="L114" s="17">
        <f t="shared" si="29"/>
        <v>0</v>
      </c>
      <c r="M114" s="17">
        <f t="shared" si="30"/>
        <v>0</v>
      </c>
      <c r="N114" s="17">
        <f t="shared" si="31"/>
        <v>0</v>
      </c>
      <c r="O114" s="52">
        <f t="shared" si="32"/>
        <v>0</v>
      </c>
      <c r="P114" s="122"/>
      <c r="Q114" s="73"/>
      <c r="R114" s="104">
        <f t="shared" si="33"/>
        <v>0</v>
      </c>
      <c r="S114" s="104">
        <f t="shared" si="34"/>
        <v>0</v>
      </c>
      <c r="T114" s="53">
        <v>0</v>
      </c>
      <c r="U114" s="7"/>
      <c r="V114" s="64"/>
      <c r="W114" s="3"/>
      <c r="X114" s="104">
        <f t="shared" si="35"/>
        <v>0</v>
      </c>
      <c r="Y114" s="29">
        <f t="shared" si="25"/>
        <v>0</v>
      </c>
      <c r="Z114" s="25">
        <f t="shared" si="36"/>
        <v>0</v>
      </c>
    </row>
    <row r="115" spans="1:26">
      <c r="A115" s="13">
        <v>110</v>
      </c>
      <c r="B115" s="4"/>
      <c r="C115" s="31"/>
      <c r="D115" s="54"/>
      <c r="E115" s="3">
        <f t="shared" si="27"/>
        <v>30</v>
      </c>
      <c r="F115" s="16"/>
      <c r="G115" s="30"/>
      <c r="H115" s="30"/>
      <c r="I115" s="30"/>
      <c r="J115" s="38"/>
      <c r="K115" s="16">
        <f t="shared" si="28"/>
        <v>0</v>
      </c>
      <c r="L115" s="17">
        <f t="shared" si="29"/>
        <v>0</v>
      </c>
      <c r="M115" s="17">
        <f t="shared" si="30"/>
        <v>0</v>
      </c>
      <c r="N115" s="17">
        <f t="shared" si="31"/>
        <v>0</v>
      </c>
      <c r="O115" s="52">
        <f t="shared" si="32"/>
        <v>0</v>
      </c>
      <c r="P115" s="122"/>
      <c r="Q115" s="73"/>
      <c r="R115" s="104">
        <f t="shared" si="33"/>
        <v>0</v>
      </c>
      <c r="S115" s="104">
        <f t="shared" si="34"/>
        <v>0</v>
      </c>
      <c r="T115" s="53">
        <v>0</v>
      </c>
      <c r="U115" s="7"/>
      <c r="V115" s="64"/>
      <c r="W115" s="3"/>
      <c r="X115" s="104">
        <f t="shared" si="35"/>
        <v>0</v>
      </c>
      <c r="Y115" s="29">
        <f t="shared" si="25"/>
        <v>0</v>
      </c>
      <c r="Z115" s="25">
        <f t="shared" si="36"/>
        <v>0</v>
      </c>
    </row>
    <row r="116" spans="1:26">
      <c r="A116" s="13">
        <v>111</v>
      </c>
      <c r="B116" s="4"/>
      <c r="C116" s="31"/>
      <c r="D116" s="54"/>
      <c r="E116" s="3">
        <f t="shared" si="27"/>
        <v>30</v>
      </c>
      <c r="F116" s="16"/>
      <c r="G116" s="30"/>
      <c r="H116" s="30"/>
      <c r="I116" s="30"/>
      <c r="J116" s="38"/>
      <c r="K116" s="16">
        <f t="shared" si="28"/>
        <v>0</v>
      </c>
      <c r="L116" s="17">
        <f t="shared" si="29"/>
        <v>0</v>
      </c>
      <c r="M116" s="17">
        <f t="shared" si="30"/>
        <v>0</v>
      </c>
      <c r="N116" s="17">
        <f t="shared" si="31"/>
        <v>0</v>
      </c>
      <c r="O116" s="52">
        <f t="shared" si="32"/>
        <v>0</v>
      </c>
      <c r="P116" s="122"/>
      <c r="Q116" s="73"/>
      <c r="R116" s="104">
        <f t="shared" si="33"/>
        <v>0</v>
      </c>
      <c r="S116" s="104">
        <f t="shared" si="34"/>
        <v>0</v>
      </c>
      <c r="T116" s="53">
        <v>0</v>
      </c>
      <c r="U116" s="7"/>
      <c r="V116" s="64"/>
      <c r="W116" s="3"/>
      <c r="X116" s="104">
        <f t="shared" si="35"/>
        <v>0</v>
      </c>
      <c r="Y116" s="29">
        <f t="shared" si="25"/>
        <v>0</v>
      </c>
      <c r="Z116" s="25">
        <f t="shared" si="36"/>
        <v>0</v>
      </c>
    </row>
    <row r="117" spans="1:26">
      <c r="A117" s="13">
        <v>112</v>
      </c>
      <c r="B117" s="4"/>
      <c r="C117" s="31"/>
      <c r="D117" s="54"/>
      <c r="E117" s="3">
        <f t="shared" si="27"/>
        <v>30</v>
      </c>
      <c r="F117" s="16"/>
      <c r="G117" s="30"/>
      <c r="H117" s="30"/>
      <c r="I117" s="30"/>
      <c r="J117" s="38"/>
      <c r="K117" s="16">
        <f t="shared" si="28"/>
        <v>0</v>
      </c>
      <c r="L117" s="17">
        <f t="shared" si="29"/>
        <v>0</v>
      </c>
      <c r="M117" s="17">
        <f t="shared" si="30"/>
        <v>0</v>
      </c>
      <c r="N117" s="17">
        <f t="shared" si="31"/>
        <v>0</v>
      </c>
      <c r="O117" s="52">
        <f t="shared" si="32"/>
        <v>0</v>
      </c>
      <c r="P117" s="122"/>
      <c r="Q117" s="73"/>
      <c r="R117" s="104">
        <f t="shared" si="33"/>
        <v>0</v>
      </c>
      <c r="S117" s="104">
        <f t="shared" si="34"/>
        <v>0</v>
      </c>
      <c r="T117" s="53">
        <v>0</v>
      </c>
      <c r="U117" s="7"/>
      <c r="V117" s="64"/>
      <c r="W117" s="3"/>
      <c r="X117" s="104">
        <f t="shared" si="35"/>
        <v>0</v>
      </c>
      <c r="Y117" s="29">
        <f t="shared" si="25"/>
        <v>0</v>
      </c>
      <c r="Z117" s="25">
        <f t="shared" si="36"/>
        <v>0</v>
      </c>
    </row>
    <row r="118" spans="1:26">
      <c r="A118" s="13">
        <v>113</v>
      </c>
      <c r="B118" s="4"/>
      <c r="C118" s="31"/>
      <c r="D118" s="54"/>
      <c r="E118" s="3">
        <f t="shared" si="27"/>
        <v>30</v>
      </c>
      <c r="F118" s="16"/>
      <c r="G118" s="30"/>
      <c r="H118" s="30"/>
      <c r="I118" s="30"/>
      <c r="J118" s="38"/>
      <c r="K118" s="16">
        <f t="shared" si="28"/>
        <v>0</v>
      </c>
      <c r="L118" s="17">
        <f t="shared" si="29"/>
        <v>0</v>
      </c>
      <c r="M118" s="17">
        <f t="shared" si="30"/>
        <v>0</v>
      </c>
      <c r="N118" s="17">
        <f t="shared" si="31"/>
        <v>0</v>
      </c>
      <c r="O118" s="52">
        <f t="shared" si="32"/>
        <v>0</v>
      </c>
      <c r="P118" s="122"/>
      <c r="Q118" s="73"/>
      <c r="R118" s="104">
        <f t="shared" si="33"/>
        <v>0</v>
      </c>
      <c r="S118" s="104">
        <f t="shared" si="34"/>
        <v>0</v>
      </c>
      <c r="T118" s="53">
        <v>0</v>
      </c>
      <c r="U118" s="7"/>
      <c r="V118" s="64"/>
      <c r="W118" s="3"/>
      <c r="X118" s="104">
        <f t="shared" si="35"/>
        <v>0</v>
      </c>
      <c r="Y118" s="29">
        <f t="shared" si="25"/>
        <v>0</v>
      </c>
      <c r="Z118" s="25">
        <f t="shared" si="36"/>
        <v>0</v>
      </c>
    </row>
    <row r="119" spans="1:26">
      <c r="A119" s="13">
        <v>114</v>
      </c>
      <c r="B119" s="4"/>
      <c r="C119" s="31"/>
      <c r="D119" s="54"/>
      <c r="E119" s="3">
        <f t="shared" si="27"/>
        <v>30</v>
      </c>
      <c r="F119" s="16"/>
      <c r="G119" s="30"/>
      <c r="H119" s="30"/>
      <c r="I119" s="30"/>
      <c r="J119" s="38"/>
      <c r="K119" s="16">
        <f t="shared" si="28"/>
        <v>0</v>
      </c>
      <c r="L119" s="17">
        <f t="shared" si="29"/>
        <v>0</v>
      </c>
      <c r="M119" s="17">
        <f t="shared" si="30"/>
        <v>0</v>
      </c>
      <c r="N119" s="17">
        <f t="shared" si="31"/>
        <v>0</v>
      </c>
      <c r="O119" s="52">
        <f t="shared" si="32"/>
        <v>0</v>
      </c>
      <c r="P119" s="122"/>
      <c r="Q119" s="73"/>
      <c r="R119" s="104">
        <f t="shared" si="33"/>
        <v>0</v>
      </c>
      <c r="S119" s="104">
        <f t="shared" si="34"/>
        <v>0</v>
      </c>
      <c r="T119" s="53">
        <v>0</v>
      </c>
      <c r="U119" s="7"/>
      <c r="V119" s="64"/>
      <c r="W119" s="3"/>
      <c r="X119" s="104">
        <f t="shared" si="35"/>
        <v>0</v>
      </c>
      <c r="Y119" s="29">
        <f t="shared" si="25"/>
        <v>0</v>
      </c>
      <c r="Z119" s="25">
        <f t="shared" si="36"/>
        <v>0</v>
      </c>
    </row>
    <row r="120" spans="1:26">
      <c r="A120" s="13">
        <v>115</v>
      </c>
      <c r="B120" s="4"/>
      <c r="C120" s="31"/>
      <c r="D120" s="54"/>
      <c r="E120" s="3">
        <f t="shared" si="27"/>
        <v>30</v>
      </c>
      <c r="F120" s="16"/>
      <c r="G120" s="30"/>
      <c r="H120" s="30"/>
      <c r="I120" s="30"/>
      <c r="J120" s="38"/>
      <c r="K120" s="16">
        <f t="shared" si="28"/>
        <v>0</v>
      </c>
      <c r="L120" s="17">
        <f t="shared" si="29"/>
        <v>0</v>
      </c>
      <c r="M120" s="17">
        <f t="shared" si="30"/>
        <v>0</v>
      </c>
      <c r="N120" s="17">
        <f t="shared" si="31"/>
        <v>0</v>
      </c>
      <c r="O120" s="52">
        <f t="shared" si="32"/>
        <v>0</v>
      </c>
      <c r="P120" s="122"/>
      <c r="Q120" s="73"/>
      <c r="R120" s="104">
        <f t="shared" si="33"/>
        <v>0</v>
      </c>
      <c r="S120" s="104">
        <f t="shared" si="34"/>
        <v>0</v>
      </c>
      <c r="T120" s="53">
        <v>0</v>
      </c>
      <c r="U120" s="7"/>
      <c r="V120" s="64"/>
      <c r="W120" s="3"/>
      <c r="X120" s="104">
        <f t="shared" si="35"/>
        <v>0</v>
      </c>
      <c r="Y120" s="29">
        <f t="shared" si="25"/>
        <v>0</v>
      </c>
      <c r="Z120" s="25">
        <f t="shared" si="36"/>
        <v>0</v>
      </c>
    </row>
    <row r="121" spans="1:26">
      <c r="A121" s="13">
        <v>116</v>
      </c>
      <c r="B121" s="4"/>
      <c r="C121" s="31"/>
      <c r="D121" s="54"/>
      <c r="E121" s="3">
        <f t="shared" si="27"/>
        <v>30</v>
      </c>
      <c r="F121" s="16"/>
      <c r="G121" s="30"/>
      <c r="H121" s="30"/>
      <c r="I121" s="30"/>
      <c r="J121" s="38"/>
      <c r="K121" s="16">
        <f t="shared" si="28"/>
        <v>0</v>
      </c>
      <c r="L121" s="17">
        <f t="shared" si="29"/>
        <v>0</v>
      </c>
      <c r="M121" s="17">
        <f t="shared" si="30"/>
        <v>0</v>
      </c>
      <c r="N121" s="17">
        <f t="shared" si="31"/>
        <v>0</v>
      </c>
      <c r="O121" s="52">
        <f t="shared" si="32"/>
        <v>0</v>
      </c>
      <c r="P121" s="122"/>
      <c r="Q121" s="73"/>
      <c r="R121" s="104">
        <f t="shared" si="33"/>
        <v>0</v>
      </c>
      <c r="S121" s="104">
        <f t="shared" si="34"/>
        <v>0</v>
      </c>
      <c r="T121" s="53">
        <v>0</v>
      </c>
      <c r="U121" s="7"/>
      <c r="V121" s="64"/>
      <c r="W121" s="3"/>
      <c r="X121" s="104">
        <f t="shared" si="35"/>
        <v>0</v>
      </c>
      <c r="Y121" s="29">
        <f t="shared" si="25"/>
        <v>0</v>
      </c>
      <c r="Z121" s="25">
        <f t="shared" si="36"/>
        <v>0</v>
      </c>
    </row>
    <row r="122" spans="1:26">
      <c r="A122" s="13">
        <v>117</v>
      </c>
      <c r="B122" s="4"/>
      <c r="C122" s="31"/>
      <c r="D122" s="54"/>
      <c r="E122" s="3">
        <f t="shared" si="27"/>
        <v>30</v>
      </c>
      <c r="F122" s="16"/>
      <c r="G122" s="30"/>
      <c r="H122" s="30"/>
      <c r="I122" s="30"/>
      <c r="J122" s="38"/>
      <c r="K122" s="16">
        <f t="shared" si="28"/>
        <v>0</v>
      </c>
      <c r="L122" s="17">
        <f t="shared" si="29"/>
        <v>0</v>
      </c>
      <c r="M122" s="17">
        <f t="shared" si="30"/>
        <v>0</v>
      </c>
      <c r="N122" s="17">
        <f t="shared" si="31"/>
        <v>0</v>
      </c>
      <c r="O122" s="52">
        <f t="shared" si="32"/>
        <v>0</v>
      </c>
      <c r="P122" s="122"/>
      <c r="Q122" s="73"/>
      <c r="R122" s="104">
        <f t="shared" si="33"/>
        <v>0</v>
      </c>
      <c r="S122" s="104">
        <f t="shared" si="34"/>
        <v>0</v>
      </c>
      <c r="T122" s="53">
        <v>0</v>
      </c>
      <c r="U122" s="7"/>
      <c r="V122" s="64"/>
      <c r="W122" s="3"/>
      <c r="X122" s="104">
        <f t="shared" si="35"/>
        <v>0</v>
      </c>
      <c r="Y122" s="29">
        <f t="shared" si="25"/>
        <v>0</v>
      </c>
      <c r="Z122" s="25">
        <f t="shared" si="36"/>
        <v>0</v>
      </c>
    </row>
    <row r="123" spans="1:26">
      <c r="A123" s="13">
        <v>118</v>
      </c>
      <c r="B123" s="4"/>
      <c r="C123" s="31"/>
      <c r="D123" s="54"/>
      <c r="E123" s="3">
        <f t="shared" si="27"/>
        <v>30</v>
      </c>
      <c r="F123" s="16"/>
      <c r="G123" s="30"/>
      <c r="H123" s="30"/>
      <c r="I123" s="30"/>
      <c r="J123" s="38"/>
      <c r="K123" s="16">
        <f t="shared" si="28"/>
        <v>0</v>
      </c>
      <c r="L123" s="17">
        <f t="shared" si="29"/>
        <v>0</v>
      </c>
      <c r="M123" s="17">
        <f t="shared" si="30"/>
        <v>0</v>
      </c>
      <c r="N123" s="17">
        <f t="shared" si="31"/>
        <v>0</v>
      </c>
      <c r="O123" s="52">
        <f t="shared" si="32"/>
        <v>0</v>
      </c>
      <c r="P123" s="122"/>
      <c r="Q123" s="73"/>
      <c r="R123" s="104">
        <f t="shared" si="33"/>
        <v>0</v>
      </c>
      <c r="S123" s="104">
        <f t="shared" si="34"/>
        <v>0</v>
      </c>
      <c r="T123" s="53">
        <v>0</v>
      </c>
      <c r="U123" s="7"/>
      <c r="V123" s="64"/>
      <c r="W123" s="3"/>
      <c r="X123" s="104">
        <f t="shared" si="35"/>
        <v>0</v>
      </c>
      <c r="Y123" s="29">
        <f t="shared" si="25"/>
        <v>0</v>
      </c>
      <c r="Z123" s="25">
        <f t="shared" si="36"/>
        <v>0</v>
      </c>
    </row>
    <row r="124" spans="1:26" ht="16.5" thickBot="1">
      <c r="A124" s="152">
        <v>119</v>
      </c>
      <c r="B124" s="153"/>
      <c r="C124" s="76"/>
      <c r="D124" s="55"/>
      <c r="E124" s="88">
        <f t="shared" si="27"/>
        <v>30</v>
      </c>
      <c r="F124" s="19"/>
      <c r="G124" s="97"/>
      <c r="H124" s="97"/>
      <c r="I124" s="97"/>
      <c r="J124" s="75"/>
      <c r="K124" s="19">
        <f t="shared" si="28"/>
        <v>0</v>
      </c>
      <c r="L124" s="20">
        <f t="shared" si="29"/>
        <v>0</v>
      </c>
      <c r="M124" s="20">
        <f t="shared" si="30"/>
        <v>0</v>
      </c>
      <c r="N124" s="20">
        <f t="shared" si="31"/>
        <v>0</v>
      </c>
      <c r="O124" s="99">
        <f t="shared" si="32"/>
        <v>0</v>
      </c>
      <c r="P124" s="123"/>
      <c r="Q124" s="74"/>
      <c r="R124" s="110">
        <f t="shared" si="33"/>
        <v>0</v>
      </c>
      <c r="S124" s="110">
        <f t="shared" si="34"/>
        <v>0</v>
      </c>
      <c r="T124" s="69">
        <v>0</v>
      </c>
      <c r="U124" s="68"/>
      <c r="V124" s="70"/>
      <c r="W124" s="88"/>
      <c r="X124" s="110">
        <f t="shared" si="35"/>
        <v>0</v>
      </c>
      <c r="Y124" s="87">
        <f t="shared" si="25"/>
        <v>0</v>
      </c>
      <c r="Z124" s="71">
        <f t="shared" si="36"/>
        <v>0</v>
      </c>
    </row>
    <row r="125" spans="1:26" ht="16.5" thickBot="1">
      <c r="A125" s="136" t="s">
        <v>15</v>
      </c>
      <c r="B125" s="137"/>
      <c r="C125" s="138"/>
      <c r="F125" s="95"/>
      <c r="G125" s="95"/>
      <c r="H125" s="95"/>
      <c r="I125" s="95"/>
      <c r="J125" s="96"/>
      <c r="K125" s="154">
        <f>SUM(K6:K124)</f>
        <v>0</v>
      </c>
      <c r="L125" s="142">
        <f t="shared" ref="L125:O125" si="37">SUM(L6:L124)</f>
        <v>0</v>
      </c>
      <c r="M125" s="142">
        <f t="shared" si="37"/>
        <v>0</v>
      </c>
      <c r="N125" s="142">
        <f t="shared" si="37"/>
        <v>0</v>
      </c>
      <c r="O125" s="155">
        <f t="shared" si="37"/>
        <v>0</v>
      </c>
      <c r="P125" s="124"/>
      <c r="Q125" s="96"/>
      <c r="R125" s="143">
        <f>SUM(R6:R124)</f>
        <v>0</v>
      </c>
      <c r="S125" s="143">
        <f t="shared" ref="S125:Z125" si="38">SUM(S6:S124)</f>
        <v>0</v>
      </c>
      <c r="T125" s="143">
        <f t="shared" si="38"/>
        <v>0</v>
      </c>
      <c r="U125" s="143">
        <f t="shared" si="38"/>
        <v>0</v>
      </c>
      <c r="V125" s="156">
        <f t="shared" si="38"/>
        <v>0</v>
      </c>
      <c r="W125" s="143">
        <f t="shared" si="38"/>
        <v>0</v>
      </c>
      <c r="X125" s="143">
        <f t="shared" si="38"/>
        <v>0</v>
      </c>
      <c r="Y125" s="158">
        <f t="shared" si="38"/>
        <v>0</v>
      </c>
      <c r="Z125" s="160">
        <f t="shared" si="38"/>
        <v>0</v>
      </c>
    </row>
    <row r="126" spans="1:26" ht="16.5" thickBot="1">
      <c r="A126" s="139"/>
      <c r="B126" s="140"/>
      <c r="C126" s="141"/>
      <c r="K126" s="154"/>
      <c r="L126" s="142"/>
      <c r="M126" s="142"/>
      <c r="N126" s="142"/>
      <c r="O126" s="155"/>
      <c r="P126" s="124"/>
      <c r="R126" s="144"/>
      <c r="S126" s="144"/>
      <c r="T126" s="144"/>
      <c r="U126" s="144"/>
      <c r="V126" s="157"/>
      <c r="W126" s="144"/>
      <c r="X126" s="144"/>
      <c r="Y126" s="159"/>
      <c r="Z126" s="161"/>
    </row>
    <row r="127" spans="1:26">
      <c r="A127" s="93"/>
      <c r="B127" s="93"/>
      <c r="C127" s="93"/>
      <c r="R127" s="111"/>
      <c r="S127" s="111"/>
      <c r="T127" s="93"/>
      <c r="U127" s="93"/>
      <c r="V127" s="93"/>
      <c r="W127" s="93"/>
      <c r="X127" s="111"/>
      <c r="Y127" s="93"/>
    </row>
    <row r="128" spans="1:26" ht="16.5" thickBot="1"/>
    <row r="129" spans="16:19" ht="16.5" thickBot="1">
      <c r="P129" s="147" t="s">
        <v>21</v>
      </c>
      <c r="Q129" s="147"/>
      <c r="R129" s="148">
        <f>R125+S125</f>
        <v>0</v>
      </c>
      <c r="S129" s="148"/>
    </row>
    <row r="130" spans="16:19" ht="16.5" thickBot="1">
      <c r="P130" s="147"/>
      <c r="Q130" s="147"/>
      <c r="R130" s="148"/>
      <c r="S130" s="148"/>
    </row>
    <row r="146" spans="2:26" ht="16.5" thickBot="1"/>
    <row r="147" spans="2:26" ht="16.5" thickBot="1">
      <c r="B147" s="130" t="s">
        <v>2</v>
      </c>
      <c r="C147" s="126" t="s">
        <v>0</v>
      </c>
      <c r="D147" s="126" t="s">
        <v>24</v>
      </c>
      <c r="E147" s="126" t="s">
        <v>8</v>
      </c>
      <c r="F147" s="133" t="s">
        <v>22</v>
      </c>
      <c r="G147" s="134"/>
      <c r="H147" s="134"/>
      <c r="I147" s="134"/>
      <c r="J147" s="135"/>
      <c r="K147" s="145" t="s">
        <v>23</v>
      </c>
      <c r="L147" s="145"/>
      <c r="M147" s="145"/>
      <c r="N147" s="145"/>
      <c r="O147" s="145"/>
      <c r="P147" s="146" t="s">
        <v>3</v>
      </c>
      <c r="Q147" s="126" t="s">
        <v>4</v>
      </c>
      <c r="R147" s="127" t="s">
        <v>20</v>
      </c>
      <c r="S147" s="129" t="s">
        <v>13</v>
      </c>
      <c r="T147" s="126" t="s">
        <v>16</v>
      </c>
      <c r="U147" s="126" t="s">
        <v>5</v>
      </c>
      <c r="V147" s="126" t="s">
        <v>7</v>
      </c>
      <c r="W147" s="126" t="s">
        <v>6</v>
      </c>
      <c r="X147" s="127" t="s">
        <v>17</v>
      </c>
      <c r="Y147" s="126" t="s">
        <v>14</v>
      </c>
      <c r="Z147" s="126" t="s">
        <v>19</v>
      </c>
    </row>
    <row r="148" spans="2:26" ht="32.25" thickBot="1">
      <c r="B148" s="131"/>
      <c r="C148" s="126"/>
      <c r="D148" s="126"/>
      <c r="E148" s="126"/>
      <c r="F148" s="42" t="s">
        <v>9</v>
      </c>
      <c r="G148" s="43" t="s">
        <v>10</v>
      </c>
      <c r="H148" s="43" t="s">
        <v>12</v>
      </c>
      <c r="I148" s="43" t="s">
        <v>18</v>
      </c>
      <c r="J148" s="44" t="s">
        <v>11</v>
      </c>
      <c r="K148" s="45" t="s">
        <v>9</v>
      </c>
      <c r="L148" s="43" t="s">
        <v>10</v>
      </c>
      <c r="M148" s="43" t="s">
        <v>12</v>
      </c>
      <c r="N148" s="46" t="s">
        <v>18</v>
      </c>
      <c r="O148" s="44" t="s">
        <v>11</v>
      </c>
      <c r="P148" s="146"/>
      <c r="Q148" s="126"/>
      <c r="R148" s="128"/>
      <c r="S148" s="129"/>
      <c r="T148" s="126"/>
      <c r="U148" s="126"/>
      <c r="V148" s="126"/>
      <c r="W148" s="126"/>
      <c r="X148" s="128"/>
      <c r="Y148" s="126"/>
      <c r="Z148" s="126"/>
    </row>
    <row r="149" spans="2:26" ht="16.5" thickBot="1">
      <c r="B149" s="51"/>
      <c r="C149" s="56" t="e">
        <f>VLOOKUP(B149,B:AE,2,FALSE)</f>
        <v>#N/A</v>
      </c>
      <c r="D149" s="117" t="e">
        <f>VLOOKUP(B149,B:AE,3,FALSE)</f>
        <v>#N/A</v>
      </c>
      <c r="E149" s="117" t="e">
        <f>VLOOKUP(B149,B:AE,4,FALSE)</f>
        <v>#N/A</v>
      </c>
      <c r="F149" s="117" t="e">
        <f>VLOOKUP(B149,B:AE,5,FALSE)</f>
        <v>#N/A</v>
      </c>
      <c r="G149" s="117" t="e">
        <f>VLOOKUP(B149,B:AE,6,FALSE)</f>
        <v>#N/A</v>
      </c>
      <c r="H149" s="117" t="e">
        <f>VLOOKUP(B149,B:AE,7,FALSE)</f>
        <v>#N/A</v>
      </c>
      <c r="I149" s="117" t="e">
        <f>VLOOKUP(B149,B:AE,8,FALSE)</f>
        <v>#N/A</v>
      </c>
      <c r="J149" s="117" t="e">
        <f>VLOOKUP(B149,B:AE,9,FALSE)</f>
        <v>#N/A</v>
      </c>
      <c r="K149" s="117" t="e">
        <f>VLOOKUP(B149,B:AE,10,FALSE)</f>
        <v>#N/A</v>
      </c>
      <c r="L149" s="117" t="e">
        <f>VLOOKUP(B149,B:AE,11,FALSE)</f>
        <v>#N/A</v>
      </c>
      <c r="M149" s="117" t="e">
        <f>VLOOKUP(B149,B:AE,12,FALSE)</f>
        <v>#N/A</v>
      </c>
      <c r="N149" s="117" t="e">
        <f>VLOOKUP(B149,B:AE,13,FALSE)</f>
        <v>#N/A</v>
      </c>
      <c r="O149" s="117" t="e">
        <f>VLOOKUP(B149,B:AE,14,FALSE)</f>
        <v>#N/A</v>
      </c>
      <c r="P149" s="125" t="e">
        <f>VLOOKUP(B149,B:AE,15,FALSE)</f>
        <v>#N/A</v>
      </c>
      <c r="Q149" s="117" t="e">
        <f>VLOOKUP(B149,B:AE,16,FALSE)</f>
        <v>#N/A</v>
      </c>
      <c r="R149" s="116" t="e">
        <f>VLOOKUP(B149,B:AE,17,FALSE)</f>
        <v>#N/A</v>
      </c>
      <c r="S149" s="116" t="e">
        <f>VLOOKUP(B149,B:AE,18,FALSE)</f>
        <v>#N/A</v>
      </c>
      <c r="T149" s="117" t="e">
        <f>VLOOKUP(B149,B:AE,19,FALSE)</f>
        <v>#N/A</v>
      </c>
      <c r="U149" s="117" t="e">
        <f>VLOOKUP(B149,B:AE,20,FALSE)</f>
        <v>#N/A</v>
      </c>
      <c r="V149" s="118" t="e">
        <f>VLOOKUP(B149,B:AE,21,FALSE)</f>
        <v>#N/A</v>
      </c>
      <c r="W149" s="117" t="e">
        <f>VLOOKUP(B149,B:AE,22,FALSE)</f>
        <v>#N/A</v>
      </c>
      <c r="X149" s="116" t="e">
        <f>VLOOKUP(B149,B:AE,23,FALSE)</f>
        <v>#N/A</v>
      </c>
      <c r="Y149" s="115" t="e">
        <f>VLOOKUP(B149,B:AE,24,FALSE)</f>
        <v>#N/A</v>
      </c>
      <c r="Z149" s="119" t="e">
        <f>VLOOKUP(B149,B:AE,25,FALSE)</f>
        <v>#N/A</v>
      </c>
    </row>
  </sheetData>
  <autoFilter ref="A4:Z86">
    <filterColumn colId="5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</autoFilter>
  <mergeCells count="52">
    <mergeCell ref="W147:W148"/>
    <mergeCell ref="X147:X148"/>
    <mergeCell ref="Y147:Y148"/>
    <mergeCell ref="Z147:Z148"/>
    <mergeCell ref="U147:U148"/>
    <mergeCell ref="B147:B148"/>
    <mergeCell ref="C147:C148"/>
    <mergeCell ref="D147:D148"/>
    <mergeCell ref="E147:E148"/>
    <mergeCell ref="F147:J147"/>
    <mergeCell ref="K147:O147"/>
    <mergeCell ref="P147:P148"/>
    <mergeCell ref="Q147:Q148"/>
    <mergeCell ref="R147:R148"/>
    <mergeCell ref="S147:S148"/>
    <mergeCell ref="T147:T148"/>
    <mergeCell ref="V147:V148"/>
    <mergeCell ref="P129:Q130"/>
    <mergeCell ref="R129:S130"/>
    <mergeCell ref="S125:S126"/>
    <mergeCell ref="T125:T126"/>
    <mergeCell ref="U125:U126"/>
    <mergeCell ref="V125:V126"/>
    <mergeCell ref="W125:W126"/>
    <mergeCell ref="X125:X126"/>
    <mergeCell ref="Y125:Y126"/>
    <mergeCell ref="Z125:Z126"/>
    <mergeCell ref="A125:C126"/>
    <mergeCell ref="K125:K126"/>
    <mergeCell ref="L125:L126"/>
    <mergeCell ref="M125:M126"/>
    <mergeCell ref="N125:N126"/>
    <mergeCell ref="O125:O126"/>
    <mergeCell ref="R125:R126"/>
    <mergeCell ref="U4:U5"/>
    <mergeCell ref="V4:V5"/>
    <mergeCell ref="W4:W5"/>
    <mergeCell ref="X4:X5"/>
    <mergeCell ref="Y4:Y5"/>
    <mergeCell ref="Z4:Z5"/>
    <mergeCell ref="K4:O4"/>
    <mergeCell ref="P4:P5"/>
    <mergeCell ref="Q4:Q5"/>
    <mergeCell ref="R4:R5"/>
    <mergeCell ref="S4:S5"/>
    <mergeCell ref="T4:T5"/>
    <mergeCell ref="A4:A5"/>
    <mergeCell ref="B4:B5"/>
    <mergeCell ref="C4:C5"/>
    <mergeCell ref="D4:D5"/>
    <mergeCell ref="E4:E5"/>
    <mergeCell ref="F4:J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فبراير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Michael</cp:lastModifiedBy>
  <dcterms:created xsi:type="dcterms:W3CDTF">2017-04-30T12:25:20Z</dcterms:created>
  <dcterms:modified xsi:type="dcterms:W3CDTF">2019-03-18T20:07:53Z</dcterms:modified>
</cp:coreProperties>
</file>