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640" windowHeight="11160"/>
  </bookViews>
  <sheets>
    <sheet name="Sheet1" sheetId="1" r:id="rId1"/>
  </sheets>
  <definedNames>
    <definedName name="income">Sheet1!$G$6</definedName>
    <definedName name="Tax">Sheet1!$A$1:$C$13</definedName>
    <definedName name="TAX_2020">Sheet1!$TAX$2020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6" i="1" l="1"/>
  <c r="C2" i="1"/>
  <c r="E11" i="1"/>
  <c r="E9" i="1"/>
  <c r="D4" i="1"/>
  <c r="D5" i="1"/>
  <c r="E12" i="1" s="1"/>
  <c r="D6" i="1"/>
  <c r="E13" i="1" s="1"/>
  <c r="D7" i="1"/>
  <c r="D8" i="1"/>
  <c r="D9" i="1"/>
  <c r="D10" i="1"/>
  <c r="D11" i="1"/>
  <c r="D12" i="1"/>
  <c r="D13" i="1"/>
  <c r="D3" i="1"/>
  <c r="C3" i="1" s="1"/>
  <c r="E10" i="1" l="1"/>
  <c r="C10" i="1"/>
  <c r="C6" i="1"/>
  <c r="C13" i="1"/>
  <c r="C9" i="1"/>
  <c r="C5" i="1"/>
  <c r="C12" i="1"/>
  <c r="C8" i="1"/>
  <c r="C4" i="1"/>
  <c r="C11" i="1"/>
  <c r="C7" i="1"/>
</calcChain>
</file>

<file path=xl/sharedStrings.xml><?xml version="1.0" encoding="utf-8"?>
<sst xmlns="http://schemas.openxmlformats.org/spreadsheetml/2006/main" count="7" uniqueCount="7">
  <si>
    <t xml:space="preserve">الشريحة السنوية </t>
  </si>
  <si>
    <t>نسبة الضريبة</t>
  </si>
  <si>
    <t xml:space="preserve">ضريبة اخر شريحة </t>
  </si>
  <si>
    <t xml:space="preserve">متجمع الضريبة </t>
  </si>
  <si>
    <t xml:space="preserve">الضريبة الاضافية </t>
  </si>
  <si>
    <t>الراتب</t>
  </si>
  <si>
    <t>الضريبة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</si>
</sst>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_-* #,##0.00\-;_-* &quot;-&quot;??_-;_-@_-"/>
    <numFmt numFmtId="164" formatCode="_-* #,##0_-;_-* #,##0\-;_-* &quot;-&quot;??_-;_-@_-"/>
  </numFmts>
  <fonts count="4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164" fontId="0" fillId="0" borderId="0" xfId="1" applyNumberFormat="1" applyFont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164" fontId="2" fillId="2" borderId="1" xfId="1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tabSelected="1" zoomScale="145" zoomScaleNormal="145" workbookViewId="0">
      <selection activeCell="K9" sqref="K9"/>
    </sheetView>
  </sheetViews>
  <sheetFormatPr defaultRowHeight="15"/>
  <cols>
    <col min="1" max="1" width="14.85546875" style="1" bestFit="1" customWidth="1"/>
    <col min="2" max="2" width="10.5703125" bestFit="1" customWidth="1"/>
    <col min="3" max="3" width="12.140625" bestFit="1" customWidth="1"/>
    <col min="4" max="4" width="14.5703125" bestFit="1" customWidth="1"/>
    <col min="5" max="5" width="13.85546875" bestFit="1" customWidth="1"/>
  </cols>
  <sheetData>
    <row r="1" spans="1:8">
      <c r="A1" s="5" t="s">
        <v>0</v>
      </c>
      <c r="B1" s="2" t="s">
        <v>1</v>
      </c>
      <c r="C1" s="2" t="s">
        <v>3</v>
      </c>
      <c r="D1" s="2" t="s">
        <v>2</v>
      </c>
      <c r="E1" s="2" t="s">
        <v>4</v>
      </c>
    </row>
    <row r="2" spans="1:8">
      <c r="A2" s="5">
        <v>0</v>
      </c>
      <c r="B2" s="2">
        <v>0</v>
      </c>
      <c r="C2" s="6">
        <f>SUM($D$2:D2)+E2</f>
        <v>0</v>
      </c>
      <c r="D2" s="6">
        <v>0</v>
      </c>
      <c r="E2" s="10"/>
    </row>
    <row r="3" spans="1:8">
      <c r="A3" s="5">
        <v>2000</v>
      </c>
      <c r="B3" s="7">
        <v>2.5000000000000001E-2</v>
      </c>
      <c r="C3" s="6">
        <f>SUM($D$2:D3)+E3</f>
        <v>0</v>
      </c>
      <c r="D3" s="6">
        <f>(A3-A2)*B2</f>
        <v>0</v>
      </c>
      <c r="E3" s="10"/>
    </row>
    <row r="4" spans="1:8">
      <c r="A4" s="5">
        <v>3250</v>
      </c>
      <c r="B4" s="8">
        <v>0.1</v>
      </c>
      <c r="C4" s="6">
        <f>SUM($D$2:D4)+E4</f>
        <v>31.25</v>
      </c>
      <c r="D4" s="6">
        <f t="shared" ref="D4:D13" si="0">(A4-A3)*B3</f>
        <v>31.25</v>
      </c>
      <c r="E4" s="10"/>
    </row>
    <row r="5" spans="1:8" ht="18.75">
      <c r="A5" s="5">
        <v>4500</v>
      </c>
      <c r="B5" s="8">
        <v>0.15</v>
      </c>
      <c r="C5" s="6">
        <f>SUM($D$2:D5)+E5</f>
        <v>156.25</v>
      </c>
      <c r="D5" s="6">
        <f t="shared" si="0"/>
        <v>125</v>
      </c>
      <c r="E5" s="10"/>
      <c r="G5" s="3" t="s">
        <v>5</v>
      </c>
      <c r="H5" s="3" t="s">
        <v>6</v>
      </c>
    </row>
    <row r="6" spans="1:8" ht="18.75">
      <c r="A6" s="5">
        <v>5750</v>
      </c>
      <c r="B6" s="8">
        <v>0.2</v>
      </c>
      <c r="C6" s="6">
        <f>SUM($D$2:D6)+E6</f>
        <v>343.75</v>
      </c>
      <c r="D6" s="6">
        <f t="shared" si="0"/>
        <v>187.5</v>
      </c>
      <c r="E6" s="10"/>
      <c r="G6" s="4"/>
      <c r="H6" s="3">
        <f>(income-VLOOKUP(income,Tax,1))*VLOOKUP(income,Tax,2)+VLOOKUP(income,Tax,3)</f>
        <v>0</v>
      </c>
    </row>
    <row r="7" spans="1:8">
      <c r="A7" s="5">
        <v>17416.666666666668</v>
      </c>
      <c r="B7" s="7">
        <v>0.22500000000000001</v>
      </c>
      <c r="C7" s="6">
        <f>SUM($D$2:D7)+E7</f>
        <v>2677.0833333333335</v>
      </c>
      <c r="D7" s="6">
        <f t="shared" si="0"/>
        <v>2333.3333333333335</v>
      </c>
      <c r="E7" s="10"/>
    </row>
    <row r="8" spans="1:8">
      <c r="A8" s="5">
        <v>34083.333333333336</v>
      </c>
      <c r="B8" s="8">
        <v>0.25</v>
      </c>
      <c r="C8" s="6">
        <f>SUM($D$2:D8)+E8</f>
        <v>6427.0833333333339</v>
      </c>
      <c r="D8" s="6">
        <f t="shared" si="0"/>
        <v>3750.0000000000005</v>
      </c>
      <c r="E8" s="10"/>
    </row>
    <row r="9" spans="1:8">
      <c r="A9" s="9">
        <v>50750</v>
      </c>
      <c r="B9" s="8">
        <v>0.25</v>
      </c>
      <c r="C9" s="6">
        <f>SUM($D$2:D9)+E9</f>
        <v>11093.75</v>
      </c>
      <c r="D9" s="6">
        <f t="shared" si="0"/>
        <v>4166.6666666666661</v>
      </c>
      <c r="E9" s="11">
        <f>(A3-A2)*B9-D2</f>
        <v>500</v>
      </c>
    </row>
    <row r="10" spans="1:8">
      <c r="A10" s="9">
        <v>59083.333333333336</v>
      </c>
      <c r="B10" s="8">
        <v>0.25</v>
      </c>
      <c r="C10" s="6">
        <f>SUM($D$2:D10)+E10</f>
        <v>12989.583333333334</v>
      </c>
      <c r="D10" s="6">
        <f t="shared" si="0"/>
        <v>2083.3333333333339</v>
      </c>
      <c r="E10" s="11">
        <f>(A4-A3)*B10-D3</f>
        <v>312.5</v>
      </c>
    </row>
    <row r="11" spans="1:8">
      <c r="A11" s="9">
        <v>67416.666666666672</v>
      </c>
      <c r="B11" s="8">
        <v>0.25</v>
      </c>
      <c r="C11" s="6">
        <f>SUM($D$2:D11)+E11</f>
        <v>15041.666666666668</v>
      </c>
      <c r="D11" s="6">
        <f t="shared" si="0"/>
        <v>2083.3333333333339</v>
      </c>
      <c r="E11" s="11">
        <f>(A5-A4)*B11-D4</f>
        <v>281.25</v>
      </c>
    </row>
    <row r="12" spans="1:8">
      <c r="A12" s="9">
        <v>75750</v>
      </c>
      <c r="B12" s="8">
        <v>0.25</v>
      </c>
      <c r="C12" s="6">
        <f>SUM($D$2:D12)+E12</f>
        <v>17031.25</v>
      </c>
      <c r="D12" s="6">
        <f t="shared" si="0"/>
        <v>2083.3333333333321</v>
      </c>
      <c r="E12" s="11">
        <f>(A6-A5)*B12-D5</f>
        <v>187.5</v>
      </c>
    </row>
    <row r="13" spans="1:8">
      <c r="A13" s="9">
        <v>84083.333333333328</v>
      </c>
      <c r="B13" s="8">
        <v>0.25</v>
      </c>
      <c r="C13" s="6">
        <f>SUM($D$2:D13)+E13</f>
        <v>21656.25</v>
      </c>
      <c r="D13" s="6">
        <f t="shared" si="0"/>
        <v>2083.3333333333321</v>
      </c>
      <c r="E13" s="11">
        <f>(A7-A6)*B13-D6</f>
        <v>2729.166666666667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income</vt:lpstr>
      <vt:lpstr>Tax</vt:lpstr>
      <vt:lpstr>TAX_2020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Walid -</dc:creator>
  <cp:lastModifiedBy>pc_13</cp:lastModifiedBy>
  <dcterms:created xsi:type="dcterms:W3CDTF">2020-04-24T22:29:52Z</dcterms:created>
  <dcterms:modified xsi:type="dcterms:W3CDTF">2020-11-29T12:46:34Z</dcterms:modified>
</cp:coreProperties>
</file>