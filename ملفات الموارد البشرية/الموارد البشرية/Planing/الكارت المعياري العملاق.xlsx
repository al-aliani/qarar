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1015" windowHeight="9975" tabRatio="801"/>
  </bookViews>
  <sheets>
    <sheet name="الرئيسية" sheetId="1" r:id="rId1"/>
    <sheet name="اجمالي التكاليف خلال الفترة" sheetId="2" r:id="rId2"/>
    <sheet name="اهلاك خطوط الانتاج" sheetId="14" r:id="rId3"/>
    <sheet name="توزيع التكاليف" sheetId="3" r:id="rId4"/>
    <sheet name="الصنف 1" sheetId="4" r:id="rId5"/>
    <sheet name="الصنف 2" sheetId="5" r:id="rId6"/>
    <sheet name="الصنف 3" sheetId="6" r:id="rId7"/>
    <sheet name="الصنف 4" sheetId="7" r:id="rId8"/>
    <sheet name="الصنف 5" sheetId="8" r:id="rId9"/>
    <sheet name="الصنف 6" sheetId="9" r:id="rId10"/>
    <sheet name="الصنف 7" sheetId="10" r:id="rId11"/>
    <sheet name="الصنف 8" sheetId="11" r:id="rId12"/>
    <sheet name="الصنف 9" sheetId="12" r:id="rId13"/>
    <sheet name="الصنف 10" sheetId="13" r:id="rId14"/>
  </sheets>
  <calcPr calcId="124519"/>
</workbook>
</file>

<file path=xl/calcChain.xml><?xml version="1.0" encoding="utf-8"?>
<calcChain xmlns="http://schemas.openxmlformats.org/spreadsheetml/2006/main">
  <c r="F13" i="14"/>
  <c r="E13" s="1"/>
  <c r="D13" s="1"/>
  <c r="C13" s="1"/>
  <c r="B13" s="1"/>
  <c r="F12"/>
  <c r="E12" s="1"/>
  <c r="D12" s="1"/>
  <c r="C12" s="1"/>
  <c r="B12" s="1"/>
  <c r="F11"/>
  <c r="E11" s="1"/>
  <c r="D11" s="1"/>
  <c r="C11" s="1"/>
  <c r="B11" s="1"/>
  <c r="F10"/>
  <c r="H32" i="1"/>
  <c r="C6" i="3" s="1"/>
  <c r="F11" i="13"/>
  <c r="F11" i="12"/>
  <c r="F11" i="11"/>
  <c r="F11" i="10"/>
  <c r="F11" i="9"/>
  <c r="F11" i="8"/>
  <c r="F11" i="7"/>
  <c r="F11" i="6"/>
  <c r="F11" i="5"/>
  <c r="C17" i="12"/>
  <c r="B17" s="1"/>
  <c r="C17" i="13"/>
  <c r="B17" s="1"/>
  <c r="B2" i="9"/>
  <c r="B2" i="8"/>
  <c r="B5" s="1"/>
  <c r="B2" i="5"/>
  <c r="B5" s="1"/>
  <c r="F2" i="8"/>
  <c r="F2" i="13"/>
  <c r="B2" s="1"/>
  <c r="B5" s="1"/>
  <c r="D30" s="1"/>
  <c r="F2" i="12"/>
  <c r="F2" i="11"/>
  <c r="F2" i="10"/>
  <c r="B2" s="1"/>
  <c r="F2" i="9"/>
  <c r="F2" i="7"/>
  <c r="B2" s="1"/>
  <c r="B5" s="1"/>
  <c r="F2" i="6"/>
  <c r="B2" s="1"/>
  <c r="F2" i="5"/>
  <c r="F57" i="6"/>
  <c r="D50"/>
  <c r="F49"/>
  <c r="F48"/>
  <c r="F47"/>
  <c r="F46"/>
  <c r="F45"/>
  <c r="F44"/>
  <c r="F43"/>
  <c r="F42"/>
  <c r="F41"/>
  <c r="F40"/>
  <c r="D38"/>
  <c r="F37"/>
  <c r="F36"/>
  <c r="F35"/>
  <c r="F34"/>
  <c r="F33"/>
  <c r="F32"/>
  <c r="F31"/>
  <c r="F30"/>
  <c r="F29"/>
  <c r="F28"/>
  <c r="F27"/>
  <c r="D25"/>
  <c r="D21"/>
  <c r="F20"/>
  <c r="C20"/>
  <c r="B20"/>
  <c r="F19"/>
  <c r="C19"/>
  <c r="B19" s="1"/>
  <c r="F18"/>
  <c r="C18"/>
  <c r="B18" s="1"/>
  <c r="F17"/>
  <c r="C17"/>
  <c r="B17" s="1"/>
  <c r="F16"/>
  <c r="C16"/>
  <c r="B16" s="1"/>
  <c r="E11"/>
  <c r="F57" i="7"/>
  <c r="D50"/>
  <c r="F49"/>
  <c r="F48"/>
  <c r="F47"/>
  <c r="F46"/>
  <c r="F45"/>
  <c r="F44"/>
  <c r="F43"/>
  <c r="F42"/>
  <c r="F41"/>
  <c r="F40"/>
  <c r="D38"/>
  <c r="F37"/>
  <c r="F36"/>
  <c r="F35"/>
  <c r="F34"/>
  <c r="F33"/>
  <c r="F32"/>
  <c r="F31"/>
  <c r="F30"/>
  <c r="F29"/>
  <c r="F28"/>
  <c r="F27"/>
  <c r="D25"/>
  <c r="D21"/>
  <c r="F20"/>
  <c r="C20"/>
  <c r="B20" s="1"/>
  <c r="F19"/>
  <c r="C19"/>
  <c r="B19" s="1"/>
  <c r="F18"/>
  <c r="C18"/>
  <c r="B18" s="1"/>
  <c r="F17"/>
  <c r="C17"/>
  <c r="B17" s="1"/>
  <c r="F16"/>
  <c r="C16"/>
  <c r="B16" s="1"/>
  <c r="E11"/>
  <c r="F57" i="8"/>
  <c r="D50"/>
  <c r="F49"/>
  <c r="F48"/>
  <c r="F47"/>
  <c r="F46"/>
  <c r="F45"/>
  <c r="F44"/>
  <c r="F43"/>
  <c r="F42"/>
  <c r="F41"/>
  <c r="F40"/>
  <c r="D38"/>
  <c r="F37"/>
  <c r="F36"/>
  <c r="F35"/>
  <c r="F34"/>
  <c r="F33"/>
  <c r="F32"/>
  <c r="F31"/>
  <c r="F30"/>
  <c r="F29"/>
  <c r="F28"/>
  <c r="F27"/>
  <c r="D25"/>
  <c r="D21"/>
  <c r="F20"/>
  <c r="C20"/>
  <c r="B20" s="1"/>
  <c r="F19"/>
  <c r="C19"/>
  <c r="B19" s="1"/>
  <c r="F18"/>
  <c r="C18"/>
  <c r="B18" s="1"/>
  <c r="F17"/>
  <c r="C17"/>
  <c r="B17" s="1"/>
  <c r="F16"/>
  <c r="C16"/>
  <c r="B16" s="1"/>
  <c r="E11"/>
  <c r="F57" i="9"/>
  <c r="D50"/>
  <c r="F49"/>
  <c r="F48"/>
  <c r="F47"/>
  <c r="F46"/>
  <c r="F45"/>
  <c r="F44"/>
  <c r="F43"/>
  <c r="F42"/>
  <c r="F41"/>
  <c r="F40"/>
  <c r="D38"/>
  <c r="F37"/>
  <c r="F36"/>
  <c r="F35"/>
  <c r="F34"/>
  <c r="F33"/>
  <c r="F32"/>
  <c r="F31"/>
  <c r="F30"/>
  <c r="F29"/>
  <c r="F28"/>
  <c r="F27"/>
  <c r="D25"/>
  <c r="D21"/>
  <c r="F20"/>
  <c r="C20"/>
  <c r="B20" s="1"/>
  <c r="F19"/>
  <c r="C19"/>
  <c r="B19" s="1"/>
  <c r="F18"/>
  <c r="C18"/>
  <c r="B18" s="1"/>
  <c r="F17"/>
  <c r="C17"/>
  <c r="B17"/>
  <c r="F16"/>
  <c r="C16"/>
  <c r="B16" s="1"/>
  <c r="E11"/>
  <c r="B5"/>
  <c r="F57" i="10"/>
  <c r="D50"/>
  <c r="F49"/>
  <c r="F48"/>
  <c r="F47"/>
  <c r="F46"/>
  <c r="F45"/>
  <c r="F44"/>
  <c r="F43"/>
  <c r="F42"/>
  <c r="F41"/>
  <c r="F40"/>
  <c r="D38"/>
  <c r="F37"/>
  <c r="F36"/>
  <c r="F35"/>
  <c r="F34"/>
  <c r="F33"/>
  <c r="F32"/>
  <c r="F31"/>
  <c r="F30"/>
  <c r="F29"/>
  <c r="F28"/>
  <c r="F27"/>
  <c r="D25"/>
  <c r="D21"/>
  <c r="F20"/>
  <c r="C20"/>
  <c r="B20" s="1"/>
  <c r="F19"/>
  <c r="C19"/>
  <c r="B19" s="1"/>
  <c r="F18"/>
  <c r="C18"/>
  <c r="B18" s="1"/>
  <c r="F17"/>
  <c r="C17"/>
  <c r="B17" s="1"/>
  <c r="F16"/>
  <c r="C16"/>
  <c r="B16" s="1"/>
  <c r="E11"/>
  <c r="F57" i="11"/>
  <c r="D50"/>
  <c r="F49"/>
  <c r="F48"/>
  <c r="F47"/>
  <c r="F46"/>
  <c r="F45"/>
  <c r="F44"/>
  <c r="F43"/>
  <c r="F42"/>
  <c r="F41"/>
  <c r="F40"/>
  <c r="D38"/>
  <c r="F37"/>
  <c r="F36"/>
  <c r="F35"/>
  <c r="F34"/>
  <c r="F33"/>
  <c r="F32"/>
  <c r="F31"/>
  <c r="F30"/>
  <c r="F29"/>
  <c r="F28"/>
  <c r="F27"/>
  <c r="D25"/>
  <c r="D21"/>
  <c r="F20"/>
  <c r="C20"/>
  <c r="B20" s="1"/>
  <c r="F19"/>
  <c r="C19"/>
  <c r="B19" s="1"/>
  <c r="F18"/>
  <c r="C18"/>
  <c r="B18" s="1"/>
  <c r="F17"/>
  <c r="C17"/>
  <c r="B17" s="1"/>
  <c r="F16"/>
  <c r="C16"/>
  <c r="B16" s="1"/>
  <c r="E11"/>
  <c r="F57" i="12"/>
  <c r="D50"/>
  <c r="F49"/>
  <c r="F48"/>
  <c r="F47"/>
  <c r="F46"/>
  <c r="F45"/>
  <c r="F44"/>
  <c r="F43"/>
  <c r="F42"/>
  <c r="F41"/>
  <c r="F40"/>
  <c r="D38"/>
  <c r="F37"/>
  <c r="F36"/>
  <c r="F35"/>
  <c r="F34"/>
  <c r="F33"/>
  <c r="F32"/>
  <c r="F31"/>
  <c r="F30"/>
  <c r="F29"/>
  <c r="F28"/>
  <c r="F27"/>
  <c r="D25"/>
  <c r="D21"/>
  <c r="F20"/>
  <c r="C20"/>
  <c r="B20" s="1"/>
  <c r="F19"/>
  <c r="C19"/>
  <c r="B19" s="1"/>
  <c r="F18"/>
  <c r="C18"/>
  <c r="B18"/>
  <c r="F17"/>
  <c r="F16"/>
  <c r="C16"/>
  <c r="B16" s="1"/>
  <c r="E11"/>
  <c r="F57" i="13"/>
  <c r="D50"/>
  <c r="F49"/>
  <c r="F48"/>
  <c r="F47"/>
  <c r="F46"/>
  <c r="F45"/>
  <c r="F44"/>
  <c r="F43"/>
  <c r="F42"/>
  <c r="F41"/>
  <c r="F40"/>
  <c r="D38"/>
  <c r="F37"/>
  <c r="F36"/>
  <c r="F35"/>
  <c r="F34"/>
  <c r="F33"/>
  <c r="F32"/>
  <c r="F31"/>
  <c r="F30"/>
  <c r="F29"/>
  <c r="F28"/>
  <c r="F27"/>
  <c r="D25"/>
  <c r="D21"/>
  <c r="F20"/>
  <c r="C20"/>
  <c r="B20" s="1"/>
  <c r="F19"/>
  <c r="C19"/>
  <c r="B19" s="1"/>
  <c r="F18"/>
  <c r="C18"/>
  <c r="B18" s="1"/>
  <c r="F17"/>
  <c r="F16"/>
  <c r="C16"/>
  <c r="B16" s="1"/>
  <c r="E11"/>
  <c r="F57" i="5"/>
  <c r="D50"/>
  <c r="F49"/>
  <c r="F48"/>
  <c r="F47"/>
  <c r="F46"/>
  <c r="F45"/>
  <c r="F44"/>
  <c r="F43"/>
  <c r="F42"/>
  <c r="F41"/>
  <c r="F40"/>
  <c r="D38"/>
  <c r="F37"/>
  <c r="F36"/>
  <c r="F35"/>
  <c r="F34"/>
  <c r="F33"/>
  <c r="F32"/>
  <c r="F31"/>
  <c r="F30"/>
  <c r="F29"/>
  <c r="F28"/>
  <c r="F27"/>
  <c r="D25"/>
  <c r="D21"/>
  <c r="F20"/>
  <c r="C20"/>
  <c r="B20" s="1"/>
  <c r="F19"/>
  <c r="C19"/>
  <c r="B19" s="1"/>
  <c r="F18"/>
  <c r="C18"/>
  <c r="B18" s="1"/>
  <c r="F17"/>
  <c r="C17"/>
  <c r="B17" s="1"/>
  <c r="F16"/>
  <c r="C16"/>
  <c r="B16" s="1"/>
  <c r="E11"/>
  <c r="F57" i="4"/>
  <c r="E11"/>
  <c r="D50"/>
  <c r="F42"/>
  <c r="F43"/>
  <c r="F44"/>
  <c r="F45"/>
  <c r="F46"/>
  <c r="F47"/>
  <c r="F48"/>
  <c r="F49"/>
  <c r="F41"/>
  <c r="F40"/>
  <c r="F27"/>
  <c r="F37"/>
  <c r="D38"/>
  <c r="F29"/>
  <c r="F30"/>
  <c r="F31"/>
  <c r="F32"/>
  <c r="F33"/>
  <c r="F34"/>
  <c r="F35"/>
  <c r="F36"/>
  <c r="F28"/>
  <c r="D25"/>
  <c r="D21"/>
  <c r="F2"/>
  <c r="B2" s="1"/>
  <c r="B5" s="1"/>
  <c r="D48" s="1"/>
  <c r="F11"/>
  <c r="C18"/>
  <c r="B18" s="1"/>
  <c r="C19"/>
  <c r="B19" s="1"/>
  <c r="C20"/>
  <c r="B20" s="1"/>
  <c r="C17"/>
  <c r="B17" s="1"/>
  <c r="C16"/>
  <c r="B16" s="1"/>
  <c r="F17"/>
  <c r="F18"/>
  <c r="F19"/>
  <c r="F20"/>
  <c r="F16"/>
  <c r="B14" i="3"/>
  <c r="B15"/>
  <c r="B16"/>
  <c r="B17"/>
  <c r="B18"/>
  <c r="B19"/>
  <c r="B20"/>
  <c r="B21"/>
  <c r="B22"/>
  <c r="B13"/>
  <c r="B26"/>
  <c r="B27"/>
  <c r="B28"/>
  <c r="B29"/>
  <c r="B30"/>
  <c r="B31"/>
  <c r="B32"/>
  <c r="B33"/>
  <c r="B34"/>
  <c r="B25"/>
  <c r="L4"/>
  <c r="K4"/>
  <c r="J4"/>
  <c r="I4"/>
  <c r="H4"/>
  <c r="G4"/>
  <c r="F4"/>
  <c r="E4"/>
  <c r="D4"/>
  <c r="C4"/>
  <c r="E10" i="14"/>
  <c r="D10" s="1"/>
  <c r="H14"/>
  <c r="G14"/>
  <c r="B2" i="12" l="1"/>
  <c r="B5" s="1"/>
  <c r="B5" i="11"/>
  <c r="D43" s="1"/>
  <c r="B2"/>
  <c r="B21" i="9"/>
  <c r="C18" i="3"/>
  <c r="C32" i="4" s="1"/>
  <c r="C9" i="3"/>
  <c r="C24" i="4" s="1"/>
  <c r="D6" i="3"/>
  <c r="D10" s="1"/>
  <c r="C23" i="5" s="1"/>
  <c r="B21"/>
  <c r="B21" i="8"/>
  <c r="B21" i="12"/>
  <c r="B21" i="13"/>
  <c r="D34"/>
  <c r="D37"/>
  <c r="B5" i="10"/>
  <c r="B5" i="6"/>
  <c r="D47" i="11"/>
  <c r="D45"/>
  <c r="D46"/>
  <c r="D49"/>
  <c r="D49" i="9"/>
  <c r="D48"/>
  <c r="D47"/>
  <c r="D46"/>
  <c r="D45"/>
  <c r="D44"/>
  <c r="D43"/>
  <c r="D42"/>
  <c r="D41"/>
  <c r="D40"/>
  <c r="D24"/>
  <c r="D33"/>
  <c r="D29"/>
  <c r="D36"/>
  <c r="D32"/>
  <c r="D28"/>
  <c r="D23"/>
  <c r="D35"/>
  <c r="D31"/>
  <c r="D27"/>
  <c r="D37"/>
  <c r="D34"/>
  <c r="D30"/>
  <c r="D49" i="13"/>
  <c r="D48"/>
  <c r="D47"/>
  <c r="D46"/>
  <c r="D45"/>
  <c r="D44"/>
  <c r="D43"/>
  <c r="D42"/>
  <c r="D41"/>
  <c r="D40"/>
  <c r="D24"/>
  <c r="D34" i="10"/>
  <c r="D37" i="7"/>
  <c r="D36"/>
  <c r="D35"/>
  <c r="D34"/>
  <c r="D33"/>
  <c r="D32"/>
  <c r="D31"/>
  <c r="D30"/>
  <c r="D29"/>
  <c r="D28"/>
  <c r="D27"/>
  <c r="D23"/>
  <c r="D49"/>
  <c r="D47"/>
  <c r="D45"/>
  <c r="D43"/>
  <c r="D41"/>
  <c r="D24"/>
  <c r="D48"/>
  <c r="D46"/>
  <c r="D44"/>
  <c r="D42"/>
  <c r="D40"/>
  <c r="D37" i="11"/>
  <c r="D34"/>
  <c r="D33"/>
  <c r="D30"/>
  <c r="D29"/>
  <c r="D23"/>
  <c r="D24"/>
  <c r="D27" i="13"/>
  <c r="D31"/>
  <c r="D35"/>
  <c r="B21" i="11"/>
  <c r="B21" i="10"/>
  <c r="B21" i="7"/>
  <c r="D23" i="13"/>
  <c r="D28"/>
  <c r="D32"/>
  <c r="D36"/>
  <c r="D40" i="11"/>
  <c r="D44"/>
  <c r="D47" i="8"/>
  <c r="D45"/>
  <c r="D42"/>
  <c r="D40"/>
  <c r="D37"/>
  <c r="D36"/>
  <c r="D35"/>
  <c r="D34"/>
  <c r="D33"/>
  <c r="D32"/>
  <c r="D31"/>
  <c r="D30"/>
  <c r="D29"/>
  <c r="D28"/>
  <c r="D27"/>
  <c r="D23"/>
  <c r="D49"/>
  <c r="D48"/>
  <c r="D46"/>
  <c r="D44"/>
  <c r="D43"/>
  <c r="D41"/>
  <c r="D24"/>
  <c r="D29" i="13"/>
  <c r="D33"/>
  <c r="B21" i="6"/>
  <c r="D28" i="5"/>
  <c r="D30"/>
  <c r="D32"/>
  <c r="D34"/>
  <c r="D36"/>
  <c r="D40"/>
  <c r="D41"/>
  <c r="D42"/>
  <c r="D43"/>
  <c r="D44"/>
  <c r="D45"/>
  <c r="D46"/>
  <c r="D47"/>
  <c r="D48"/>
  <c r="D49"/>
  <c r="D23"/>
  <c r="D27"/>
  <c r="D29"/>
  <c r="D31"/>
  <c r="D33"/>
  <c r="D35"/>
  <c r="D37"/>
  <c r="D24"/>
  <c r="D37" i="4"/>
  <c r="D23"/>
  <c r="D32"/>
  <c r="D33"/>
  <c r="D47"/>
  <c r="D24"/>
  <c r="D35"/>
  <c r="D31"/>
  <c r="D41"/>
  <c r="D45"/>
  <c r="D49"/>
  <c r="D36"/>
  <c r="D42"/>
  <c r="D46"/>
  <c r="D28"/>
  <c r="D29"/>
  <c r="D40"/>
  <c r="D43"/>
  <c r="D27"/>
  <c r="D34"/>
  <c r="D30"/>
  <c r="D44"/>
  <c r="B21"/>
  <c r="L6" i="3"/>
  <c r="L10" s="1"/>
  <c r="C23" i="13" s="1"/>
  <c r="H6" i="3"/>
  <c r="H9" s="1"/>
  <c r="C24" i="9" s="1"/>
  <c r="G6" i="3"/>
  <c r="G25" s="1"/>
  <c r="C40" i="8" s="1"/>
  <c r="K6" i="3"/>
  <c r="K25" s="1"/>
  <c r="C40" i="12" s="1"/>
  <c r="F6" i="3"/>
  <c r="F33" s="1"/>
  <c r="C48" i="7" s="1"/>
  <c r="J6" i="3"/>
  <c r="J33" s="1"/>
  <c r="C48" i="11" s="1"/>
  <c r="E6" i="3"/>
  <c r="E10" s="1"/>
  <c r="C23" i="6" s="1"/>
  <c r="I6" i="3"/>
  <c r="I10" s="1"/>
  <c r="C23" i="10" s="1"/>
  <c r="C33" i="3"/>
  <c r="C48" i="4" s="1"/>
  <c r="B48" s="1"/>
  <c r="C13" i="3"/>
  <c r="C27" i="4" s="1"/>
  <c r="C22" i="3"/>
  <c r="C36" i="4" s="1"/>
  <c r="C21" i="3"/>
  <c r="C35" i="4" s="1"/>
  <c r="C17" i="3"/>
  <c r="C31" i="4" s="1"/>
  <c r="F30" i="3"/>
  <c r="C45" i="7" s="1"/>
  <c r="C10" i="3"/>
  <c r="C23" i="4" s="1"/>
  <c r="C27" i="3"/>
  <c r="C42" i="4" s="1"/>
  <c r="C29" i="3"/>
  <c r="C44" i="4" s="1"/>
  <c r="C32" i="3"/>
  <c r="C47" i="4" s="1"/>
  <c r="C25" i="3"/>
  <c r="C16"/>
  <c r="C30" i="4" s="1"/>
  <c r="C20" i="3"/>
  <c r="C34" i="4" s="1"/>
  <c r="C31" i="3"/>
  <c r="C46" i="4" s="1"/>
  <c r="C15" i="3"/>
  <c r="C29" i="4" s="1"/>
  <c r="C19" i="3"/>
  <c r="C33" i="4" s="1"/>
  <c r="C26" i="3"/>
  <c r="C41" i="4" s="1"/>
  <c r="C28" i="3"/>
  <c r="C43" i="4" s="1"/>
  <c r="C30" i="3"/>
  <c r="C45" i="4" s="1"/>
  <c r="C34" i="3"/>
  <c r="C49" i="4" s="1"/>
  <c r="C14" i="3"/>
  <c r="C28" i="4" s="1"/>
  <c r="D14" i="14"/>
  <c r="C10"/>
  <c r="B10" s="1"/>
  <c r="B14" s="1"/>
  <c r="E14"/>
  <c r="D31" i="12" l="1"/>
  <c r="D44"/>
  <c r="D32"/>
  <c r="D47"/>
  <c r="D37"/>
  <c r="D33"/>
  <c r="D49"/>
  <c r="D24"/>
  <c r="D48"/>
  <c r="D40"/>
  <c r="B40" s="1"/>
  <c r="D34"/>
  <c r="D30"/>
  <c r="D23"/>
  <c r="D43"/>
  <c r="D42"/>
  <c r="D35"/>
  <c r="D27"/>
  <c r="D45"/>
  <c r="D36"/>
  <c r="D28"/>
  <c r="D46"/>
  <c r="D29"/>
  <c r="D41"/>
  <c r="F22" i="3"/>
  <c r="C36" i="7" s="1"/>
  <c r="D48" i="11"/>
  <c r="B48" s="1"/>
  <c r="D28"/>
  <c r="D36"/>
  <c r="D42"/>
  <c r="L33" i="3"/>
  <c r="C48" i="13" s="1"/>
  <c r="D27" i="11"/>
  <c r="D31"/>
  <c r="D35"/>
  <c r="D41"/>
  <c r="D32"/>
  <c r="M3" i="3"/>
  <c r="C2" i="14"/>
  <c r="C37" i="8" s="1"/>
  <c r="B37" s="1"/>
  <c r="D13" i="3"/>
  <c r="C27" i="5" s="1"/>
  <c r="B27" s="1"/>
  <c r="E21" i="3"/>
  <c r="C35" i="6" s="1"/>
  <c r="H14" i="3"/>
  <c r="C28" i="9" s="1"/>
  <c r="B28" s="1"/>
  <c r="E15" i="3"/>
  <c r="C29" i="6" s="1"/>
  <c r="H28" i="3"/>
  <c r="C43" i="9" s="1"/>
  <c r="B43" s="1"/>
  <c r="B23" i="4"/>
  <c r="D25" i="3"/>
  <c r="C40" i="5" s="1"/>
  <c r="B40" s="1"/>
  <c r="C40" i="4"/>
  <c r="B40" s="1"/>
  <c r="C24" i="3"/>
  <c r="G57" i="4" s="1"/>
  <c r="D9" i="3"/>
  <c r="C24" i="5" s="1"/>
  <c r="B24" s="1"/>
  <c r="D20" i="3"/>
  <c r="C34" i="5" s="1"/>
  <c r="B34" s="1"/>
  <c r="D34" i="3"/>
  <c r="C49" i="5" s="1"/>
  <c r="B49" s="1"/>
  <c r="D27" i="3"/>
  <c r="C42" i="5" s="1"/>
  <c r="B42" s="1"/>
  <c r="H15" i="3"/>
  <c r="C29" i="9" s="1"/>
  <c r="B29" s="1"/>
  <c r="D18" i="3"/>
  <c r="C32" i="5" s="1"/>
  <c r="B32" s="1"/>
  <c r="D31" i="3"/>
  <c r="C46" i="5" s="1"/>
  <c r="B46" s="1"/>
  <c r="D30" i="3"/>
  <c r="C45" i="5" s="1"/>
  <c r="B45" s="1"/>
  <c r="D26" i="3"/>
  <c r="C41" i="5" s="1"/>
  <c r="B41" s="1"/>
  <c r="D33" i="3"/>
  <c r="C48" i="5" s="1"/>
  <c r="B48" s="1"/>
  <c r="G26" i="3"/>
  <c r="C41" i="8" s="1"/>
  <c r="B41" s="1"/>
  <c r="D16" i="3"/>
  <c r="C30" i="5" s="1"/>
  <c r="B30" s="1"/>
  <c r="D21" i="3"/>
  <c r="C35" i="5" s="1"/>
  <c r="B35" s="1"/>
  <c r="D15" i="3"/>
  <c r="C29" i="5" s="1"/>
  <c r="B29" s="1"/>
  <c r="D22" i="3"/>
  <c r="C36" i="5" s="1"/>
  <c r="B36" s="1"/>
  <c r="D32" i="3"/>
  <c r="C47" i="5" s="1"/>
  <c r="B47" s="1"/>
  <c r="J16" i="3"/>
  <c r="C30" i="11" s="1"/>
  <c r="B30" s="1"/>
  <c r="E34" i="3"/>
  <c r="C49" i="6" s="1"/>
  <c r="D33" i="10"/>
  <c r="G15" i="3"/>
  <c r="C29" i="8" s="1"/>
  <c r="B29" s="1"/>
  <c r="I30" i="3"/>
  <c r="C45" i="10" s="1"/>
  <c r="D28" i="3"/>
  <c r="C43" i="5" s="1"/>
  <c r="B43" s="1"/>
  <c r="D29" i="3"/>
  <c r="C44" i="5" s="1"/>
  <c r="B44" s="1"/>
  <c r="L15" i="3"/>
  <c r="C29" i="13" s="1"/>
  <c r="B29" s="1"/>
  <c r="D17" i="3"/>
  <c r="C31" i="5" s="1"/>
  <c r="B31" s="1"/>
  <c r="G21" i="3"/>
  <c r="C35" i="8" s="1"/>
  <c r="B35" s="1"/>
  <c r="D19" i="3"/>
  <c r="C33" i="5" s="1"/>
  <c r="B33" s="1"/>
  <c r="D14" i="3"/>
  <c r="C28" i="5" s="1"/>
  <c r="B28" s="1"/>
  <c r="B42" i="4"/>
  <c r="B23" i="5"/>
  <c r="B46" i="4"/>
  <c r="B24"/>
  <c r="B36" i="7"/>
  <c r="D23" i="10"/>
  <c r="B23" s="1"/>
  <c r="D49"/>
  <c r="D45"/>
  <c r="D41"/>
  <c r="J29" i="3"/>
  <c r="C44" i="11" s="1"/>
  <c r="B44" s="1"/>
  <c r="J26" i="3"/>
  <c r="C41" i="11" s="1"/>
  <c r="J25" i="3"/>
  <c r="C40" i="11" s="1"/>
  <c r="B40" s="1"/>
  <c r="H26" i="3"/>
  <c r="C41" i="9" s="1"/>
  <c r="B41" s="1"/>
  <c r="J19" i="3"/>
  <c r="C33" i="11" s="1"/>
  <c r="B33" s="1"/>
  <c r="H27" i="3"/>
  <c r="C42" i="9" s="1"/>
  <c r="B42" s="1"/>
  <c r="H19" i="3"/>
  <c r="C33" i="9" s="1"/>
  <c r="B33" s="1"/>
  <c r="B32" i="4"/>
  <c r="B23" i="13"/>
  <c r="B24" i="9"/>
  <c r="B41" i="4"/>
  <c r="J9" i="3"/>
  <c r="C24" i="11" s="1"/>
  <c r="B24" s="1"/>
  <c r="J28" i="3"/>
  <c r="C43" i="11" s="1"/>
  <c r="B43" s="1"/>
  <c r="H34" i="3"/>
  <c r="C49" i="9" s="1"/>
  <c r="B49" s="1"/>
  <c r="E25" i="3"/>
  <c r="C40" i="6" s="1"/>
  <c r="G17" i="3"/>
  <c r="C31" i="8" s="1"/>
  <c r="B31" s="1"/>
  <c r="H32" i="3"/>
  <c r="C47" i="9" s="1"/>
  <c r="B47" s="1"/>
  <c r="J18" i="3"/>
  <c r="C32" i="11" s="1"/>
  <c r="B32" s="1"/>
  <c r="H22" i="3"/>
  <c r="C36" i="9" s="1"/>
  <c r="B36" s="1"/>
  <c r="B29" i="4"/>
  <c r="B36"/>
  <c r="B35"/>
  <c r="B34"/>
  <c r="B33"/>
  <c r="B31"/>
  <c r="B30"/>
  <c r="B28"/>
  <c r="D31" i="6"/>
  <c r="D29"/>
  <c r="D48"/>
  <c r="D44"/>
  <c r="D40"/>
  <c r="D24"/>
  <c r="B49" i="4"/>
  <c r="B48" i="7"/>
  <c r="B48" i="13"/>
  <c r="B47" i="4"/>
  <c r="B45"/>
  <c r="B45" i="7"/>
  <c r="B44" i="4"/>
  <c r="B43"/>
  <c r="B40" i="8"/>
  <c r="D31" i="10"/>
  <c r="D40"/>
  <c r="D44"/>
  <c r="D48"/>
  <c r="D32"/>
  <c r="D29"/>
  <c r="D37"/>
  <c r="D43"/>
  <c r="D47"/>
  <c r="D30"/>
  <c r="D24"/>
  <c r="D27"/>
  <c r="D35"/>
  <c r="D42"/>
  <c r="D46"/>
  <c r="D28"/>
  <c r="D36"/>
  <c r="D30" i="6"/>
  <c r="D36"/>
  <c r="D43"/>
  <c r="D47"/>
  <c r="D27"/>
  <c r="D37"/>
  <c r="D28"/>
  <c r="D35"/>
  <c r="D42"/>
  <c r="D46"/>
  <c r="D23"/>
  <c r="B23" s="1"/>
  <c r="D34"/>
  <c r="D33"/>
  <c r="D41"/>
  <c r="D45"/>
  <c r="D49"/>
  <c r="D32"/>
  <c r="B27" i="4"/>
  <c r="I34" i="3"/>
  <c r="C49" i="10" s="1"/>
  <c r="I28" i="3"/>
  <c r="C43" i="10" s="1"/>
  <c r="K9" i="3"/>
  <c r="C24" i="12" s="1"/>
  <c r="B24" s="1"/>
  <c r="K21" i="3"/>
  <c r="C35" i="12" s="1"/>
  <c r="I26" i="3"/>
  <c r="C41" i="10" s="1"/>
  <c r="K22" i="3"/>
  <c r="C36" i="12" s="1"/>
  <c r="B36" s="1"/>
  <c r="I19" i="3"/>
  <c r="C33" i="10" s="1"/>
  <c r="K16" i="3"/>
  <c r="C30" i="12" s="1"/>
  <c r="I33" i="3"/>
  <c r="C48" i="10" s="1"/>
  <c r="F27" i="3"/>
  <c r="C42" i="7" s="1"/>
  <c r="B42" s="1"/>
  <c r="I25" i="3"/>
  <c r="C40" i="10" s="1"/>
  <c r="L13" i="3"/>
  <c r="C27" i="13" s="1"/>
  <c r="B27" s="1"/>
  <c r="F17" i="3"/>
  <c r="C31" i="7" s="1"/>
  <c r="B31" s="1"/>
  <c r="I9" i="3"/>
  <c r="F32"/>
  <c r="C47" i="7" s="1"/>
  <c r="B47" s="1"/>
  <c r="L34" i="3"/>
  <c r="C49" i="13" s="1"/>
  <c r="B49" s="1"/>
  <c r="L28" i="3"/>
  <c r="C43" i="13" s="1"/>
  <c r="B43" s="1"/>
  <c r="L26" i="3"/>
  <c r="C41" i="13" s="1"/>
  <c r="B41" s="1"/>
  <c r="H13" i="3"/>
  <c r="C27" i="9" s="1"/>
  <c r="B27" s="1"/>
  <c r="I20" i="3"/>
  <c r="C34" i="10" s="1"/>
  <c r="B34" s="1"/>
  <c r="H16" i="3"/>
  <c r="C30" i="9" s="1"/>
  <c r="B30" s="1"/>
  <c r="F20" i="3"/>
  <c r="C34" i="7" s="1"/>
  <c r="B34" s="1"/>
  <c r="L25" i="3"/>
  <c r="C40" i="13" s="1"/>
  <c r="B40" s="1"/>
  <c r="K31" i="3"/>
  <c r="C46" i="12" s="1"/>
  <c r="I32" i="3"/>
  <c r="C47" i="10" s="1"/>
  <c r="K13" i="3"/>
  <c r="C27" i="12" s="1"/>
  <c r="B27" s="1"/>
  <c r="K17" i="3"/>
  <c r="C31" i="12" s="1"/>
  <c r="L21" i="3"/>
  <c r="C35" i="13" s="1"/>
  <c r="B35" s="1"/>
  <c r="L31" i="3"/>
  <c r="C46" i="13" s="1"/>
  <c r="B46" s="1"/>
  <c r="L9" i="3"/>
  <c r="K32"/>
  <c r="C47" i="12" s="1"/>
  <c r="B47" s="1"/>
  <c r="H30" i="3"/>
  <c r="C45" i="9" s="1"/>
  <c r="B45" s="1"/>
  <c r="K26" i="3"/>
  <c r="C41" i="12" s="1"/>
  <c r="B41" s="1"/>
  <c r="J34" i="3"/>
  <c r="C49" i="11" s="1"/>
  <c r="B49" s="1"/>
  <c r="L16" i="3"/>
  <c r="C30" i="13" s="1"/>
  <c r="B30" s="1"/>
  <c r="L19" i="3"/>
  <c r="C33" i="13" s="1"/>
  <c r="B33" s="1"/>
  <c r="H17" i="3"/>
  <c r="C31" i="9" s="1"/>
  <c r="B31" s="1"/>
  <c r="H21" i="3"/>
  <c r="C35" i="9" s="1"/>
  <c r="B35" s="1"/>
  <c r="H29" i="3"/>
  <c r="C44" i="9" s="1"/>
  <c r="B44" s="1"/>
  <c r="K33" i="3"/>
  <c r="C48" i="12" s="1"/>
  <c r="I18" i="3"/>
  <c r="C32" i="10" s="1"/>
  <c r="I13" i="3"/>
  <c r="C27" i="10" s="1"/>
  <c r="L22" i="3"/>
  <c r="C36" i="13" s="1"/>
  <c r="B36" s="1"/>
  <c r="J21" i="3"/>
  <c r="C35" i="11" s="1"/>
  <c r="B35" s="1"/>
  <c r="J14" i="3"/>
  <c r="C28" i="11" s="1"/>
  <c r="F34" i="3"/>
  <c r="C49" i="7" s="1"/>
  <c r="B49" s="1"/>
  <c r="F9" i="3"/>
  <c r="C24" i="7" s="1"/>
  <c r="B24" s="1"/>
  <c r="F31" i="3"/>
  <c r="C46" i="7" s="1"/>
  <c r="B46" s="1"/>
  <c r="F26" i="3"/>
  <c r="C41" i="7" s="1"/>
  <c r="B41" s="1"/>
  <c r="F19" i="3"/>
  <c r="C33" i="7" s="1"/>
  <c r="B33" s="1"/>
  <c r="L32" i="3"/>
  <c r="C47" i="13" s="1"/>
  <c r="B47" s="1"/>
  <c r="L20" i="3"/>
  <c r="C34" i="13" s="1"/>
  <c r="B34" s="1"/>
  <c r="F13" i="3"/>
  <c r="C27" i="7" s="1"/>
  <c r="B27" s="1"/>
  <c r="K20" i="3"/>
  <c r="C34" i="12" s="1"/>
  <c r="B34" s="1"/>
  <c r="H10" i="3"/>
  <c r="F29"/>
  <c r="C44" i="7" s="1"/>
  <c r="B44" s="1"/>
  <c r="F10" i="3"/>
  <c r="F25"/>
  <c r="L30"/>
  <c r="C45" i="13" s="1"/>
  <c r="B45" s="1"/>
  <c r="J27" i="3"/>
  <c r="C42" i="11" s="1"/>
  <c r="B42" s="1"/>
  <c r="J10" i="3"/>
  <c r="K30"/>
  <c r="C45" i="12" s="1"/>
  <c r="B45" s="1"/>
  <c r="K34" i="3"/>
  <c r="C49" i="12" s="1"/>
  <c r="B49" s="1"/>
  <c r="K28" i="3"/>
  <c r="C43" i="12" s="1"/>
  <c r="F28" i="3"/>
  <c r="C43" i="7" s="1"/>
  <c r="B43" s="1"/>
  <c r="I15" i="3"/>
  <c r="C29" i="10" s="1"/>
  <c r="H20" i="3"/>
  <c r="C34" i="9" s="1"/>
  <c r="B34" s="1"/>
  <c r="H33" i="3"/>
  <c r="C48" i="9" s="1"/>
  <c r="B48" s="1"/>
  <c r="J15" i="3"/>
  <c r="C29" i="11" s="1"/>
  <c r="B29" s="1"/>
  <c r="K18" i="3"/>
  <c r="C32" i="12" s="1"/>
  <c r="B32" s="1"/>
  <c r="H25" i="3"/>
  <c r="C40" i="9" s="1"/>
  <c r="B40" s="1"/>
  <c r="L27" i="3"/>
  <c r="C42" i="13" s="1"/>
  <c r="B42" s="1"/>
  <c r="H31" i="3"/>
  <c r="C46" i="9" s="1"/>
  <c r="B46" s="1"/>
  <c r="I14" i="3"/>
  <c r="C28" i="10" s="1"/>
  <c r="I21" i="3"/>
  <c r="C35" i="10" s="1"/>
  <c r="F18" i="3"/>
  <c r="C32" i="7" s="1"/>
  <c r="B32" s="1"/>
  <c r="F14" i="3"/>
  <c r="C28" i="7" s="1"/>
  <c r="B28" s="1"/>
  <c r="J22" i="3"/>
  <c r="C36" i="11" s="1"/>
  <c r="B36" s="1"/>
  <c r="K19" i="3"/>
  <c r="C33" i="12" s="1"/>
  <c r="B33" s="1"/>
  <c r="L18" i="3"/>
  <c r="C32" i="13" s="1"/>
  <c r="B32" s="1"/>
  <c r="H18" i="3"/>
  <c r="C32" i="9" s="1"/>
  <c r="B32" s="1"/>
  <c r="L29" i="3"/>
  <c r="C44" i="13" s="1"/>
  <c r="B44" s="1"/>
  <c r="F15" i="3"/>
  <c r="C29" i="7" s="1"/>
  <c r="B29" s="1"/>
  <c r="L17" i="3"/>
  <c r="C31" i="13" s="1"/>
  <c r="B31" s="1"/>
  <c r="F21" i="3"/>
  <c r="C35" i="7" s="1"/>
  <c r="B35" s="1"/>
  <c r="F16" i="3"/>
  <c r="C30" i="7" s="1"/>
  <c r="B30" s="1"/>
  <c r="L14" i="3"/>
  <c r="C28" i="13" s="1"/>
  <c r="B28" s="1"/>
  <c r="E30" i="3"/>
  <c r="C45" i="6" s="1"/>
  <c r="E26" i="3"/>
  <c r="C41" i="6" s="1"/>
  <c r="G31" i="3"/>
  <c r="C46" i="8" s="1"/>
  <c r="B46" s="1"/>
  <c r="E33" i="3"/>
  <c r="C48" i="6" s="1"/>
  <c r="G30" i="3"/>
  <c r="C45" i="8" s="1"/>
  <c r="B45" s="1"/>
  <c r="E32" i="3"/>
  <c r="C47" i="6" s="1"/>
  <c r="G28" i="3"/>
  <c r="C43" i="8" s="1"/>
  <c r="B43" s="1"/>
  <c r="E31" i="3"/>
  <c r="C46" i="6" s="1"/>
  <c r="E17" i="3"/>
  <c r="C31" i="6" s="1"/>
  <c r="G22" i="3"/>
  <c r="C36" i="8" s="1"/>
  <c r="B36" s="1"/>
  <c r="E14" i="3"/>
  <c r="C28" i="6" s="1"/>
  <c r="E18" i="3"/>
  <c r="C32" i="6" s="1"/>
  <c r="E22" i="3"/>
  <c r="C36" i="6" s="1"/>
  <c r="E9" i="3"/>
  <c r="G32"/>
  <c r="C47" i="8" s="1"/>
  <c r="B47" s="1"/>
  <c r="E28" i="3"/>
  <c r="C43" i="6" s="1"/>
  <c r="K27" i="3"/>
  <c r="C42" i="12" s="1"/>
  <c r="B42" s="1"/>
  <c r="G9" i="3"/>
  <c r="C24" i="8" s="1"/>
  <c r="B24" s="1"/>
  <c r="J32" i="3"/>
  <c r="C47" i="11" s="1"/>
  <c r="B47" s="1"/>
  <c r="I29" i="3"/>
  <c r="C44" i="10" s="1"/>
  <c r="J31" i="3"/>
  <c r="C46" i="11" s="1"/>
  <c r="B46" s="1"/>
  <c r="G34" i="3"/>
  <c r="C49" i="8" s="1"/>
  <c r="B49" s="1"/>
  <c r="I27" i="3"/>
  <c r="C42" i="10" s="1"/>
  <c r="K10" i="3"/>
  <c r="C23" i="12" s="1"/>
  <c r="J30" i="3"/>
  <c r="C45" i="11" s="1"/>
  <c r="B45" s="1"/>
  <c r="G13" i="3"/>
  <c r="C27" i="8" s="1"/>
  <c r="B27" s="1"/>
  <c r="I22" i="3"/>
  <c r="C36" i="10" s="1"/>
  <c r="E13" i="3"/>
  <c r="C27" i="6" s="1"/>
  <c r="K14" i="3"/>
  <c r="C28" i="12" s="1"/>
  <c r="B28" s="1"/>
  <c r="I16" i="3"/>
  <c r="C30" i="10" s="1"/>
  <c r="G18" i="3"/>
  <c r="C32" i="8" s="1"/>
  <c r="B32" s="1"/>
  <c r="E20" i="3"/>
  <c r="C34" i="6" s="1"/>
  <c r="I31" i="3"/>
  <c r="C46" i="10" s="1"/>
  <c r="I17" i="3"/>
  <c r="C31" i="10" s="1"/>
  <c r="K15" i="3"/>
  <c r="C29" i="12" s="1"/>
  <c r="B29" s="1"/>
  <c r="J20" i="3"/>
  <c r="C34" i="11" s="1"/>
  <c r="B34" s="1"/>
  <c r="G33" i="3"/>
  <c r="C48" i="8" s="1"/>
  <c r="B48" s="1"/>
  <c r="G20" i="3"/>
  <c r="C34" i="8" s="1"/>
  <c r="B34" s="1"/>
  <c r="J17" i="3"/>
  <c r="C31" i="11" s="1"/>
  <c r="B31" s="1"/>
  <c r="K29" i="3"/>
  <c r="C44" i="12" s="1"/>
  <c r="B44" s="1"/>
  <c r="J13" i="3"/>
  <c r="C27" i="11" s="1"/>
  <c r="G27" i="3"/>
  <c r="C42" i="8" s="1"/>
  <c r="B42" s="1"/>
  <c r="G10" i="3"/>
  <c r="C23" i="8" s="1"/>
  <c r="B23" s="1"/>
  <c r="E29" i="3"/>
  <c r="C44" i="6" s="1"/>
  <c r="E27" i="3"/>
  <c r="C42" i="6" s="1"/>
  <c r="E19" i="3"/>
  <c r="C33" i="6" s="1"/>
  <c r="G14" i="3"/>
  <c r="C28" i="8" s="1"/>
  <c r="B28" s="1"/>
  <c r="E16" i="3"/>
  <c r="C30" i="6" s="1"/>
  <c r="G29" i="3"/>
  <c r="C44" i="8" s="1"/>
  <c r="B44" s="1"/>
  <c r="G19" i="3"/>
  <c r="C33" i="8" s="1"/>
  <c r="B33" s="1"/>
  <c r="G16" i="3"/>
  <c r="C30" i="8" s="1"/>
  <c r="B30" s="1"/>
  <c r="C12" i="3"/>
  <c r="C8"/>
  <c r="C14" i="14"/>
  <c r="B31" i="12" l="1"/>
  <c r="B45" i="10"/>
  <c r="B27" i="11"/>
  <c r="B43" i="12"/>
  <c r="B48"/>
  <c r="B46"/>
  <c r="B30"/>
  <c r="B35"/>
  <c r="B23"/>
  <c r="B25" s="1"/>
  <c r="B28" i="11"/>
  <c r="B41"/>
  <c r="B48" i="6"/>
  <c r="B25" i="5"/>
  <c r="C37" i="7"/>
  <c r="B37" s="1"/>
  <c r="C37" i="12"/>
  <c r="B37" s="1"/>
  <c r="B38" s="1"/>
  <c r="D57" s="1"/>
  <c r="C57" s="1"/>
  <c r="C37" i="10"/>
  <c r="B37" s="1"/>
  <c r="C37" i="4"/>
  <c r="B37" s="1"/>
  <c r="C37" i="5"/>
  <c r="B37" s="1"/>
  <c r="B38" s="1"/>
  <c r="D57" s="1"/>
  <c r="C57" s="1"/>
  <c r="C37" i="13"/>
  <c r="B37" s="1"/>
  <c r="B38" s="1"/>
  <c r="C37" i="9"/>
  <c r="B37" s="1"/>
  <c r="B38" s="1"/>
  <c r="D57" s="1"/>
  <c r="C57" s="1"/>
  <c r="C37" i="6"/>
  <c r="B37" s="1"/>
  <c r="C37" i="11"/>
  <c r="B37" s="1"/>
  <c r="B38" s="1"/>
  <c r="D57" s="1"/>
  <c r="C57" s="1"/>
  <c r="B25" i="4"/>
  <c r="B49" i="6"/>
  <c r="B35"/>
  <c r="D8" i="3"/>
  <c r="D24"/>
  <c r="G57" i="5" s="1"/>
  <c r="B29" i="6"/>
  <c r="D12" i="3"/>
  <c r="B41" i="10"/>
  <c r="B33"/>
  <c r="C23" i="7"/>
  <c r="B23" s="1"/>
  <c r="B25" s="1"/>
  <c r="B32" i="6"/>
  <c r="B33"/>
  <c r="B30" i="10"/>
  <c r="B49"/>
  <c r="B25" i="8"/>
  <c r="E8" i="3"/>
  <c r="C24" i="6"/>
  <c r="B24" s="1"/>
  <c r="B25" s="1"/>
  <c r="J8" i="3"/>
  <c r="C23" i="11"/>
  <c r="B23" s="1"/>
  <c r="B25" s="1"/>
  <c r="L8" i="3"/>
  <c r="C24" i="13"/>
  <c r="B24" s="1"/>
  <c r="B25" s="1"/>
  <c r="B27" i="6"/>
  <c r="B44"/>
  <c r="B41"/>
  <c r="B46" i="10"/>
  <c r="B40" i="6"/>
  <c r="B31"/>
  <c r="I8" i="3"/>
  <c r="C24" i="10"/>
  <c r="B24" s="1"/>
  <c r="B25" s="1"/>
  <c r="H8" i="3"/>
  <c r="C23" i="9"/>
  <c r="B23" s="1"/>
  <c r="B25" s="1"/>
  <c r="B30" i="6"/>
  <c r="B36" i="10"/>
  <c r="B36" i="6"/>
  <c r="B35" i="10"/>
  <c r="B34" i="6"/>
  <c r="B32" i="10"/>
  <c r="B31"/>
  <c r="B29"/>
  <c r="B28" i="6"/>
  <c r="B28" i="10"/>
  <c r="B38" i="7"/>
  <c r="D57" s="1"/>
  <c r="C57" s="1"/>
  <c r="B38" i="8"/>
  <c r="D57" s="1"/>
  <c r="C57" s="1"/>
  <c r="B27" i="10"/>
  <c r="B50" i="4"/>
  <c r="B48" i="10"/>
  <c r="B47" i="6"/>
  <c r="B47" i="10"/>
  <c r="B46" i="6"/>
  <c r="B45"/>
  <c r="B50" i="9"/>
  <c r="B44" i="10"/>
  <c r="B43" i="6"/>
  <c r="B43" i="10"/>
  <c r="B50" i="5"/>
  <c r="B50" i="12"/>
  <c r="B42" i="6"/>
  <c r="B42" i="10"/>
  <c r="B50" i="11"/>
  <c r="B50" i="13"/>
  <c r="B50" i="8"/>
  <c r="F24" i="3"/>
  <c r="G57" i="7" s="1"/>
  <c r="C40"/>
  <c r="B40" s="1"/>
  <c r="B50" s="1"/>
  <c r="B40" i="10"/>
  <c r="B38" i="4"/>
  <c r="D57" s="1"/>
  <c r="F8" i="3"/>
  <c r="M16"/>
  <c r="K8"/>
  <c r="M17"/>
  <c r="L12"/>
  <c r="L24"/>
  <c r="G57" i="13" s="1"/>
  <c r="J24" i="3"/>
  <c r="G57" i="11" s="1"/>
  <c r="H24" i="3"/>
  <c r="G57" i="9" s="1"/>
  <c r="M25" i="3"/>
  <c r="M20"/>
  <c r="M14"/>
  <c r="G8"/>
  <c r="J12"/>
  <c r="M15"/>
  <c r="M31"/>
  <c r="M33"/>
  <c r="F12"/>
  <c r="M19"/>
  <c r="I12"/>
  <c r="H12"/>
  <c r="M34"/>
  <c r="K24"/>
  <c r="G57" i="12" s="1"/>
  <c r="M21" i="3"/>
  <c r="M29"/>
  <c r="G24"/>
  <c r="G57" i="8" s="1"/>
  <c r="E12" i="3"/>
  <c r="M12" s="1"/>
  <c r="M28"/>
  <c r="M10"/>
  <c r="M27"/>
  <c r="I24"/>
  <c r="G57" i="10" s="1"/>
  <c r="K12" i="3"/>
  <c r="M30"/>
  <c r="G12"/>
  <c r="M32"/>
  <c r="E24"/>
  <c r="G57" i="6" s="1"/>
  <c r="M9" i="3"/>
  <c r="M26"/>
  <c r="M18"/>
  <c r="M13"/>
  <c r="M22"/>
  <c r="D57" i="13" l="1"/>
  <c r="C57" s="1"/>
  <c r="B57" s="1"/>
  <c r="B8" s="1"/>
  <c r="M8" i="3"/>
  <c r="B38" i="10"/>
  <c r="D57" s="1"/>
  <c r="C57" s="1"/>
  <c r="B38" i="6"/>
  <c r="D57" s="1"/>
  <c r="C57" s="1"/>
  <c r="B57" i="7"/>
  <c r="B8" s="1"/>
  <c r="B11"/>
  <c r="B57" i="9"/>
  <c r="B8" s="1"/>
  <c r="B57" i="12"/>
  <c r="B8" s="1"/>
  <c r="B57" i="8"/>
  <c r="B8" s="1"/>
  <c r="B57" i="5"/>
  <c r="B8" s="1"/>
  <c r="B50" i="10"/>
  <c r="B11" i="5"/>
  <c r="B11" i="9"/>
  <c r="B57" i="11"/>
  <c r="B8" s="1"/>
  <c r="B11"/>
  <c r="B50" i="6"/>
  <c r="B11" i="13"/>
  <c r="B11" i="12"/>
  <c r="B11" i="8"/>
  <c r="B11" i="4"/>
  <c r="M24" i="3"/>
  <c r="B11" i="6" l="1"/>
  <c r="B57" i="10"/>
  <c r="B8" s="1"/>
  <c r="C57" i="4"/>
  <c r="B57" s="1"/>
  <c r="B8" s="1"/>
  <c r="B11" i="10"/>
  <c r="B57" i="6"/>
  <c r="B8" s="1"/>
</calcChain>
</file>

<file path=xl/sharedStrings.xml><?xml version="1.0" encoding="utf-8"?>
<sst xmlns="http://schemas.openxmlformats.org/spreadsheetml/2006/main" count="869" uniqueCount="122">
  <si>
    <t>الكارت المعياري</t>
  </si>
  <si>
    <t>Costing</t>
  </si>
  <si>
    <t>Sheet</t>
  </si>
  <si>
    <t>ساعات العمل</t>
  </si>
  <si>
    <t>ساعة</t>
  </si>
  <si>
    <t>يوم</t>
  </si>
  <si>
    <t>عدد الاصناف</t>
  </si>
  <si>
    <t>أيـــــام الشهر</t>
  </si>
  <si>
    <t>الخطة الانتاجية</t>
  </si>
  <si>
    <t>اسم الصنف</t>
  </si>
  <si>
    <t>رقم</t>
  </si>
  <si>
    <t>الصنف</t>
  </si>
  <si>
    <t>الطاقة المتاحة</t>
  </si>
  <si>
    <t>The production 
 plan</t>
  </si>
  <si>
    <t>الطاقة</t>
  </si>
  <si>
    <t>المتاحة</t>
  </si>
  <si>
    <t>ساعات</t>
  </si>
  <si>
    <t>التشغيل</t>
  </si>
  <si>
    <t>الحساب</t>
  </si>
  <si>
    <t>تكلفة ثابتة 1</t>
  </si>
  <si>
    <t>تكلفة ثابتة 2</t>
  </si>
  <si>
    <t>تكلفة ثابتة 3</t>
  </si>
  <si>
    <t>تكلفة ثابتة 4</t>
  </si>
  <si>
    <t>تكلفة ثابتة 5</t>
  </si>
  <si>
    <t>تكلفة ثابتة 6</t>
  </si>
  <si>
    <t>تكلفة ثابتة 7</t>
  </si>
  <si>
    <t>تكلفة ثابتة 8</t>
  </si>
  <si>
    <t>تكلفة ثابتة 9</t>
  </si>
  <si>
    <t>التكاليف الغير مباشرة الثابتة</t>
  </si>
  <si>
    <t>تكلفة ثابتة 10</t>
  </si>
  <si>
    <t>تكلفة متغيرة 1</t>
  </si>
  <si>
    <t>تكلفة متغيرة 2</t>
  </si>
  <si>
    <t>تكلفة متغيرة 3</t>
  </si>
  <si>
    <t>تكلفة متغيرة 4</t>
  </si>
  <si>
    <t>تكلفة متغيرة 5</t>
  </si>
  <si>
    <t>تكلفة متغيرة 6</t>
  </si>
  <si>
    <t>تكلفة متغيرة 7</t>
  </si>
  <si>
    <t>تكلفة متغيرة 8</t>
  </si>
  <si>
    <t>تكلفة متغيرة 9</t>
  </si>
  <si>
    <t>تكلفة متغيرة 10</t>
  </si>
  <si>
    <t>التكاليف الغير مباشرة المتغيرة</t>
  </si>
  <si>
    <t>الأجور التشغيلية</t>
  </si>
  <si>
    <t xml:space="preserve">التكلفة الوحدة </t>
  </si>
  <si>
    <t>المواد الخام المباشرة للوحدة الواحدة</t>
  </si>
  <si>
    <t>إجمالي التكلفة</t>
  </si>
  <si>
    <t xml:space="preserve">إجمالي التكلفة </t>
  </si>
  <si>
    <t>الاجور الثابتة</t>
  </si>
  <si>
    <t>الاجور المتغيرة</t>
  </si>
  <si>
    <t>خام 1</t>
  </si>
  <si>
    <t>خام 2</t>
  </si>
  <si>
    <t>خام 3</t>
  </si>
  <si>
    <t>خام 4</t>
  </si>
  <si>
    <t>خام 5</t>
  </si>
  <si>
    <t>إجمالي التكاليف خلال الفترة</t>
  </si>
  <si>
    <t>الشهر</t>
  </si>
  <si>
    <t>السنة</t>
  </si>
  <si>
    <t>شهر</t>
  </si>
  <si>
    <t>%</t>
  </si>
  <si>
    <t>في الساعة الواحدة</t>
  </si>
  <si>
    <t>اليومي</t>
  </si>
  <si>
    <t xml:space="preserve"> الشهري</t>
  </si>
  <si>
    <t>السنوي</t>
  </si>
  <si>
    <t>الإجمالي</t>
  </si>
  <si>
    <t>خط 1</t>
  </si>
  <si>
    <t>خط 2</t>
  </si>
  <si>
    <t>خط 3</t>
  </si>
  <si>
    <t>خط 4</t>
  </si>
  <si>
    <t>في الساعة</t>
  </si>
  <si>
    <t>الاصل</t>
  </si>
  <si>
    <t>قيمة</t>
  </si>
  <si>
    <t xml:space="preserve">اسم </t>
  </si>
  <si>
    <t>الخط</t>
  </si>
  <si>
    <t xml:space="preserve">العمر الانتاجي </t>
  </si>
  <si>
    <t>سنوياً</t>
  </si>
  <si>
    <t>الاسم</t>
  </si>
  <si>
    <t>% نسب التوزيع</t>
  </si>
  <si>
    <t>إجمالي عدد ساعات التشغيل لجميع الاصناف</t>
  </si>
  <si>
    <t>إجمالي الاجور التشغيلية</t>
  </si>
  <si>
    <t>إجمالي ت.غ.م المتغيرة</t>
  </si>
  <si>
    <t>إجمالي ت.غ.م الثابتة</t>
  </si>
  <si>
    <t>توزيعات التكاليف على عناصر اصناف المخزون طبقاً لعدد ساعات التشغيل</t>
  </si>
  <si>
    <t>القيمة للوحدة</t>
  </si>
  <si>
    <t>سعر</t>
  </si>
  <si>
    <t>كمية</t>
  </si>
  <si>
    <t>التكلفة</t>
  </si>
  <si>
    <t>القياس</t>
  </si>
  <si>
    <t>وحده</t>
  </si>
  <si>
    <t>كيلو</t>
  </si>
  <si>
    <t>المواد مباشرة</t>
  </si>
  <si>
    <t>عدد</t>
  </si>
  <si>
    <t>وحدة</t>
  </si>
  <si>
    <t>لانتاج / بيع</t>
  </si>
  <si>
    <t>إجمالي التكلفة المعيارية للمواد المباشرة</t>
  </si>
  <si>
    <t>لانتاج</t>
  </si>
  <si>
    <t>تشغيلي</t>
  </si>
  <si>
    <t>اضافي</t>
  </si>
  <si>
    <t>اجور متغيرة</t>
  </si>
  <si>
    <t>إجمالي التكلفة المعيارية للأجور المباشرة</t>
  </si>
  <si>
    <t xml:space="preserve">لانتاج </t>
  </si>
  <si>
    <t>عدد الوحدات</t>
  </si>
  <si>
    <t>ساعات التشغيل</t>
  </si>
  <si>
    <t>معدل ساعات التشغيل</t>
  </si>
  <si>
    <t>سعر البيع</t>
  </si>
  <si>
    <t>نقطة التعادل</t>
  </si>
  <si>
    <t>إجمالي التكلفة المعيارية الصناعية الغير مباشرة</t>
  </si>
  <si>
    <t>التكاليف الغير</t>
  </si>
  <si>
    <t>مباشرة</t>
  </si>
  <si>
    <t>المتغيرة</t>
  </si>
  <si>
    <t>الثابتة</t>
  </si>
  <si>
    <t>اهلاك خط الانتاج</t>
  </si>
  <si>
    <t>معادلات تحديد نقطة التعادل</t>
  </si>
  <si>
    <t>التكاليف الثابتة</t>
  </si>
  <si>
    <t>إجمالي</t>
  </si>
  <si>
    <t xml:space="preserve">التكلفة المتغيرة </t>
  </si>
  <si>
    <t>للوحدة الواحدة</t>
  </si>
  <si>
    <t>التكاليف المتغيرة</t>
  </si>
  <si>
    <t>الوصول</t>
  </si>
  <si>
    <t>لنقطة التعادل</t>
  </si>
  <si>
    <t xml:space="preserve"> </t>
  </si>
  <si>
    <t>إجمالي التكلفة التقديرية للمنتج</t>
  </si>
  <si>
    <t>صنف</t>
  </si>
  <si>
    <t>قيمة أهلاك خطوط الانتاج خلال الفترات</t>
  </si>
</sst>
</file>

<file path=xl/styles.xml><?xml version="1.0" encoding="utf-8"?>
<styleSheet xmlns="http://schemas.openxmlformats.org/spreadsheetml/2006/main">
  <numFmts count="2">
    <numFmt numFmtId="164" formatCode="_([$EGP]\ * #,##0_);_([$EGP]\ * \(#,##0\);_([$EGP]\ * &quot;-&quot;_);_(@_)"/>
    <numFmt numFmtId="165" formatCode="_([$EGP]\ * #,##0.00_);_([$EGP]\ * \(#,##0.00\);_([$EGP]\ * &quot;-&quot;??_);_(@_)"/>
  </numFmts>
  <fonts count="4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C000"/>
      <name val="Calibri"/>
      <family val="2"/>
      <scheme val="minor"/>
    </font>
    <font>
      <b/>
      <sz val="18"/>
      <color theme="6" tint="0.39997558519241921"/>
      <name val="Calibri"/>
      <family val="2"/>
      <scheme val="minor"/>
    </font>
    <font>
      <b/>
      <sz val="18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92D050"/>
      <name val="Calibri"/>
      <family val="2"/>
      <scheme val="minor"/>
    </font>
    <font>
      <sz val="11"/>
      <color theme="5" tint="0.39997558519241921"/>
      <name val="Calibri"/>
      <family val="2"/>
      <scheme val="minor"/>
    </font>
    <font>
      <sz val="11"/>
      <color rgb="FFFFC000"/>
      <name val="Calibri"/>
      <family val="2"/>
      <scheme val="minor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20"/>
      <color theme="1"/>
      <name val="Arial"/>
      <family val="2"/>
    </font>
    <font>
      <b/>
      <sz val="14"/>
      <color theme="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6"/>
      <color theme="1"/>
      <name val="Arial"/>
      <family val="2"/>
    </font>
    <font>
      <b/>
      <sz val="22"/>
      <color theme="0"/>
      <name val="Arial"/>
      <family val="2"/>
    </font>
    <font>
      <b/>
      <sz val="18"/>
      <color theme="0"/>
      <name val="Arial"/>
      <family val="2"/>
    </font>
    <font>
      <sz val="10"/>
      <name val="Arial"/>
      <family val="2"/>
    </font>
    <font>
      <sz val="10"/>
      <color theme="1"/>
      <name val="Calibri"/>
      <family val="2"/>
      <charset val="178"/>
      <scheme val="minor"/>
    </font>
    <font>
      <b/>
      <sz val="16"/>
      <color theme="5" tint="-0.499984740745262"/>
      <name val="Arial"/>
      <family val="2"/>
    </font>
    <font>
      <b/>
      <sz val="16"/>
      <color theme="8" tint="-0.499984740745262"/>
      <name val="Arial"/>
      <family val="2"/>
    </font>
    <font>
      <b/>
      <sz val="16"/>
      <color theme="6" tint="-0.499984740745262"/>
      <name val="Arial"/>
      <family val="2"/>
    </font>
    <font>
      <b/>
      <sz val="16"/>
      <color theme="0"/>
      <name val="Arial"/>
      <family val="2"/>
    </font>
    <font>
      <b/>
      <sz val="18"/>
      <color theme="5" tint="-0.499984740745262"/>
      <name val="Calibri"/>
      <family val="2"/>
      <scheme val="minor"/>
    </font>
    <font>
      <b/>
      <sz val="18"/>
      <color theme="3" tint="-0.499984740745262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name val="Calibri"/>
      <family val="2"/>
      <scheme val="minor"/>
    </font>
    <font>
      <sz val="14"/>
      <color rgb="FFFFC000"/>
      <name val="Calibri"/>
      <family val="2"/>
      <scheme val="minor"/>
    </font>
    <font>
      <b/>
      <sz val="26"/>
      <color rgb="FFFFC000"/>
      <name val="Calibri"/>
      <family val="2"/>
      <scheme val="minor"/>
    </font>
    <font>
      <b/>
      <sz val="16"/>
      <color theme="9" tint="-0.499984740745262"/>
      <name val="Arial"/>
      <family val="2"/>
    </font>
    <font>
      <b/>
      <sz val="14"/>
      <color theme="5" tint="-0.499984740745262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2C021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76">
    <border>
      <left/>
      <right/>
      <top/>
      <bottom/>
      <diagonal/>
    </border>
    <border>
      <left/>
      <right/>
      <top style="thick">
        <color theme="0"/>
      </top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theme="0"/>
      </left>
      <right style="medium">
        <color theme="0"/>
      </right>
      <top/>
      <bottom/>
      <diagonal/>
    </border>
    <border>
      <left style="thin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thin">
        <color theme="0"/>
      </top>
      <bottom/>
      <diagonal/>
    </border>
    <border>
      <left style="medium">
        <color rgb="FF00B0F0"/>
      </left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medium">
        <color rgb="FF92D050"/>
      </left>
      <right style="medium">
        <color rgb="FF92D050"/>
      </right>
      <top style="medium">
        <color rgb="FF92D050"/>
      </top>
      <bottom style="medium">
        <color rgb="FF92D050"/>
      </bottom>
      <diagonal/>
    </border>
    <border>
      <left/>
      <right style="medium">
        <color rgb="FF00B0F0"/>
      </right>
      <top/>
      <bottom/>
      <diagonal/>
    </border>
    <border>
      <left style="medium">
        <color rgb="FF00B0F0"/>
      </left>
      <right/>
      <top/>
      <bottom/>
      <diagonal/>
    </border>
    <border>
      <left style="medium">
        <color theme="5" tint="0.59996337778862885"/>
      </left>
      <right style="medium">
        <color theme="5" tint="0.59996337778862885"/>
      </right>
      <top style="medium">
        <color theme="5" tint="0.59996337778862885"/>
      </top>
      <bottom style="medium">
        <color theme="5" tint="0.59996337778862885"/>
      </bottom>
      <diagonal/>
    </border>
    <border>
      <left/>
      <right/>
      <top style="medium">
        <color theme="5" tint="0.59996337778862885"/>
      </top>
      <bottom/>
      <diagonal/>
    </border>
    <border>
      <left style="medium">
        <color rgb="FFFFC000"/>
      </left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theme="0"/>
      </top>
      <bottom/>
      <diagonal/>
    </border>
    <border>
      <left style="medium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0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thin">
        <color auto="1"/>
      </bottom>
      <diagonal/>
    </border>
    <border>
      <left style="medium">
        <color theme="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theme="0"/>
      </right>
      <top style="thin">
        <color auto="1"/>
      </top>
      <bottom/>
      <diagonal/>
    </border>
    <border>
      <left style="medium">
        <color theme="0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theme="5" tint="-0.499984740745262"/>
      </left>
      <right style="medium">
        <color theme="5" tint="-0.499984740745262"/>
      </right>
      <top style="medium">
        <color theme="5" tint="-0.499984740745262"/>
      </top>
      <bottom/>
      <diagonal/>
    </border>
    <border>
      <left style="medium">
        <color theme="5" tint="-0.499984740745262"/>
      </left>
      <right style="medium">
        <color theme="5" tint="-0.499984740745262"/>
      </right>
      <top/>
      <bottom style="medium">
        <color theme="5" tint="-0.499984740745262"/>
      </bottom>
      <diagonal/>
    </border>
    <border>
      <left/>
      <right/>
      <top/>
      <bottom style="thin">
        <color auto="1"/>
      </bottom>
      <diagonal/>
    </border>
    <border>
      <left style="thick">
        <color theme="3" tint="-0.499984740745262"/>
      </left>
      <right/>
      <top style="thick">
        <color theme="3" tint="-0.499984740745262"/>
      </top>
      <bottom style="thick">
        <color theme="3" tint="-0.499984740745262"/>
      </bottom>
      <diagonal/>
    </border>
    <border>
      <left/>
      <right style="thick">
        <color theme="3" tint="-0.499984740745262"/>
      </right>
      <top style="thick">
        <color theme="3" tint="-0.499984740745262"/>
      </top>
      <bottom style="thick">
        <color theme="3" tint="-0.499984740745262"/>
      </bottom>
      <diagonal/>
    </border>
  </borders>
  <cellStyleXfs count="3">
    <xf numFmtId="0" fontId="0" fillId="0" borderId="0"/>
    <xf numFmtId="0" fontId="33" fillId="0" borderId="0"/>
    <xf numFmtId="0" fontId="34" fillId="0" borderId="0"/>
  </cellStyleXfs>
  <cellXfs count="328">
    <xf numFmtId="0" fontId="0" fillId="0" borderId="0" xfId="0"/>
    <xf numFmtId="0" fontId="0" fillId="4" borderId="0" xfId="0" applyFill="1"/>
    <xf numFmtId="0" fontId="13" fillId="12" borderId="3" xfId="0" applyFont="1" applyFill="1" applyBorder="1" applyAlignment="1">
      <alignment horizontal="center" vertical="center"/>
    </xf>
    <xf numFmtId="0" fontId="2" fillId="12" borderId="1" xfId="0" applyFont="1" applyFill="1" applyBorder="1"/>
    <xf numFmtId="0" fontId="2" fillId="12" borderId="0" xfId="0" applyFont="1" applyFill="1"/>
    <xf numFmtId="0" fontId="14" fillId="12" borderId="3" xfId="0" applyFont="1" applyFill="1" applyBorder="1" applyAlignment="1">
      <alignment horizontal="center" vertical="center"/>
    </xf>
    <xf numFmtId="164" fontId="15" fillId="4" borderId="20" xfId="0" applyNumberFormat="1" applyFont="1" applyFill="1" applyBorder="1" applyAlignment="1">
      <alignment vertical="center"/>
    </xf>
    <xf numFmtId="0" fontId="15" fillId="4" borderId="20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vertical="center"/>
    </xf>
    <xf numFmtId="0" fontId="16" fillId="4" borderId="23" xfId="0" applyFont="1" applyFill="1" applyBorder="1" applyAlignment="1">
      <alignment horizontal="center" vertical="center"/>
    </xf>
    <xf numFmtId="164" fontId="16" fillId="4" borderId="23" xfId="0" applyNumberFormat="1" applyFont="1" applyFill="1" applyBorder="1" applyAlignment="1">
      <alignment vertical="center"/>
    </xf>
    <xf numFmtId="0" fontId="2" fillId="4" borderId="26" xfId="0" applyFont="1" applyFill="1" applyBorder="1" applyAlignment="1">
      <alignment horizontal="center" vertical="center"/>
    </xf>
    <xf numFmtId="0" fontId="17" fillId="4" borderId="26" xfId="0" applyFont="1" applyFill="1" applyBorder="1" applyAlignment="1">
      <alignment horizontal="center" vertical="center"/>
    </xf>
    <xf numFmtId="164" fontId="17" fillId="4" borderId="27" xfId="0" applyNumberFormat="1" applyFont="1" applyFill="1" applyBorder="1" applyAlignment="1">
      <alignment vertical="center"/>
    </xf>
    <xf numFmtId="0" fontId="2" fillId="4" borderId="27" xfId="0" applyFont="1" applyFill="1" applyBorder="1" applyAlignment="1">
      <alignment vertical="center"/>
    </xf>
    <xf numFmtId="0" fontId="2" fillId="4" borderId="0" xfId="0" applyFont="1" applyFill="1" applyBorder="1" applyAlignment="1">
      <alignment vertical="center"/>
    </xf>
    <xf numFmtId="164" fontId="15" fillId="4" borderId="0" xfId="0" applyNumberFormat="1" applyFont="1" applyFill="1" applyBorder="1" applyAlignment="1">
      <alignment vertical="center"/>
    </xf>
    <xf numFmtId="164" fontId="17" fillId="4" borderId="26" xfId="0" applyNumberFormat="1" applyFont="1" applyFill="1" applyBorder="1" applyAlignment="1">
      <alignment horizontal="center" vertical="center"/>
    </xf>
    <xf numFmtId="0" fontId="18" fillId="4" borderId="28" xfId="0" applyFont="1" applyFill="1" applyBorder="1" applyAlignment="1">
      <alignment horizontal="center" vertical="center"/>
    </xf>
    <xf numFmtId="0" fontId="2" fillId="4" borderId="28" xfId="0" applyFont="1" applyFill="1" applyBorder="1" applyAlignment="1">
      <alignment horizontal="center" vertical="center"/>
    </xf>
    <xf numFmtId="164" fontId="18" fillId="4" borderId="28" xfId="0" applyNumberFormat="1" applyFont="1" applyFill="1" applyBorder="1" applyAlignment="1">
      <alignment vertical="center"/>
    </xf>
    <xf numFmtId="0" fontId="2" fillId="4" borderId="32" xfId="0" applyFont="1" applyFill="1" applyBorder="1" applyAlignment="1"/>
    <xf numFmtId="0" fontId="2" fillId="4" borderId="0" xfId="0" applyFont="1" applyFill="1" applyAlignment="1"/>
    <xf numFmtId="0" fontId="0" fillId="4" borderId="0" xfId="0" applyFill="1"/>
    <xf numFmtId="9" fontId="19" fillId="0" borderId="33" xfId="0" applyNumberFormat="1" applyFont="1" applyBorder="1" applyAlignment="1" applyProtection="1">
      <alignment horizontal="center" vertical="center"/>
      <protection locked="0" hidden="1"/>
    </xf>
    <xf numFmtId="0" fontId="19" fillId="0" borderId="54" xfId="0" applyFont="1" applyBorder="1" applyAlignment="1" applyProtection="1">
      <alignment horizontal="center" vertical="center"/>
      <protection locked="0" hidden="1"/>
    </xf>
    <xf numFmtId="0" fontId="19" fillId="0" borderId="61" xfId="0" applyFont="1" applyBorder="1" applyAlignment="1" applyProtection="1">
      <alignment horizontal="center" vertical="center"/>
      <protection locked="0" hidden="1"/>
    </xf>
    <xf numFmtId="164" fontId="19" fillId="0" borderId="61" xfId="0" applyNumberFormat="1" applyFont="1" applyBorder="1" applyAlignment="1" applyProtection="1">
      <alignment horizontal="center" vertical="center"/>
      <protection locked="0" hidden="1"/>
    </xf>
    <xf numFmtId="0" fontId="2" fillId="4" borderId="0" xfId="0" applyFont="1" applyFill="1" applyAlignment="1">
      <alignment horizontal="left"/>
    </xf>
    <xf numFmtId="0" fontId="1" fillId="4" borderId="29" xfId="0" applyFont="1" applyFill="1" applyBorder="1" applyAlignment="1">
      <alignment horizontal="center" vertical="center"/>
    </xf>
    <xf numFmtId="165" fontId="19" fillId="0" borderId="53" xfId="0" applyNumberFormat="1" applyFont="1" applyBorder="1" applyAlignment="1" applyProtection="1">
      <alignment horizontal="center" vertical="center"/>
      <protection locked="0" hidden="1"/>
    </xf>
    <xf numFmtId="165" fontId="11" fillId="3" borderId="12" xfId="0" applyNumberFormat="1" applyFont="1" applyFill="1" applyBorder="1" applyAlignment="1">
      <alignment vertical="center"/>
    </xf>
    <xf numFmtId="0" fontId="2" fillId="4" borderId="0" xfId="0" applyFont="1" applyFill="1" applyBorder="1" applyAlignment="1"/>
    <xf numFmtId="0" fontId="18" fillId="4" borderId="0" xfId="0" applyFont="1" applyFill="1" applyAlignment="1"/>
    <xf numFmtId="0" fontId="18" fillId="4" borderId="0" xfId="0" applyFont="1" applyFill="1" applyAlignment="1">
      <alignment horizontal="left"/>
    </xf>
    <xf numFmtId="165" fontId="19" fillId="0" borderId="65" xfId="0" applyNumberFormat="1" applyFont="1" applyBorder="1" applyAlignment="1" applyProtection="1">
      <alignment horizontal="center" vertical="center"/>
      <protection locked="0" hidden="1"/>
    </xf>
    <xf numFmtId="164" fontId="19" fillId="0" borderId="66" xfId="0" applyNumberFormat="1" applyFont="1" applyBorder="1" applyAlignment="1" applyProtection="1">
      <alignment horizontal="center" vertical="center"/>
      <protection locked="0" hidden="1"/>
    </xf>
    <xf numFmtId="9" fontId="19" fillId="0" borderId="60" xfId="0" applyNumberFormat="1" applyFont="1" applyBorder="1" applyAlignment="1" applyProtection="1">
      <alignment horizontal="center" vertical="center"/>
      <protection locked="0" hidden="1"/>
    </xf>
    <xf numFmtId="0" fontId="19" fillId="0" borderId="66" xfId="0" applyFont="1" applyBorder="1" applyAlignment="1" applyProtection="1">
      <alignment horizontal="center" vertical="center"/>
      <protection locked="0" hidden="1"/>
    </xf>
    <xf numFmtId="0" fontId="19" fillId="0" borderId="67" xfId="0" applyFont="1" applyBorder="1" applyAlignment="1" applyProtection="1">
      <alignment horizontal="center" vertical="center"/>
      <protection locked="0" hidden="1"/>
    </xf>
    <xf numFmtId="165" fontId="19" fillId="0" borderId="68" xfId="0" applyNumberFormat="1" applyFont="1" applyBorder="1" applyAlignment="1" applyProtection="1">
      <alignment horizontal="center" vertical="center"/>
      <protection locked="0" hidden="1"/>
    </xf>
    <xf numFmtId="164" fontId="19" fillId="0" borderId="63" xfId="0" applyNumberFormat="1" applyFont="1" applyBorder="1" applyAlignment="1" applyProtection="1">
      <alignment horizontal="center" vertical="center"/>
      <protection locked="0" hidden="1"/>
    </xf>
    <xf numFmtId="9" fontId="19" fillId="0" borderId="59" xfId="0" applyNumberFormat="1" applyFont="1" applyBorder="1" applyAlignment="1" applyProtection="1">
      <alignment horizontal="center" vertical="center"/>
      <protection locked="0" hidden="1"/>
    </xf>
    <xf numFmtId="0" fontId="19" fillId="0" borderId="63" xfId="0" applyFont="1" applyBorder="1" applyAlignment="1" applyProtection="1">
      <alignment horizontal="center" vertical="center"/>
      <protection locked="0" hidden="1"/>
    </xf>
    <xf numFmtId="0" fontId="19" fillId="0" borderId="64" xfId="0" applyFont="1" applyBorder="1" applyAlignment="1" applyProtection="1">
      <alignment horizontal="center" vertical="center"/>
      <protection locked="0" hidden="1"/>
    </xf>
    <xf numFmtId="0" fontId="25" fillId="3" borderId="5" xfId="0" applyFont="1" applyFill="1" applyBorder="1" applyAlignment="1" applyProtection="1">
      <alignment horizontal="center" vertical="center"/>
      <protection locked="0"/>
    </xf>
    <xf numFmtId="0" fontId="25" fillId="3" borderId="5" xfId="0" applyFont="1" applyFill="1" applyBorder="1" applyAlignment="1">
      <alignment horizontal="center" vertical="center"/>
    </xf>
    <xf numFmtId="165" fontId="25" fillId="3" borderId="5" xfId="0" applyNumberFormat="1" applyFont="1" applyFill="1" applyBorder="1" applyAlignment="1" applyProtection="1">
      <alignment horizontal="center" vertical="center"/>
      <protection locked="0"/>
    </xf>
    <xf numFmtId="164" fontId="25" fillId="3" borderId="5" xfId="0" applyNumberFormat="1" applyFont="1" applyFill="1" applyBorder="1" applyAlignment="1" applyProtection="1">
      <alignment horizontal="center" vertical="center"/>
      <protection locked="0"/>
    </xf>
    <xf numFmtId="9" fontId="25" fillId="3" borderId="5" xfId="0" applyNumberFormat="1" applyFont="1" applyFill="1" applyBorder="1" applyAlignment="1" applyProtection="1">
      <alignment horizontal="center" vertical="center"/>
      <protection locked="0"/>
    </xf>
    <xf numFmtId="0" fontId="43" fillId="4" borderId="0" xfId="0" applyFont="1" applyFill="1" applyAlignment="1">
      <alignment horizontal="center" vertical="center"/>
    </xf>
    <xf numFmtId="164" fontId="43" fillId="4" borderId="0" xfId="0" applyNumberFormat="1" applyFont="1" applyFill="1" applyAlignment="1">
      <alignment horizontal="center" vertical="center"/>
    </xf>
    <xf numFmtId="164" fontId="44" fillId="7" borderId="33" xfId="0" applyNumberFormat="1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0" fillId="7" borderId="33" xfId="0" applyFont="1" applyFill="1" applyBorder="1" applyAlignment="1">
      <alignment horizontal="center" vertical="center"/>
    </xf>
    <xf numFmtId="0" fontId="10" fillId="7" borderId="59" xfId="0" applyFont="1" applyFill="1" applyBorder="1" applyAlignment="1">
      <alignment horizontal="center" vertical="center"/>
    </xf>
    <xf numFmtId="164" fontId="44" fillId="7" borderId="59" xfId="0" applyNumberFormat="1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164" fontId="45" fillId="4" borderId="5" xfId="0" applyNumberFormat="1" applyFont="1" applyFill="1" applyBorder="1" applyAlignment="1">
      <alignment horizontal="center" vertical="center"/>
    </xf>
    <xf numFmtId="0" fontId="45" fillId="4" borderId="0" xfId="0" applyFont="1" applyFill="1" applyAlignment="1">
      <alignment horizontal="center" vertical="center"/>
    </xf>
    <xf numFmtId="0" fontId="45" fillId="4" borderId="5" xfId="0" applyNumberFormat="1" applyFont="1" applyFill="1" applyBorder="1" applyAlignment="1">
      <alignment horizontal="center" vertical="center"/>
    </xf>
    <xf numFmtId="9" fontId="45" fillId="4" borderId="5" xfId="0" applyNumberFormat="1" applyFont="1" applyFill="1" applyBorder="1" applyAlignment="1">
      <alignment horizontal="center" vertical="center"/>
    </xf>
    <xf numFmtId="0" fontId="24" fillId="2" borderId="33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0" borderId="0" xfId="0"/>
    <xf numFmtId="0" fontId="22" fillId="7" borderId="45" xfId="0" applyFont="1" applyFill="1" applyBorder="1" applyAlignment="1">
      <alignment horizontal="center" vertical="center"/>
    </xf>
    <xf numFmtId="0" fontId="22" fillId="7" borderId="45" xfId="0" applyFont="1" applyFill="1" applyBorder="1" applyAlignment="1">
      <alignment vertical="center"/>
    </xf>
    <xf numFmtId="0" fontId="35" fillId="7" borderId="43" xfId="0" applyFont="1" applyFill="1" applyBorder="1" applyAlignment="1">
      <alignment vertical="center"/>
    </xf>
    <xf numFmtId="0" fontId="36" fillId="7" borderId="43" xfId="0" applyFont="1" applyFill="1" applyBorder="1" applyAlignment="1">
      <alignment vertical="center"/>
    </xf>
    <xf numFmtId="0" fontId="36" fillId="7" borderId="44" xfId="0" applyFont="1" applyFill="1" applyBorder="1" applyAlignment="1">
      <alignment horizontal="left" vertical="center"/>
    </xf>
    <xf numFmtId="0" fontId="22" fillId="10" borderId="44" xfId="0" applyFont="1" applyFill="1" applyBorder="1" applyAlignment="1">
      <alignment horizontal="right" vertical="center"/>
    </xf>
    <xf numFmtId="0" fontId="24" fillId="2" borderId="35" xfId="0" applyFont="1" applyFill="1" applyBorder="1" applyAlignment="1" applyProtection="1">
      <alignment horizontal="center" vertical="center"/>
      <protection locked="0"/>
    </xf>
    <xf numFmtId="0" fontId="24" fillId="14" borderId="33" xfId="0" applyFont="1" applyFill="1" applyBorder="1" applyAlignment="1" applyProtection="1">
      <alignment horizontal="center" vertical="center"/>
      <protection locked="0"/>
    </xf>
    <xf numFmtId="0" fontId="22" fillId="5" borderId="37" xfId="0" applyFont="1" applyFill="1" applyBorder="1" applyAlignment="1">
      <alignment horizontal="center" vertical="center"/>
    </xf>
    <xf numFmtId="0" fontId="22" fillId="5" borderId="39" xfId="0" applyFont="1" applyFill="1" applyBorder="1" applyAlignment="1">
      <alignment horizontal="center" vertical="center"/>
    </xf>
    <xf numFmtId="0" fontId="22" fillId="9" borderId="44" xfId="0" applyFont="1" applyFill="1" applyBorder="1" applyAlignment="1">
      <alignment horizontal="right" vertical="center"/>
    </xf>
    <xf numFmtId="0" fontId="37" fillId="7" borderId="43" xfId="0" applyFont="1" applyFill="1" applyBorder="1" applyAlignment="1">
      <alignment vertical="center"/>
    </xf>
    <xf numFmtId="0" fontId="37" fillId="7" borderId="44" xfId="0" applyFont="1" applyFill="1" applyBorder="1" applyAlignment="1">
      <alignment horizontal="left" vertical="center"/>
    </xf>
    <xf numFmtId="0" fontId="0" fillId="7" borderId="0" xfId="0" applyFill="1"/>
    <xf numFmtId="0" fontId="25" fillId="10" borderId="44" xfId="0" applyFont="1" applyFill="1" applyBorder="1" applyAlignment="1">
      <alignment horizontal="left" vertical="center"/>
    </xf>
    <xf numFmtId="0" fontId="25" fillId="10" borderId="47" xfId="0" applyFont="1" applyFill="1" applyBorder="1" applyAlignment="1">
      <alignment horizontal="left" vertical="center"/>
    </xf>
    <xf numFmtId="0" fontId="27" fillId="13" borderId="58" xfId="0" applyFont="1" applyFill="1" applyBorder="1" applyAlignment="1" applyProtection="1">
      <alignment horizontal="center" vertical="center"/>
      <protection locked="0"/>
    </xf>
    <xf numFmtId="0" fontId="28" fillId="13" borderId="57" xfId="0" applyFont="1" applyFill="1" applyBorder="1" applyAlignment="1" applyProtection="1">
      <alignment horizontal="center" vertical="center"/>
      <protection locked="0"/>
    </xf>
    <xf numFmtId="0" fontId="29" fillId="13" borderId="40" xfId="0" applyFont="1" applyFill="1" applyBorder="1" applyAlignment="1" applyProtection="1">
      <alignment horizontal="center" vertical="center"/>
      <protection locked="0"/>
    </xf>
    <xf numFmtId="0" fontId="27" fillId="13" borderId="38" xfId="0" applyFont="1" applyFill="1" applyBorder="1" applyAlignment="1" applyProtection="1">
      <alignment horizontal="center" vertical="center"/>
      <protection locked="0"/>
    </xf>
    <xf numFmtId="0" fontId="28" fillId="13" borderId="37" xfId="0" applyFont="1" applyFill="1" applyBorder="1" applyAlignment="1" applyProtection="1">
      <alignment horizontal="center" vertical="center"/>
      <protection locked="0"/>
    </xf>
    <xf numFmtId="0" fontId="29" fillId="13" borderId="39" xfId="0" applyFont="1" applyFill="1" applyBorder="1" applyAlignment="1" applyProtection="1">
      <alignment horizontal="center" vertical="center"/>
      <protection locked="0"/>
    </xf>
    <xf numFmtId="0" fontId="24" fillId="2" borderId="59" xfId="0" applyFont="1" applyFill="1" applyBorder="1" applyAlignment="1" applyProtection="1">
      <alignment horizontal="center" vertical="center"/>
      <protection locked="0"/>
    </xf>
    <xf numFmtId="2" fontId="27" fillId="13" borderId="58" xfId="0" applyNumberFormat="1" applyFont="1" applyFill="1" applyBorder="1" applyAlignment="1" applyProtection="1">
      <alignment horizontal="center" vertical="center"/>
      <protection locked="0"/>
    </xf>
    <xf numFmtId="2" fontId="27" fillId="13" borderId="38" xfId="0" applyNumberFormat="1" applyFont="1" applyFill="1" applyBorder="1" applyAlignment="1" applyProtection="1">
      <alignment horizontal="center" vertical="center"/>
      <protection locked="0"/>
    </xf>
    <xf numFmtId="0" fontId="24" fillId="2" borderId="60" xfId="0" applyFont="1" applyFill="1" applyBorder="1" applyAlignment="1" applyProtection="1">
      <alignment horizontal="center" vertical="center"/>
      <protection locked="0"/>
    </xf>
    <xf numFmtId="0" fontId="22" fillId="6" borderId="45" xfId="0" applyFont="1" applyFill="1" applyBorder="1" applyAlignment="1">
      <alignment horizontal="right" vertical="center"/>
    </xf>
    <xf numFmtId="0" fontId="35" fillId="7" borderId="47" xfId="0" applyFont="1" applyFill="1" applyBorder="1" applyAlignment="1">
      <alignment horizontal="left" vertical="center"/>
    </xf>
    <xf numFmtId="0" fontId="24" fillId="14" borderId="60" xfId="0" applyFont="1" applyFill="1" applyBorder="1" applyAlignment="1" applyProtection="1">
      <alignment horizontal="center" vertical="center"/>
      <protection locked="0"/>
    </xf>
    <xf numFmtId="2" fontId="24" fillId="14" borderId="36" xfId="0" applyNumberFormat="1" applyFont="1" applyFill="1" applyBorder="1" applyAlignment="1" applyProtection="1">
      <alignment horizontal="center" vertical="center"/>
      <protection locked="0"/>
    </xf>
    <xf numFmtId="0" fontId="24" fillId="14" borderId="35" xfId="0" applyFont="1" applyFill="1" applyBorder="1" applyAlignment="1" applyProtection="1">
      <alignment horizontal="center" vertical="center"/>
      <protection locked="0"/>
    </xf>
    <xf numFmtId="0" fontId="30" fillId="14" borderId="50" xfId="0" applyFont="1" applyFill="1" applyBorder="1" applyAlignment="1" applyProtection="1">
      <alignment vertical="center"/>
      <protection locked="0"/>
    </xf>
    <xf numFmtId="0" fontId="30" fillId="14" borderId="56" xfId="0" applyFont="1" applyFill="1" applyBorder="1" applyAlignment="1" applyProtection="1">
      <alignment vertical="center"/>
      <protection locked="0"/>
    </xf>
    <xf numFmtId="2" fontId="24" fillId="14" borderId="70" xfId="0" applyNumberFormat="1" applyFont="1" applyFill="1" applyBorder="1" applyAlignment="1" applyProtection="1">
      <alignment horizontal="center" vertical="center"/>
      <protection locked="0"/>
    </xf>
    <xf numFmtId="0" fontId="24" fillId="14" borderId="59" xfId="0" applyFont="1" applyFill="1" applyBorder="1" applyAlignment="1" applyProtection="1">
      <alignment horizontal="center" vertical="center"/>
      <protection locked="0"/>
    </xf>
    <xf numFmtId="0" fontId="22" fillId="11" borderId="44" xfId="0" applyFont="1" applyFill="1" applyBorder="1" applyAlignment="1">
      <alignment horizontal="right" vertical="center"/>
    </xf>
    <xf numFmtId="0" fontId="25" fillId="11" borderId="44" xfId="0" applyFont="1" applyFill="1" applyBorder="1" applyAlignment="1">
      <alignment horizontal="left" vertical="center"/>
    </xf>
    <xf numFmtId="0" fontId="25" fillId="11" borderId="47" xfId="0" applyFont="1" applyFill="1" applyBorder="1" applyAlignment="1">
      <alignment horizontal="left" vertical="center"/>
    </xf>
    <xf numFmtId="0" fontId="30" fillId="16" borderId="56" xfId="0" applyFont="1" applyFill="1" applyBorder="1" applyAlignment="1" applyProtection="1">
      <alignment vertical="center"/>
      <protection locked="0"/>
    </xf>
    <xf numFmtId="2" fontId="24" fillId="16" borderId="36" xfId="0" applyNumberFormat="1" applyFont="1" applyFill="1" applyBorder="1" applyAlignment="1" applyProtection="1">
      <alignment horizontal="center" vertical="center"/>
      <protection locked="0"/>
    </xf>
    <xf numFmtId="0" fontId="24" fillId="16" borderId="35" xfId="0" applyFont="1" applyFill="1" applyBorder="1" applyAlignment="1" applyProtection="1">
      <alignment horizontal="center" vertical="center"/>
      <protection locked="0"/>
    </xf>
    <xf numFmtId="2" fontId="24" fillId="16" borderId="70" xfId="0" applyNumberFormat="1" applyFont="1" applyFill="1" applyBorder="1" applyAlignment="1" applyProtection="1">
      <alignment horizontal="center" vertical="center"/>
      <protection locked="0"/>
    </xf>
    <xf numFmtId="0" fontId="24" fillId="16" borderId="59" xfId="0" applyFont="1" applyFill="1" applyBorder="1" applyAlignment="1" applyProtection="1">
      <alignment horizontal="center" vertical="center"/>
      <protection locked="0"/>
    </xf>
    <xf numFmtId="0" fontId="24" fillId="16" borderId="33" xfId="0" applyFont="1" applyFill="1" applyBorder="1" applyAlignment="1" applyProtection="1">
      <alignment horizontal="center" vertical="center"/>
      <protection locked="0"/>
    </xf>
    <xf numFmtId="0" fontId="24" fillId="16" borderId="60" xfId="0" applyFont="1" applyFill="1" applyBorder="1" applyAlignment="1" applyProtection="1">
      <alignment horizontal="center" vertical="center"/>
      <protection locked="0"/>
    </xf>
    <xf numFmtId="0" fontId="24" fillId="16" borderId="38" xfId="0" applyFont="1" applyFill="1" applyBorder="1" applyAlignment="1" applyProtection="1">
      <alignment horizontal="center" vertical="center"/>
      <protection locked="0"/>
    </xf>
    <xf numFmtId="0" fontId="47" fillId="7" borderId="43" xfId="0" applyFont="1" applyFill="1" applyBorder="1" applyAlignment="1">
      <alignment vertical="center"/>
    </xf>
    <xf numFmtId="0" fontId="47" fillId="7" borderId="44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24" fillId="14" borderId="37" xfId="0" applyFont="1" applyFill="1" applyBorder="1" applyAlignment="1" applyProtection="1">
      <alignment horizontal="center" vertical="center"/>
      <protection locked="0"/>
    </xf>
    <xf numFmtId="165" fontId="23" fillId="2" borderId="42" xfId="0" applyNumberFormat="1" applyFont="1" applyFill="1" applyBorder="1" applyAlignment="1">
      <alignment horizontal="center" vertical="center"/>
    </xf>
    <xf numFmtId="165" fontId="24" fillId="2" borderId="35" xfId="0" applyNumberFormat="1" applyFont="1" applyFill="1" applyBorder="1" applyAlignment="1" applyProtection="1">
      <alignment horizontal="center" vertical="center"/>
      <protection locked="0"/>
    </xf>
    <xf numFmtId="165" fontId="24" fillId="2" borderId="59" xfId="0" applyNumberFormat="1" applyFont="1" applyFill="1" applyBorder="1" applyAlignment="1" applyProtection="1">
      <alignment horizontal="center" vertical="center"/>
      <protection locked="0"/>
    </xf>
    <xf numFmtId="165" fontId="25" fillId="6" borderId="56" xfId="0" applyNumberFormat="1" applyFont="1" applyFill="1" applyBorder="1" applyAlignment="1">
      <alignment horizontal="center" vertical="center"/>
    </xf>
    <xf numFmtId="165" fontId="26" fillId="13" borderId="57" xfId="0" applyNumberFormat="1" applyFont="1" applyFill="1" applyBorder="1" applyAlignment="1">
      <alignment horizontal="center" vertical="center"/>
    </xf>
    <xf numFmtId="165" fontId="26" fillId="13" borderId="37" xfId="0" applyNumberFormat="1" applyFont="1" applyFill="1" applyBorder="1" applyAlignment="1">
      <alignment horizontal="center" vertical="center"/>
    </xf>
    <xf numFmtId="165" fontId="25" fillId="9" borderId="46" xfId="0" applyNumberFormat="1" applyFont="1" applyFill="1" applyBorder="1" applyAlignment="1">
      <alignment horizontal="center" vertical="center"/>
    </xf>
    <xf numFmtId="165" fontId="27" fillId="13" borderId="40" xfId="0" applyNumberFormat="1" applyFont="1" applyFill="1" applyBorder="1" applyAlignment="1" applyProtection="1">
      <alignment horizontal="center" vertical="center"/>
      <protection locked="0"/>
    </xf>
    <xf numFmtId="165" fontId="27" fillId="13" borderId="39" xfId="0" applyNumberFormat="1" applyFont="1" applyFill="1" applyBorder="1" applyAlignment="1" applyProtection="1">
      <alignment horizontal="center" vertical="center"/>
      <protection locked="0"/>
    </xf>
    <xf numFmtId="165" fontId="23" fillId="14" borderId="34" xfId="0" applyNumberFormat="1" applyFont="1" applyFill="1" applyBorder="1" applyAlignment="1">
      <alignment horizontal="center" vertical="center"/>
    </xf>
    <xf numFmtId="165" fontId="24" fillId="14" borderId="35" xfId="0" applyNumberFormat="1" applyFont="1" applyFill="1" applyBorder="1" applyAlignment="1" applyProtection="1">
      <alignment horizontal="center" vertical="center"/>
      <protection locked="0"/>
    </xf>
    <xf numFmtId="165" fontId="23" fillId="14" borderId="69" xfId="0" applyNumberFormat="1" applyFont="1" applyFill="1" applyBorder="1" applyAlignment="1">
      <alignment horizontal="center" vertical="center"/>
    </xf>
    <xf numFmtId="165" fontId="24" fillId="14" borderId="59" xfId="0" applyNumberFormat="1" applyFont="1" applyFill="1" applyBorder="1" applyAlignment="1" applyProtection="1">
      <alignment horizontal="center" vertical="center"/>
      <protection locked="0"/>
    </xf>
    <xf numFmtId="165" fontId="25" fillId="10" borderId="46" xfId="0" applyNumberFormat="1" applyFont="1" applyFill="1" applyBorder="1" applyAlignment="1">
      <alignment horizontal="center" vertical="center"/>
    </xf>
    <xf numFmtId="165" fontId="23" fillId="16" borderId="34" xfId="0" applyNumberFormat="1" applyFont="1" applyFill="1" applyBorder="1" applyAlignment="1">
      <alignment horizontal="center" vertical="center"/>
    </xf>
    <xf numFmtId="165" fontId="24" fillId="16" borderId="35" xfId="0" applyNumberFormat="1" applyFont="1" applyFill="1" applyBorder="1" applyAlignment="1" applyProtection="1">
      <alignment horizontal="center" vertical="center"/>
      <protection locked="0"/>
    </xf>
    <xf numFmtId="165" fontId="23" fillId="16" borderId="69" xfId="0" applyNumberFormat="1" applyFont="1" applyFill="1" applyBorder="1" applyAlignment="1">
      <alignment horizontal="center" vertical="center"/>
    </xf>
    <xf numFmtId="165" fontId="24" fillId="16" borderId="59" xfId="0" applyNumberFormat="1" applyFont="1" applyFill="1" applyBorder="1" applyAlignment="1" applyProtection="1">
      <alignment horizontal="center" vertical="center"/>
      <protection locked="0"/>
    </xf>
    <xf numFmtId="165" fontId="25" fillId="11" borderId="46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65" fontId="0" fillId="0" borderId="0" xfId="0" applyNumberFormat="1" applyBorder="1" applyAlignment="1">
      <alignment horizontal="center"/>
    </xf>
    <xf numFmtId="0" fontId="0" fillId="0" borderId="0" xfId="0" applyBorder="1" applyAlignment="1">
      <alignment vertical="center"/>
    </xf>
    <xf numFmtId="0" fontId="21" fillId="0" borderId="0" xfId="0" applyFont="1" applyBorder="1" applyAlignment="1" applyProtection="1">
      <alignment horizontal="right" vertical="center"/>
      <protection locked="0"/>
    </xf>
    <xf numFmtId="0" fontId="32" fillId="3" borderId="45" xfId="0" applyFont="1" applyFill="1" applyBorder="1" applyAlignment="1" applyProtection="1">
      <alignment horizontal="right" vertical="center"/>
      <protection locked="0"/>
    </xf>
    <xf numFmtId="0" fontId="11" fillId="3" borderId="45" xfId="0" applyFont="1" applyFill="1" applyBorder="1" applyAlignment="1">
      <alignment vertical="center"/>
    </xf>
    <xf numFmtId="0" fontId="11" fillId="3" borderId="45" xfId="0" applyFont="1" applyFill="1" applyBorder="1" applyAlignment="1">
      <alignment horizontal="left" vertical="center"/>
    </xf>
    <xf numFmtId="0" fontId="41" fillId="11" borderId="33" xfId="0" applyFont="1" applyFill="1" applyBorder="1" applyAlignment="1">
      <alignment horizontal="center" vertical="center"/>
    </xf>
    <xf numFmtId="0" fontId="41" fillId="6" borderId="33" xfId="0" applyFont="1" applyFill="1" applyBorder="1" applyAlignment="1">
      <alignment horizontal="center" vertical="center"/>
    </xf>
    <xf numFmtId="165" fontId="42" fillId="6" borderId="33" xfId="0" applyNumberFormat="1" applyFont="1" applyFill="1" applyBorder="1" applyAlignment="1">
      <alignment horizontal="center" vertical="center"/>
    </xf>
    <xf numFmtId="0" fontId="3" fillId="17" borderId="33" xfId="0" applyFont="1" applyFill="1" applyBorder="1" applyAlignment="1">
      <alignment horizontal="center" vertical="center"/>
    </xf>
    <xf numFmtId="165" fontId="9" fillId="17" borderId="33" xfId="0" applyNumberFormat="1" applyFont="1" applyFill="1" applyBorder="1" applyAlignment="1">
      <alignment horizontal="center" vertical="center"/>
    </xf>
    <xf numFmtId="0" fontId="3" fillId="15" borderId="33" xfId="0" applyFont="1" applyFill="1" applyBorder="1" applyAlignment="1">
      <alignment horizontal="center" vertical="center"/>
    </xf>
    <xf numFmtId="1" fontId="9" fillId="15" borderId="33" xfId="0" applyNumberFormat="1" applyFont="1" applyFill="1" applyBorder="1" applyAlignment="1">
      <alignment horizontal="center" vertical="center"/>
    </xf>
    <xf numFmtId="0" fontId="24" fillId="2" borderId="35" xfId="0" applyFont="1" applyFill="1" applyBorder="1" applyAlignment="1" applyProtection="1">
      <alignment horizontal="center" vertical="center"/>
      <protection locked="0" hidden="1"/>
    </xf>
    <xf numFmtId="0" fontId="24" fillId="2" borderId="59" xfId="0" applyFont="1" applyFill="1" applyBorder="1" applyAlignment="1" applyProtection="1">
      <alignment horizontal="center" vertical="center"/>
      <protection locked="0" hidden="1"/>
    </xf>
    <xf numFmtId="0" fontId="24" fillId="2" borderId="60" xfId="0" applyFont="1" applyFill="1" applyBorder="1" applyAlignment="1" applyProtection="1">
      <alignment horizontal="center" vertical="center"/>
      <protection locked="0" hidden="1"/>
    </xf>
    <xf numFmtId="0" fontId="0" fillId="0" borderId="0" xfId="0" applyProtection="1"/>
    <xf numFmtId="0" fontId="3" fillId="0" borderId="0" xfId="0" applyFont="1" applyAlignment="1" applyProtection="1">
      <alignment horizontal="center" vertical="center"/>
    </xf>
    <xf numFmtId="0" fontId="3" fillId="0" borderId="0" xfId="0" applyFont="1" applyProtection="1"/>
    <xf numFmtId="0" fontId="0" fillId="0" borderId="0" xfId="0" applyAlignment="1" applyProtection="1">
      <alignment horizontal="center" vertical="center"/>
    </xf>
    <xf numFmtId="0" fontId="0" fillId="0" borderId="0" xfId="0" applyAlignment="1" applyProtection="1">
      <alignment vertical="center"/>
    </xf>
    <xf numFmtId="0" fontId="11" fillId="3" borderId="45" xfId="0" applyFont="1" applyFill="1" applyBorder="1" applyAlignment="1" applyProtection="1">
      <alignment vertical="center"/>
    </xf>
    <xf numFmtId="0" fontId="11" fillId="3" borderId="45" xfId="0" applyFont="1" applyFill="1" applyBorder="1" applyAlignment="1" applyProtection="1">
      <alignment horizontal="left" vertical="center"/>
    </xf>
    <xf numFmtId="165" fontId="0" fillId="0" borderId="0" xfId="0" applyNumberFormat="1" applyBorder="1" applyAlignment="1" applyProtection="1">
      <alignment horizontal="center"/>
    </xf>
    <xf numFmtId="0" fontId="0" fillId="0" borderId="0" xfId="0" applyBorder="1" applyAlignment="1" applyProtection="1">
      <alignment vertical="center"/>
    </xf>
    <xf numFmtId="0" fontId="22" fillId="5" borderId="37" xfId="0" applyFont="1" applyFill="1" applyBorder="1" applyAlignment="1" applyProtection="1">
      <alignment horizontal="center" vertical="center"/>
    </xf>
    <xf numFmtId="0" fontId="22" fillId="5" borderId="39" xfId="0" applyFont="1" applyFill="1" applyBorder="1" applyAlignment="1" applyProtection="1">
      <alignment horizontal="center" vertical="center"/>
    </xf>
    <xf numFmtId="0" fontId="22" fillId="7" borderId="45" xfId="0" applyFont="1" applyFill="1" applyBorder="1" applyAlignment="1" applyProtection="1">
      <alignment horizontal="center" vertical="center"/>
    </xf>
    <xf numFmtId="0" fontId="22" fillId="7" borderId="45" xfId="0" applyFont="1" applyFill="1" applyBorder="1" applyAlignment="1" applyProtection="1">
      <alignment vertical="center"/>
    </xf>
    <xf numFmtId="165" fontId="23" fillId="2" borderId="42" xfId="0" applyNumberFormat="1" applyFont="1" applyFill="1" applyBorder="1" applyAlignment="1" applyProtection="1">
      <alignment horizontal="center" vertical="center"/>
    </xf>
    <xf numFmtId="165" fontId="25" fillId="6" borderId="56" xfId="0" applyNumberFormat="1" applyFont="1" applyFill="1" applyBorder="1" applyAlignment="1" applyProtection="1">
      <alignment horizontal="center" vertical="center"/>
    </xf>
    <xf numFmtId="0" fontId="35" fillId="7" borderId="43" xfId="0" applyFont="1" applyFill="1" applyBorder="1" applyAlignment="1" applyProtection="1">
      <alignment vertical="center"/>
    </xf>
    <xf numFmtId="0" fontId="35" fillId="7" borderId="47" xfId="0" applyFont="1" applyFill="1" applyBorder="1" applyAlignment="1" applyProtection="1">
      <alignment horizontal="left" vertical="center"/>
    </xf>
    <xf numFmtId="0" fontId="22" fillId="6" borderId="45" xfId="0" applyFont="1" applyFill="1" applyBorder="1" applyAlignment="1" applyProtection="1">
      <alignment horizontal="right" vertical="center"/>
    </xf>
    <xf numFmtId="165" fontId="26" fillId="13" borderId="57" xfId="0" applyNumberFormat="1" applyFont="1" applyFill="1" applyBorder="1" applyAlignment="1" applyProtection="1">
      <alignment horizontal="center" vertical="center"/>
    </xf>
    <xf numFmtId="165" fontId="26" fillId="13" borderId="37" xfId="0" applyNumberFormat="1" applyFont="1" applyFill="1" applyBorder="1" applyAlignment="1" applyProtection="1">
      <alignment horizontal="center" vertical="center"/>
    </xf>
    <xf numFmtId="165" fontId="25" fillId="9" borderId="46" xfId="0" applyNumberFormat="1" applyFont="1" applyFill="1" applyBorder="1" applyAlignment="1" applyProtection="1">
      <alignment horizontal="center" vertical="center"/>
    </xf>
    <xf numFmtId="0" fontId="37" fillId="7" borderId="43" xfId="0" applyFont="1" applyFill="1" applyBorder="1" applyAlignment="1" applyProtection="1">
      <alignment vertical="center"/>
    </xf>
    <xf numFmtId="0" fontId="37" fillId="7" borderId="44" xfId="0" applyFont="1" applyFill="1" applyBorder="1" applyAlignment="1" applyProtection="1">
      <alignment horizontal="left" vertical="center"/>
    </xf>
    <xf numFmtId="0" fontId="22" fillId="9" borderId="44" xfId="0" applyFont="1" applyFill="1" applyBorder="1" applyAlignment="1" applyProtection="1">
      <alignment horizontal="right" vertical="center"/>
    </xf>
    <xf numFmtId="165" fontId="23" fillId="14" borderId="34" xfId="0" applyNumberFormat="1" applyFont="1" applyFill="1" applyBorder="1" applyAlignment="1" applyProtection="1">
      <alignment horizontal="center" vertical="center"/>
    </xf>
    <xf numFmtId="165" fontId="23" fillId="14" borderId="69" xfId="0" applyNumberFormat="1" applyFont="1" applyFill="1" applyBorder="1" applyAlignment="1" applyProtection="1">
      <alignment horizontal="center" vertical="center"/>
    </xf>
    <xf numFmtId="165" fontId="25" fillId="10" borderId="46" xfId="0" applyNumberFormat="1" applyFont="1" applyFill="1" applyBorder="1" applyAlignment="1" applyProtection="1">
      <alignment horizontal="center" vertical="center"/>
    </xf>
    <xf numFmtId="0" fontId="36" fillId="7" borderId="43" xfId="0" applyFont="1" applyFill="1" applyBorder="1" applyAlignment="1" applyProtection="1">
      <alignment vertical="center"/>
    </xf>
    <xf numFmtId="0" fontId="36" fillId="7" borderId="44" xfId="0" applyFont="1" applyFill="1" applyBorder="1" applyAlignment="1" applyProtection="1">
      <alignment horizontal="left" vertical="center"/>
    </xf>
    <xf numFmtId="0" fontId="22" fillId="10" borderId="44" xfId="0" applyFont="1" applyFill="1" applyBorder="1" applyAlignment="1" applyProtection="1">
      <alignment horizontal="right" vertical="center"/>
    </xf>
    <xf numFmtId="0" fontId="25" fillId="10" borderId="44" xfId="0" applyFont="1" applyFill="1" applyBorder="1" applyAlignment="1" applyProtection="1">
      <alignment horizontal="left" vertical="center"/>
    </xf>
    <xf numFmtId="0" fontId="25" fillId="10" borderId="47" xfId="0" applyFont="1" applyFill="1" applyBorder="1" applyAlignment="1" applyProtection="1">
      <alignment horizontal="left" vertical="center"/>
    </xf>
    <xf numFmtId="165" fontId="23" fillId="16" borderId="34" xfId="0" applyNumberFormat="1" applyFont="1" applyFill="1" applyBorder="1" applyAlignment="1" applyProtection="1">
      <alignment horizontal="center" vertical="center"/>
    </xf>
    <xf numFmtId="165" fontId="23" fillId="16" borderId="69" xfId="0" applyNumberFormat="1" applyFont="1" applyFill="1" applyBorder="1" applyAlignment="1" applyProtection="1">
      <alignment horizontal="center" vertical="center"/>
    </xf>
    <xf numFmtId="165" fontId="25" fillId="11" borderId="46" xfId="0" applyNumberFormat="1" applyFont="1" applyFill="1" applyBorder="1" applyAlignment="1" applyProtection="1">
      <alignment horizontal="center" vertical="center"/>
    </xf>
    <xf numFmtId="0" fontId="47" fillId="7" borderId="43" xfId="0" applyFont="1" applyFill="1" applyBorder="1" applyAlignment="1" applyProtection="1">
      <alignment vertical="center"/>
    </xf>
    <xf numFmtId="0" fontId="47" fillId="7" borderId="44" xfId="0" applyFont="1" applyFill="1" applyBorder="1" applyAlignment="1" applyProtection="1">
      <alignment horizontal="left" vertical="center"/>
    </xf>
    <xf numFmtId="0" fontId="22" fillId="11" borderId="44" xfId="0" applyFont="1" applyFill="1" applyBorder="1" applyAlignment="1" applyProtection="1">
      <alignment horizontal="right" vertical="center"/>
    </xf>
    <xf numFmtId="0" fontId="25" fillId="11" borderId="44" xfId="0" applyFont="1" applyFill="1" applyBorder="1" applyAlignment="1" applyProtection="1">
      <alignment horizontal="left" vertical="center"/>
    </xf>
    <xf numFmtId="0" fontId="25" fillId="11" borderId="47" xfId="0" applyFont="1" applyFill="1" applyBorder="1" applyAlignment="1" applyProtection="1">
      <alignment horizontal="left" vertical="center"/>
    </xf>
    <xf numFmtId="0" fontId="3" fillId="15" borderId="33" xfId="0" applyFont="1" applyFill="1" applyBorder="1" applyAlignment="1" applyProtection="1">
      <alignment horizontal="center" vertical="center"/>
    </xf>
    <xf numFmtId="0" fontId="3" fillId="17" borderId="33" xfId="0" applyFont="1" applyFill="1" applyBorder="1" applyAlignment="1" applyProtection="1">
      <alignment horizontal="center" vertical="center"/>
    </xf>
    <xf numFmtId="0" fontId="41" fillId="6" borderId="33" xfId="0" applyFont="1" applyFill="1" applyBorder="1" applyAlignment="1" applyProtection="1">
      <alignment horizontal="center" vertical="center"/>
    </xf>
    <xf numFmtId="0" fontId="41" fillId="11" borderId="33" xfId="0" applyFont="1" applyFill="1" applyBorder="1" applyAlignment="1" applyProtection="1">
      <alignment horizontal="center" vertical="center"/>
    </xf>
    <xf numFmtId="1" fontId="9" fillId="15" borderId="33" xfId="0" applyNumberFormat="1" applyFont="1" applyFill="1" applyBorder="1" applyAlignment="1" applyProtection="1">
      <alignment horizontal="center" vertical="center"/>
    </xf>
    <xf numFmtId="165" fontId="9" fillId="17" borderId="33" xfId="0" applyNumberFormat="1" applyFont="1" applyFill="1" applyBorder="1" applyAlignment="1" applyProtection="1">
      <alignment horizontal="center" vertical="center"/>
    </xf>
    <xf numFmtId="165" fontId="42" fillId="6" borderId="33" xfId="0" applyNumberFormat="1" applyFont="1" applyFill="1" applyBorder="1" applyAlignment="1" applyProtection="1">
      <alignment horizontal="center" vertical="center"/>
    </xf>
    <xf numFmtId="165" fontId="42" fillId="11" borderId="33" xfId="0" applyNumberFormat="1" applyFont="1" applyFill="1" applyBorder="1" applyAlignment="1" applyProtection="1">
      <alignment horizontal="center" vertical="center"/>
    </xf>
    <xf numFmtId="165" fontId="0" fillId="0" borderId="0" xfId="0" applyNumberFormat="1" applyProtection="1"/>
    <xf numFmtId="0" fontId="0" fillId="7" borderId="0" xfId="0" applyFill="1" applyProtection="1"/>
    <xf numFmtId="0" fontId="0" fillId="7" borderId="0" xfId="0" applyFill="1" applyProtection="1">
      <protection hidden="1"/>
    </xf>
    <xf numFmtId="0" fontId="11" fillId="3" borderId="0" xfId="0" applyFont="1" applyFill="1" applyAlignment="1" applyProtection="1">
      <alignment horizontal="left" vertical="center"/>
    </xf>
    <xf numFmtId="0" fontId="11" fillId="3" borderId="0" xfId="0" applyFont="1" applyFill="1" applyAlignment="1">
      <alignment horizontal="left" vertical="center"/>
    </xf>
    <xf numFmtId="0" fontId="38" fillId="3" borderId="7" xfId="0" applyFont="1" applyFill="1" applyBorder="1" applyAlignment="1" applyProtection="1">
      <alignment horizontal="center" vertical="center"/>
      <protection locked="0"/>
    </xf>
    <xf numFmtId="0" fontId="25" fillId="3" borderId="7" xfId="0" applyFont="1" applyFill="1" applyBorder="1" applyAlignment="1" applyProtection="1">
      <alignment horizontal="center" vertical="center"/>
      <protection locked="0"/>
    </xf>
    <xf numFmtId="0" fontId="38" fillId="3" borderId="3" xfId="0" applyFont="1" applyFill="1" applyBorder="1" applyAlignment="1" applyProtection="1">
      <alignment horizontal="center" vertical="center"/>
      <protection locked="0"/>
    </xf>
    <xf numFmtId="0" fontId="25" fillId="3" borderId="3" xfId="0" applyFont="1" applyFill="1" applyBorder="1" applyAlignment="1" applyProtection="1">
      <alignment horizontal="center" vertical="center"/>
      <protection locked="0"/>
    </xf>
    <xf numFmtId="164" fontId="11" fillId="4" borderId="0" xfId="0" applyNumberFormat="1" applyFont="1" applyFill="1" applyAlignment="1">
      <alignment horizontal="center" vertical="center"/>
    </xf>
    <xf numFmtId="164" fontId="12" fillId="6" borderId="5" xfId="0" applyNumberFormat="1" applyFont="1" applyFill="1" applyBorder="1" applyAlignment="1">
      <alignment horizontal="center" vertical="center"/>
    </xf>
    <xf numFmtId="164" fontId="39" fillId="7" borderId="59" xfId="0" applyNumberFormat="1" applyFont="1" applyFill="1" applyBorder="1" applyAlignment="1">
      <alignment horizontal="center" vertical="center"/>
    </xf>
    <xf numFmtId="164" fontId="39" fillId="7" borderId="33" xfId="0" applyNumberFormat="1" applyFont="1" applyFill="1" applyBorder="1" applyAlignment="1">
      <alignment horizontal="center" vertical="center"/>
    </xf>
    <xf numFmtId="0" fontId="12" fillId="12" borderId="13" xfId="0" applyFont="1" applyFill="1" applyBorder="1" applyAlignment="1">
      <alignment horizontal="center" vertical="center"/>
    </xf>
    <xf numFmtId="0" fontId="12" fillId="12" borderId="5" xfId="0" applyFont="1" applyFill="1" applyBorder="1" applyAlignment="1">
      <alignment horizontal="center" vertical="center"/>
    </xf>
    <xf numFmtId="0" fontId="11" fillId="12" borderId="14" xfId="0" applyFont="1" applyFill="1" applyBorder="1" applyAlignment="1">
      <alignment horizontal="center" vertical="center"/>
    </xf>
    <xf numFmtId="0" fontId="11" fillId="12" borderId="15" xfId="0" applyFont="1" applyFill="1" applyBorder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 wrapText="1"/>
    </xf>
    <xf numFmtId="0" fontId="13" fillId="12" borderId="19" xfId="0" applyFont="1" applyFill="1" applyBorder="1" applyAlignment="1">
      <alignment horizontal="center" vertical="center"/>
    </xf>
    <xf numFmtId="0" fontId="13" fillId="12" borderId="9" xfId="0" applyFont="1" applyFill="1" applyBorder="1" applyAlignment="1">
      <alignment horizontal="center" vertical="center"/>
    </xf>
    <xf numFmtId="0" fontId="14" fillId="12" borderId="19" xfId="0" applyFont="1" applyFill="1" applyBorder="1" applyAlignment="1">
      <alignment horizontal="center" vertical="center"/>
    </xf>
    <xf numFmtId="0" fontId="14" fillId="12" borderId="9" xfId="0" applyFont="1" applyFill="1" applyBorder="1" applyAlignment="1">
      <alignment horizontal="center" vertical="center"/>
    </xf>
    <xf numFmtId="0" fontId="14" fillId="12" borderId="16" xfId="0" applyFont="1" applyFill="1" applyBorder="1" applyAlignment="1">
      <alignment horizontal="center" vertical="center"/>
    </xf>
    <xf numFmtId="0" fontId="14" fillId="12" borderId="17" xfId="0" applyFont="1" applyFill="1" applyBorder="1" applyAlignment="1">
      <alignment horizontal="center" vertical="center"/>
    </xf>
    <xf numFmtId="0" fontId="14" fillId="12" borderId="18" xfId="0" applyFont="1" applyFill="1" applyBorder="1" applyAlignment="1">
      <alignment horizontal="center" vertical="center"/>
    </xf>
    <xf numFmtId="0" fontId="13" fillId="12" borderId="7" xfId="0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0" fontId="12" fillId="12" borderId="8" xfId="0" applyFont="1" applyFill="1" applyBorder="1" applyAlignment="1">
      <alignment horizontal="center" vertical="center"/>
    </xf>
    <xf numFmtId="0" fontId="12" fillId="12" borderId="6" xfId="0" applyFont="1" applyFill="1" applyBorder="1" applyAlignment="1">
      <alignment horizontal="center" vertical="center"/>
    </xf>
    <xf numFmtId="0" fontId="12" fillId="12" borderId="10" xfId="0" applyFont="1" applyFill="1" applyBorder="1" applyAlignment="1">
      <alignment horizontal="center" vertical="center"/>
    </xf>
    <xf numFmtId="0" fontId="12" fillId="12" borderId="11" xfId="0" applyFont="1" applyFill="1" applyBorder="1" applyAlignment="1">
      <alignment horizontal="center" vertical="center"/>
    </xf>
    <xf numFmtId="0" fontId="12" fillId="12" borderId="4" xfId="0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5" fillId="15" borderId="0" xfId="0" applyFont="1" applyFill="1" applyAlignment="1">
      <alignment horizontal="center" vertical="center"/>
    </xf>
    <xf numFmtId="0" fontId="8" fillId="15" borderId="0" xfId="0" applyFont="1" applyFill="1" applyAlignment="1">
      <alignment horizontal="center" vertical="center"/>
    </xf>
    <xf numFmtId="0" fontId="12" fillId="12" borderId="0" xfId="0" applyFont="1" applyFill="1" applyAlignment="1">
      <alignment horizontal="left" vertical="center"/>
    </xf>
    <xf numFmtId="0" fontId="12" fillId="12" borderId="0" xfId="0" applyFont="1" applyFill="1" applyAlignment="1">
      <alignment horizontal="right" vertical="center"/>
    </xf>
    <xf numFmtId="0" fontId="11" fillId="12" borderId="0" xfId="0" applyFont="1" applyFill="1" applyAlignment="1">
      <alignment horizontal="left" vertical="center"/>
    </xf>
    <xf numFmtId="0" fontId="6" fillId="8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/>
    </xf>
    <xf numFmtId="0" fontId="5" fillId="8" borderId="0" xfId="0" applyFont="1" applyFill="1" applyAlignment="1">
      <alignment horizontal="center" vertical="center"/>
    </xf>
    <xf numFmtId="0" fontId="15" fillId="4" borderId="21" xfId="0" applyFont="1" applyFill="1" applyBorder="1" applyAlignment="1">
      <alignment horizontal="center" vertical="center"/>
    </xf>
    <xf numFmtId="0" fontId="15" fillId="4" borderId="22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/>
    </xf>
    <xf numFmtId="0" fontId="16" fillId="4" borderId="25" xfId="0" applyFont="1" applyFill="1" applyBorder="1" applyAlignment="1">
      <alignment horizontal="center" vertical="center"/>
    </xf>
    <xf numFmtId="0" fontId="17" fillId="4" borderId="24" xfId="0" applyFont="1" applyFill="1" applyBorder="1" applyAlignment="1">
      <alignment horizontal="center" vertical="center"/>
    </xf>
    <xf numFmtId="0" fontId="17" fillId="4" borderId="25" xfId="0" applyFont="1" applyFill="1" applyBorder="1" applyAlignment="1">
      <alignment horizontal="center" vertical="center"/>
    </xf>
    <xf numFmtId="0" fontId="18" fillId="4" borderId="24" xfId="0" applyFont="1" applyFill="1" applyBorder="1" applyAlignment="1">
      <alignment horizontal="center" vertical="center"/>
    </xf>
    <xf numFmtId="0" fontId="18" fillId="4" borderId="25" xfId="0" applyFont="1" applyFill="1" applyBorder="1" applyAlignment="1">
      <alignment horizontal="center" vertical="center"/>
    </xf>
    <xf numFmtId="0" fontId="11" fillId="4" borderId="29" xfId="0" applyFont="1" applyFill="1" applyBorder="1" applyAlignment="1">
      <alignment horizontal="center" vertical="center"/>
    </xf>
    <xf numFmtId="0" fontId="11" fillId="4" borderId="30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25" fillId="3" borderId="8" xfId="0" applyFont="1" applyFill="1" applyBorder="1" applyAlignment="1">
      <alignment horizontal="center" vertical="center"/>
    </xf>
    <xf numFmtId="0" fontId="25" fillId="3" borderId="52" xfId="0" applyFont="1" applyFill="1" applyBorder="1" applyAlignment="1">
      <alignment horizontal="center" vertical="center"/>
    </xf>
    <xf numFmtId="0" fontId="25" fillId="3" borderId="5" xfId="0" applyFont="1" applyFill="1" applyBorder="1" applyAlignment="1" applyProtection="1">
      <alignment horizontal="center" vertical="center"/>
      <protection locked="0"/>
    </xf>
    <xf numFmtId="0" fontId="40" fillId="7" borderId="29" xfId="0" applyFont="1" applyFill="1" applyBorder="1" applyAlignment="1">
      <alignment horizontal="center" vertical="center"/>
    </xf>
    <xf numFmtId="0" fontId="40" fillId="7" borderId="30" xfId="0" applyFont="1" applyFill="1" applyBorder="1" applyAlignment="1">
      <alignment horizontal="center" vertical="center"/>
    </xf>
    <xf numFmtId="0" fontId="40" fillId="7" borderId="31" xfId="0" applyFont="1" applyFill="1" applyBorder="1" applyAlignment="1">
      <alignment horizontal="center" vertical="center"/>
    </xf>
    <xf numFmtId="0" fontId="46" fillId="4" borderId="0" xfId="0" applyFont="1" applyFill="1" applyAlignment="1">
      <alignment horizontal="center" vertical="center"/>
    </xf>
    <xf numFmtId="9" fontId="12" fillId="6" borderId="52" xfId="0" applyNumberFormat="1" applyFont="1" applyFill="1" applyBorder="1" applyAlignment="1">
      <alignment horizontal="center" vertical="center"/>
    </xf>
    <xf numFmtId="9" fontId="12" fillId="6" borderId="0" xfId="0" applyNumberFormat="1" applyFont="1" applyFill="1" applyBorder="1" applyAlignment="1">
      <alignment horizontal="center" vertical="center"/>
    </xf>
    <xf numFmtId="9" fontId="12" fillId="6" borderId="55" xfId="0" applyNumberFormat="1" applyFont="1" applyFill="1" applyBorder="1" applyAlignment="1">
      <alignment horizontal="center" vertical="center"/>
    </xf>
    <xf numFmtId="165" fontId="9" fillId="17" borderId="61" xfId="0" applyNumberFormat="1" applyFont="1" applyFill="1" applyBorder="1" applyAlignment="1" applyProtection="1">
      <alignment horizontal="center" vertical="center"/>
    </xf>
    <xf numFmtId="165" fontId="9" fillId="17" borderId="62" xfId="0" applyNumberFormat="1" applyFont="1" applyFill="1" applyBorder="1" applyAlignment="1" applyProtection="1">
      <alignment horizontal="center" vertical="center"/>
    </xf>
    <xf numFmtId="0" fontId="3" fillId="17" borderId="33" xfId="0" applyFont="1" applyFill="1" applyBorder="1" applyAlignment="1" applyProtection="1">
      <alignment horizontal="center" vertical="center"/>
    </xf>
    <xf numFmtId="0" fontId="4" fillId="7" borderId="0" xfId="0" applyFont="1" applyFill="1" applyAlignment="1" applyProtection="1">
      <alignment horizontal="center" vertical="center"/>
    </xf>
    <xf numFmtId="0" fontId="4" fillId="7" borderId="73" xfId="0" applyFont="1" applyFill="1" applyBorder="1" applyAlignment="1" applyProtection="1">
      <alignment horizontal="center" vertical="center"/>
    </xf>
    <xf numFmtId="0" fontId="30" fillId="16" borderId="51" xfId="0" applyFont="1" applyFill="1" applyBorder="1" applyAlignment="1" applyProtection="1">
      <alignment horizontal="center"/>
      <protection locked="0"/>
    </xf>
    <xf numFmtId="0" fontId="30" fillId="16" borderId="50" xfId="0" applyFont="1" applyFill="1" applyBorder="1" applyAlignment="1" applyProtection="1">
      <alignment horizontal="center"/>
      <protection locked="0"/>
    </xf>
    <xf numFmtId="0" fontId="30" fillId="16" borderId="50" xfId="0" applyFont="1" applyFill="1" applyBorder="1" applyAlignment="1" applyProtection="1">
      <alignment horizontal="center" vertical="top"/>
      <protection locked="0"/>
    </xf>
    <xf numFmtId="0" fontId="38" fillId="11" borderId="50" xfId="0" applyFont="1" applyFill="1" applyBorder="1" applyAlignment="1" applyProtection="1">
      <alignment horizontal="center" vertical="center"/>
      <protection locked="0"/>
    </xf>
    <xf numFmtId="165" fontId="40" fillId="7" borderId="74" xfId="0" applyNumberFormat="1" applyFont="1" applyFill="1" applyBorder="1" applyAlignment="1" applyProtection="1">
      <alignment horizontal="center" vertical="center"/>
    </xf>
    <xf numFmtId="165" fontId="40" fillId="7" borderId="75" xfId="0" applyNumberFormat="1" applyFont="1" applyFill="1" applyBorder="1" applyAlignment="1" applyProtection="1">
      <alignment horizontal="center" vertical="center"/>
    </xf>
    <xf numFmtId="0" fontId="30" fillId="14" borderId="51" xfId="0" applyFont="1" applyFill="1" applyBorder="1" applyAlignment="1" applyProtection="1">
      <alignment horizontal="center"/>
      <protection locked="0"/>
    </xf>
    <xf numFmtId="0" fontId="30" fillId="14" borderId="50" xfId="0" applyFont="1" applyFill="1" applyBorder="1" applyAlignment="1" applyProtection="1">
      <alignment horizontal="center"/>
      <protection locked="0"/>
    </xf>
    <xf numFmtId="0" fontId="30" fillId="14" borderId="50" xfId="0" applyFont="1" applyFill="1" applyBorder="1" applyAlignment="1" applyProtection="1">
      <alignment horizontal="center" vertical="top"/>
      <protection locked="0"/>
    </xf>
    <xf numFmtId="0" fontId="38" fillId="10" borderId="50" xfId="0" applyFont="1" applyFill="1" applyBorder="1" applyAlignment="1" applyProtection="1">
      <alignment horizontal="center" vertical="center"/>
      <protection locked="0"/>
    </xf>
    <xf numFmtId="2" fontId="41" fillId="6" borderId="0" xfId="0" applyNumberFormat="1" applyFont="1" applyFill="1" applyBorder="1" applyAlignment="1" applyProtection="1">
      <alignment horizontal="center" vertical="center"/>
    </xf>
    <xf numFmtId="0" fontId="41" fillId="6" borderId="0" xfId="0" applyFont="1" applyFill="1" applyAlignment="1" applyProtection="1">
      <alignment horizontal="center" vertical="center"/>
    </xf>
    <xf numFmtId="0" fontId="41" fillId="6" borderId="0" xfId="0" applyFont="1" applyFill="1" applyBorder="1" applyAlignment="1" applyProtection="1">
      <alignment horizontal="center" vertical="center"/>
    </xf>
    <xf numFmtId="1" fontId="41" fillId="6" borderId="0" xfId="0" applyNumberFormat="1" applyFont="1" applyFill="1" applyBorder="1" applyAlignment="1" applyProtection="1">
      <alignment horizontal="center" vertical="center"/>
    </xf>
    <xf numFmtId="165" fontId="48" fillId="0" borderId="71" xfId="0" applyNumberFormat="1" applyFont="1" applyBorder="1" applyAlignment="1" applyProtection="1">
      <alignment horizontal="center" vertical="center"/>
      <protection hidden="1"/>
    </xf>
    <xf numFmtId="165" fontId="48" fillId="0" borderId="72" xfId="0" applyNumberFormat="1" applyFont="1" applyBorder="1" applyAlignment="1" applyProtection="1">
      <alignment horizontal="center" vertical="center"/>
      <protection hidden="1"/>
    </xf>
    <xf numFmtId="0" fontId="20" fillId="2" borderId="40" xfId="0" applyFont="1" applyFill="1" applyBorder="1" applyAlignment="1" applyProtection="1">
      <alignment horizontal="center" vertical="center"/>
      <protection locked="0"/>
    </xf>
    <xf numFmtId="0" fontId="20" fillId="2" borderId="41" xfId="0" applyFont="1" applyFill="1" applyBorder="1" applyAlignment="1" applyProtection="1">
      <alignment horizontal="center" vertical="center"/>
      <protection locked="0"/>
    </xf>
    <xf numFmtId="0" fontId="22" fillId="6" borderId="45" xfId="0" applyFont="1" applyFill="1" applyBorder="1" applyAlignment="1" applyProtection="1">
      <alignment horizontal="left" vertical="center"/>
    </xf>
    <xf numFmtId="0" fontId="22" fillId="9" borderId="44" xfId="0" applyFont="1" applyFill="1" applyBorder="1" applyAlignment="1" applyProtection="1">
      <alignment horizontal="center" vertical="center"/>
    </xf>
    <xf numFmtId="0" fontId="22" fillId="9" borderId="47" xfId="0" applyFont="1" applyFill="1" applyBorder="1" applyAlignment="1" applyProtection="1">
      <alignment horizontal="center" vertical="center"/>
    </xf>
    <xf numFmtId="0" fontId="48" fillId="0" borderId="71" xfId="0" applyFont="1" applyBorder="1" applyAlignment="1" applyProtection="1">
      <alignment horizontal="center" vertical="center"/>
      <protection hidden="1"/>
    </xf>
    <xf numFmtId="0" fontId="48" fillId="0" borderId="72" xfId="0" applyFont="1" applyBorder="1" applyAlignment="1" applyProtection="1">
      <alignment horizontal="center" vertical="center"/>
      <protection hidden="1"/>
    </xf>
    <xf numFmtId="0" fontId="31" fillId="5" borderId="34" xfId="0" applyFont="1" applyFill="1" applyBorder="1" applyAlignment="1" applyProtection="1">
      <alignment horizontal="center" vertical="center"/>
    </xf>
    <xf numFmtId="0" fontId="31" fillId="5" borderId="37" xfId="0" applyFont="1" applyFill="1" applyBorder="1" applyAlignment="1" applyProtection="1">
      <alignment horizontal="center" vertical="center"/>
    </xf>
    <xf numFmtId="0" fontId="22" fillId="5" borderId="35" xfId="0" applyFont="1" applyFill="1" applyBorder="1" applyAlignment="1" applyProtection="1">
      <alignment horizontal="center" vertical="center"/>
    </xf>
    <xf numFmtId="0" fontId="22" fillId="5" borderId="38" xfId="0" applyFont="1" applyFill="1" applyBorder="1" applyAlignment="1" applyProtection="1">
      <alignment horizontal="center" vertical="center"/>
    </xf>
    <xf numFmtId="0" fontId="22" fillId="5" borderId="34" xfId="0" applyFont="1" applyFill="1" applyBorder="1" applyAlignment="1" applyProtection="1">
      <alignment horizontal="center" vertical="center"/>
    </xf>
    <xf numFmtId="0" fontId="22" fillId="5" borderId="36" xfId="0" applyFont="1" applyFill="1" applyBorder="1" applyAlignment="1" applyProtection="1">
      <alignment horizontal="center" vertical="center"/>
    </xf>
    <xf numFmtId="0" fontId="22" fillId="5" borderId="48" xfId="0" applyFont="1" applyFill="1" applyBorder="1" applyAlignment="1" applyProtection="1">
      <alignment horizontal="center" vertical="center"/>
    </xf>
    <xf numFmtId="0" fontId="22" fillId="5" borderId="49" xfId="0" applyFont="1" applyFill="1" applyBorder="1" applyAlignment="1" applyProtection="1">
      <alignment horizontal="center" vertical="center"/>
    </xf>
    <xf numFmtId="0" fontId="22" fillId="5" borderId="39" xfId="0" applyFont="1" applyFill="1" applyBorder="1" applyAlignment="1" applyProtection="1">
      <alignment horizontal="center" vertical="center"/>
    </xf>
    <xf numFmtId="165" fontId="9" fillId="17" borderId="33" xfId="0" applyNumberFormat="1" applyFont="1" applyFill="1" applyBorder="1" applyAlignment="1" applyProtection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7" borderId="73" xfId="0" applyFont="1" applyFill="1" applyBorder="1" applyAlignment="1">
      <alignment horizontal="center" vertical="center"/>
    </xf>
    <xf numFmtId="0" fontId="3" fillId="17" borderId="33" xfId="0" applyFont="1" applyFill="1" applyBorder="1" applyAlignment="1">
      <alignment horizontal="center" vertical="center"/>
    </xf>
    <xf numFmtId="0" fontId="22" fillId="6" borderId="45" xfId="0" applyFont="1" applyFill="1" applyBorder="1" applyAlignment="1">
      <alignment horizontal="left" vertical="center"/>
    </xf>
    <xf numFmtId="0" fontId="22" fillId="9" borderId="44" xfId="0" applyFont="1" applyFill="1" applyBorder="1" applyAlignment="1">
      <alignment horizontal="center" vertical="center"/>
    </xf>
    <xf numFmtId="0" fontId="22" fillId="9" borderId="47" xfId="0" applyFont="1" applyFill="1" applyBorder="1" applyAlignment="1">
      <alignment horizontal="center" vertical="center"/>
    </xf>
    <xf numFmtId="1" fontId="41" fillId="6" borderId="0" xfId="0" applyNumberFormat="1" applyFont="1" applyFill="1" applyBorder="1" applyAlignment="1">
      <alignment horizontal="center" vertical="center"/>
    </xf>
    <xf numFmtId="0" fontId="41" fillId="6" borderId="0" xfId="0" applyFont="1" applyFill="1" applyBorder="1" applyAlignment="1">
      <alignment horizontal="center" vertical="center"/>
    </xf>
    <xf numFmtId="0" fontId="41" fillId="6" borderId="0" xfId="0" applyFont="1" applyFill="1" applyAlignment="1">
      <alignment horizontal="center" vertical="center"/>
    </xf>
    <xf numFmtId="165" fontId="11" fillId="3" borderId="45" xfId="0" applyNumberFormat="1" applyFont="1" applyFill="1" applyBorder="1" applyAlignment="1">
      <alignment horizontal="center" vertical="center"/>
    </xf>
    <xf numFmtId="0" fontId="22" fillId="5" borderId="36" xfId="0" applyFont="1" applyFill="1" applyBorder="1" applyAlignment="1">
      <alignment horizontal="center" vertical="center"/>
    </xf>
    <xf numFmtId="0" fontId="22" fillId="5" borderId="39" xfId="0" applyFont="1" applyFill="1" applyBorder="1" applyAlignment="1">
      <alignment horizontal="center" vertical="center"/>
    </xf>
    <xf numFmtId="0" fontId="22" fillId="5" borderId="48" xfId="0" applyFont="1" applyFill="1" applyBorder="1" applyAlignment="1">
      <alignment horizontal="center" vertical="center"/>
    </xf>
    <xf numFmtId="0" fontId="22" fillId="5" borderId="49" xfId="0" applyFont="1" applyFill="1" applyBorder="1" applyAlignment="1">
      <alignment horizontal="center" vertical="center"/>
    </xf>
    <xf numFmtId="0" fontId="22" fillId="5" borderId="34" xfId="0" applyFont="1" applyFill="1" applyBorder="1" applyAlignment="1">
      <alignment horizontal="center" vertical="center"/>
    </xf>
    <xf numFmtId="0" fontId="22" fillId="5" borderId="35" xfId="0" applyFont="1" applyFill="1" applyBorder="1" applyAlignment="1">
      <alignment horizontal="center" vertical="center"/>
    </xf>
    <xf numFmtId="0" fontId="22" fillId="5" borderId="38" xfId="0" applyFont="1" applyFill="1" applyBorder="1" applyAlignment="1">
      <alignment horizontal="center" vertical="center"/>
    </xf>
    <xf numFmtId="0" fontId="31" fillId="5" borderId="34" xfId="0" applyFont="1" applyFill="1" applyBorder="1" applyAlignment="1">
      <alignment horizontal="center" vertical="center"/>
    </xf>
    <xf numFmtId="0" fontId="31" fillId="5" borderId="37" xfId="0" applyFont="1" applyFill="1" applyBorder="1" applyAlignment="1">
      <alignment horizontal="center" vertical="center"/>
    </xf>
    <xf numFmtId="2" fontId="41" fillId="6" borderId="0" xfId="0" applyNumberFormat="1" applyFont="1" applyFill="1" applyBorder="1" applyAlignment="1">
      <alignment horizontal="center" vertical="center"/>
    </xf>
    <xf numFmtId="165" fontId="48" fillId="0" borderId="71" xfId="0" applyNumberFormat="1" applyFont="1" applyBorder="1" applyAlignment="1">
      <alignment horizontal="center" vertical="center"/>
    </xf>
    <xf numFmtId="165" fontId="48" fillId="0" borderId="72" xfId="0" applyNumberFormat="1" applyFont="1" applyBorder="1" applyAlignment="1">
      <alignment horizontal="center" vertical="center"/>
    </xf>
    <xf numFmtId="0" fontId="48" fillId="0" borderId="71" xfId="0" applyFont="1" applyBorder="1" applyAlignment="1">
      <alignment horizontal="center" vertical="center"/>
    </xf>
    <xf numFmtId="0" fontId="48" fillId="0" borderId="72" xfId="0" applyFont="1" applyBorder="1" applyAlignment="1">
      <alignment horizontal="center" vertical="center"/>
    </xf>
  </cellXfs>
  <cellStyles count="3">
    <cellStyle name="Normal" xfId="0" builtinId="0"/>
    <cellStyle name="Normal 2" xfId="2"/>
    <cellStyle name="Normal 2 2" xfId="1"/>
  </cellStyles>
  <dxfs count="0"/>
  <tableStyles count="0" defaultTableStyle="TableStyleMedium9" defaultPivotStyle="PivotStyleLight16"/>
  <colors>
    <mruColors>
      <color rgb="FF2C0212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&#1575;&#1604;&#1589;&#1606;&#1601; 8'!A1"/><Relationship Id="rId13" Type="http://schemas.openxmlformats.org/officeDocument/2006/relationships/hyperlink" Target="#'&#1578;&#1608;&#1586;&#1610;&#1593; &#1575;&#1604;&#1578;&#1603;&#1575;&#1604;&#1610;&#1601;'!A1"/><Relationship Id="rId3" Type="http://schemas.openxmlformats.org/officeDocument/2006/relationships/hyperlink" Target="#'&#1575;&#1604;&#1589;&#1606;&#1601; 3'!A1"/><Relationship Id="rId7" Type="http://schemas.openxmlformats.org/officeDocument/2006/relationships/hyperlink" Target="#'&#1575;&#1604;&#1589;&#1606;&#1601; 7'!A1"/><Relationship Id="rId12" Type="http://schemas.openxmlformats.org/officeDocument/2006/relationships/hyperlink" Target="#'&#1575;&#1607;&#1604;&#1575;&#1603; &#1582;&#1591;&#1608;&#1591; &#1575;&#1604;&#1575;&#1606;&#1578;&#1575;&#1580;'!A1"/><Relationship Id="rId2" Type="http://schemas.openxmlformats.org/officeDocument/2006/relationships/hyperlink" Target="#'&#1575;&#1604;&#1589;&#1606;&#1601; 2'!A1"/><Relationship Id="rId1" Type="http://schemas.openxmlformats.org/officeDocument/2006/relationships/hyperlink" Target="#'&#1575;&#1604;&#1589;&#1606;&#1601; 1'!A1"/><Relationship Id="rId6" Type="http://schemas.openxmlformats.org/officeDocument/2006/relationships/hyperlink" Target="#'&#1575;&#1604;&#1589;&#1606;&#1601; 6'!A1"/><Relationship Id="rId11" Type="http://schemas.openxmlformats.org/officeDocument/2006/relationships/hyperlink" Target="#'&#1575;&#1580;&#1605;&#1575;&#1604;&#1610; &#1575;&#1604;&#1578;&#1603;&#1575;&#1604;&#1610;&#1601; &#1582;&#1604;&#1575;&#1604; &#1575;&#1604;&#1601;&#1578;&#1585;&#1577;'!A1"/><Relationship Id="rId5" Type="http://schemas.openxmlformats.org/officeDocument/2006/relationships/hyperlink" Target="#'&#1575;&#1604;&#1589;&#1606;&#1601; 5'!A1"/><Relationship Id="rId10" Type="http://schemas.openxmlformats.org/officeDocument/2006/relationships/hyperlink" Target="#'&#1575;&#1604;&#1589;&#1606;&#1601; 10'!A1"/><Relationship Id="rId4" Type="http://schemas.openxmlformats.org/officeDocument/2006/relationships/hyperlink" Target="#'&#1575;&#1604;&#1589;&#1606;&#1601; 4'!A1"/><Relationship Id="rId9" Type="http://schemas.openxmlformats.org/officeDocument/2006/relationships/hyperlink" Target="#'&#1575;&#1604;&#1589;&#1606;&#1601; 9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95251</xdr:colOff>
      <xdr:row>23</xdr:row>
      <xdr:rowOff>136050</xdr:rowOff>
    </xdr:from>
    <xdr:to>
      <xdr:col>1</xdr:col>
      <xdr:colOff>898073</xdr:colOff>
      <xdr:row>26</xdr:row>
      <xdr:rowOff>95229</xdr:rowOff>
    </xdr:to>
    <xdr:sp macro="" textlink="">
      <xdr:nvSpPr>
        <xdr:cNvPr id="3" name="Round Same Side Corner Rectangle 2">
          <a:hlinkClick xmlns:r="http://schemas.openxmlformats.org/officeDocument/2006/relationships" r:id="rId1"/>
        </xdr:cNvPr>
        <xdr:cNvSpPr/>
      </xdr:nvSpPr>
      <xdr:spPr>
        <a:xfrm>
          <a:off x="707572" y="4667229"/>
          <a:ext cx="802822" cy="530679"/>
        </a:xfrm>
        <a:prstGeom prst="round2SameRect">
          <a:avLst/>
        </a:prstGeom>
        <a:effectLst>
          <a:outerShdw blurRad="228600" dist="23000" dir="5400000" sx="98000" sy="98000" rotWithShape="0">
            <a:schemeClr val="bg1">
              <a:alpha val="78000"/>
            </a:scheme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ar-EG" sz="1600" b="1"/>
            <a:t>صنف 1</a:t>
          </a:r>
          <a:endParaRPr lang="en-US" sz="1600" b="1"/>
        </a:p>
      </xdr:txBody>
    </xdr:sp>
    <xdr:clientData/>
  </xdr:twoCellAnchor>
  <xdr:twoCellAnchor>
    <xdr:from>
      <xdr:col>2</xdr:col>
      <xdr:colOff>367393</xdr:colOff>
      <xdr:row>23</xdr:row>
      <xdr:rowOff>136050</xdr:rowOff>
    </xdr:from>
    <xdr:to>
      <xdr:col>3</xdr:col>
      <xdr:colOff>557893</xdr:colOff>
      <xdr:row>26</xdr:row>
      <xdr:rowOff>95229</xdr:rowOff>
    </xdr:to>
    <xdr:sp macro="" textlink="">
      <xdr:nvSpPr>
        <xdr:cNvPr id="4" name="Round Same Side Corner Rectangle 3">
          <a:hlinkClick xmlns:r="http://schemas.openxmlformats.org/officeDocument/2006/relationships" r:id="rId2"/>
        </xdr:cNvPr>
        <xdr:cNvSpPr/>
      </xdr:nvSpPr>
      <xdr:spPr>
        <a:xfrm>
          <a:off x="1905000" y="4667229"/>
          <a:ext cx="802822" cy="530679"/>
        </a:xfrm>
        <a:prstGeom prst="round2SameRect">
          <a:avLst/>
        </a:prstGeom>
        <a:effectLst>
          <a:outerShdw blurRad="228600" dist="23000" dir="5400000" sx="98000" sy="98000" rotWithShape="0">
            <a:schemeClr val="bg1">
              <a:alpha val="78000"/>
            </a:scheme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ar-EG" sz="1600" b="1"/>
            <a:t>صنف 2</a:t>
          </a:r>
          <a:endParaRPr lang="en-US" sz="1600" b="1"/>
        </a:p>
      </xdr:txBody>
    </xdr:sp>
    <xdr:clientData/>
  </xdr:twoCellAnchor>
  <xdr:twoCellAnchor>
    <xdr:from>
      <xdr:col>4</xdr:col>
      <xdr:colOff>244929</xdr:colOff>
      <xdr:row>23</xdr:row>
      <xdr:rowOff>136049</xdr:rowOff>
    </xdr:from>
    <xdr:to>
      <xdr:col>5</xdr:col>
      <xdr:colOff>435430</xdr:colOff>
      <xdr:row>26</xdr:row>
      <xdr:rowOff>95228</xdr:rowOff>
    </xdr:to>
    <xdr:sp macro="" textlink="">
      <xdr:nvSpPr>
        <xdr:cNvPr id="5" name="Round Same Side Corner Rectangle 4">
          <a:hlinkClick xmlns:r="http://schemas.openxmlformats.org/officeDocument/2006/relationships" r:id="rId3"/>
        </xdr:cNvPr>
        <xdr:cNvSpPr/>
      </xdr:nvSpPr>
      <xdr:spPr>
        <a:xfrm>
          <a:off x="3007179" y="4667228"/>
          <a:ext cx="802822" cy="530679"/>
        </a:xfrm>
        <a:prstGeom prst="round2SameRect">
          <a:avLst/>
        </a:prstGeom>
        <a:effectLst>
          <a:outerShdw blurRad="228600" dist="23000" dir="5400000" sx="98000" sy="98000" rotWithShape="0">
            <a:schemeClr val="bg1">
              <a:alpha val="78000"/>
            </a:scheme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ar-EG" sz="1600" b="1"/>
            <a:t>صنف 3</a:t>
          </a:r>
          <a:endParaRPr lang="en-US" sz="1600" b="1"/>
        </a:p>
      </xdr:txBody>
    </xdr:sp>
    <xdr:clientData/>
  </xdr:twoCellAnchor>
  <xdr:twoCellAnchor>
    <xdr:from>
      <xdr:col>1</xdr:col>
      <xdr:colOff>95251</xdr:colOff>
      <xdr:row>27</xdr:row>
      <xdr:rowOff>54407</xdr:rowOff>
    </xdr:from>
    <xdr:to>
      <xdr:col>1</xdr:col>
      <xdr:colOff>898073</xdr:colOff>
      <xdr:row>30</xdr:row>
      <xdr:rowOff>13586</xdr:rowOff>
    </xdr:to>
    <xdr:sp macro="" textlink="">
      <xdr:nvSpPr>
        <xdr:cNvPr id="6" name="Round Same Side Corner Rectangle 5">
          <a:hlinkClick xmlns:r="http://schemas.openxmlformats.org/officeDocument/2006/relationships" r:id="rId4"/>
        </xdr:cNvPr>
        <xdr:cNvSpPr/>
      </xdr:nvSpPr>
      <xdr:spPr>
        <a:xfrm>
          <a:off x="707572" y="5347586"/>
          <a:ext cx="802822" cy="530679"/>
        </a:xfrm>
        <a:prstGeom prst="round2SameRect">
          <a:avLst/>
        </a:prstGeom>
        <a:effectLst>
          <a:outerShdw blurRad="228600" dist="23000" dir="5400000" sx="98000" sy="98000" rotWithShape="0">
            <a:schemeClr val="bg1">
              <a:alpha val="78000"/>
            </a:scheme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ar-EG" sz="1600" b="1"/>
            <a:t>صنف 4</a:t>
          </a:r>
          <a:endParaRPr lang="en-US" sz="1600" b="1"/>
        </a:p>
      </xdr:txBody>
    </xdr:sp>
    <xdr:clientData/>
  </xdr:twoCellAnchor>
  <xdr:twoCellAnchor>
    <xdr:from>
      <xdr:col>2</xdr:col>
      <xdr:colOff>367393</xdr:colOff>
      <xdr:row>27</xdr:row>
      <xdr:rowOff>54407</xdr:rowOff>
    </xdr:from>
    <xdr:to>
      <xdr:col>3</xdr:col>
      <xdr:colOff>557893</xdr:colOff>
      <xdr:row>30</xdr:row>
      <xdr:rowOff>13586</xdr:rowOff>
    </xdr:to>
    <xdr:sp macro="" textlink="">
      <xdr:nvSpPr>
        <xdr:cNvPr id="7" name="Round Same Side Corner Rectangle 6">
          <a:hlinkClick xmlns:r="http://schemas.openxmlformats.org/officeDocument/2006/relationships" r:id="rId5"/>
        </xdr:cNvPr>
        <xdr:cNvSpPr/>
      </xdr:nvSpPr>
      <xdr:spPr>
        <a:xfrm>
          <a:off x="1905000" y="5347586"/>
          <a:ext cx="802822" cy="530679"/>
        </a:xfrm>
        <a:prstGeom prst="round2SameRect">
          <a:avLst/>
        </a:prstGeom>
        <a:effectLst>
          <a:outerShdw blurRad="228600" dist="23000" dir="5400000" sx="98000" sy="98000" rotWithShape="0">
            <a:schemeClr val="bg1">
              <a:alpha val="78000"/>
            </a:scheme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ar-EG" sz="1600" b="1"/>
            <a:t>صنف 5</a:t>
          </a:r>
          <a:endParaRPr lang="en-US" sz="1600" b="1"/>
        </a:p>
      </xdr:txBody>
    </xdr:sp>
    <xdr:clientData/>
  </xdr:twoCellAnchor>
  <xdr:twoCellAnchor>
    <xdr:from>
      <xdr:col>4</xdr:col>
      <xdr:colOff>244929</xdr:colOff>
      <xdr:row>27</xdr:row>
      <xdr:rowOff>54406</xdr:rowOff>
    </xdr:from>
    <xdr:to>
      <xdr:col>5</xdr:col>
      <xdr:colOff>435430</xdr:colOff>
      <xdr:row>30</xdr:row>
      <xdr:rowOff>13585</xdr:rowOff>
    </xdr:to>
    <xdr:sp macro="" textlink="">
      <xdr:nvSpPr>
        <xdr:cNvPr id="8" name="Round Same Side Corner Rectangle 7">
          <a:hlinkClick xmlns:r="http://schemas.openxmlformats.org/officeDocument/2006/relationships" r:id="rId6"/>
        </xdr:cNvPr>
        <xdr:cNvSpPr/>
      </xdr:nvSpPr>
      <xdr:spPr>
        <a:xfrm>
          <a:off x="3007179" y="5347585"/>
          <a:ext cx="802822" cy="530679"/>
        </a:xfrm>
        <a:prstGeom prst="round2SameRect">
          <a:avLst/>
        </a:prstGeom>
        <a:effectLst>
          <a:outerShdw blurRad="228600" dist="23000" dir="5400000" sx="98000" sy="98000" rotWithShape="0">
            <a:schemeClr val="bg1">
              <a:alpha val="78000"/>
            </a:scheme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ar-EG" sz="1600" b="1"/>
            <a:t>صنف 6</a:t>
          </a:r>
          <a:endParaRPr lang="en-US" sz="1600" b="1"/>
        </a:p>
      </xdr:txBody>
    </xdr:sp>
    <xdr:clientData/>
  </xdr:twoCellAnchor>
  <xdr:twoCellAnchor>
    <xdr:from>
      <xdr:col>1</xdr:col>
      <xdr:colOff>108858</xdr:colOff>
      <xdr:row>30</xdr:row>
      <xdr:rowOff>149657</xdr:rowOff>
    </xdr:from>
    <xdr:to>
      <xdr:col>1</xdr:col>
      <xdr:colOff>911680</xdr:colOff>
      <xdr:row>33</xdr:row>
      <xdr:rowOff>108836</xdr:rowOff>
    </xdr:to>
    <xdr:sp macro="" textlink="">
      <xdr:nvSpPr>
        <xdr:cNvPr id="9" name="Round Same Side Corner Rectangle 8">
          <a:hlinkClick xmlns:r="http://schemas.openxmlformats.org/officeDocument/2006/relationships" r:id="rId7"/>
        </xdr:cNvPr>
        <xdr:cNvSpPr/>
      </xdr:nvSpPr>
      <xdr:spPr>
        <a:xfrm>
          <a:off x="721179" y="6014336"/>
          <a:ext cx="802822" cy="530679"/>
        </a:xfrm>
        <a:prstGeom prst="round2SameRect">
          <a:avLst/>
        </a:prstGeom>
        <a:effectLst>
          <a:outerShdw blurRad="228600" dist="23000" dir="5400000" sx="98000" sy="98000" rotWithShape="0">
            <a:schemeClr val="bg1">
              <a:alpha val="78000"/>
            </a:scheme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ar-EG" sz="1600" b="1"/>
            <a:t>صنف 7</a:t>
          </a:r>
          <a:endParaRPr lang="en-US" sz="1600" b="1"/>
        </a:p>
      </xdr:txBody>
    </xdr:sp>
    <xdr:clientData/>
  </xdr:twoCellAnchor>
  <xdr:twoCellAnchor>
    <xdr:from>
      <xdr:col>2</xdr:col>
      <xdr:colOff>381000</xdr:colOff>
      <xdr:row>30</xdr:row>
      <xdr:rowOff>149657</xdr:rowOff>
    </xdr:from>
    <xdr:to>
      <xdr:col>3</xdr:col>
      <xdr:colOff>571500</xdr:colOff>
      <xdr:row>33</xdr:row>
      <xdr:rowOff>108836</xdr:rowOff>
    </xdr:to>
    <xdr:sp macro="" textlink="">
      <xdr:nvSpPr>
        <xdr:cNvPr id="10" name="Round Same Side Corner Rectangle 9">
          <a:hlinkClick xmlns:r="http://schemas.openxmlformats.org/officeDocument/2006/relationships" r:id="rId8"/>
        </xdr:cNvPr>
        <xdr:cNvSpPr/>
      </xdr:nvSpPr>
      <xdr:spPr>
        <a:xfrm>
          <a:off x="1918607" y="6014336"/>
          <a:ext cx="802822" cy="530679"/>
        </a:xfrm>
        <a:prstGeom prst="round2SameRect">
          <a:avLst/>
        </a:prstGeom>
        <a:effectLst>
          <a:outerShdw blurRad="228600" dist="23000" dir="5400000" sx="98000" sy="98000" rotWithShape="0">
            <a:schemeClr val="bg1">
              <a:alpha val="78000"/>
            </a:scheme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ar-EG" sz="1600" b="1"/>
            <a:t>صنف 8</a:t>
          </a:r>
          <a:endParaRPr lang="en-US" sz="1600" b="1"/>
        </a:p>
      </xdr:txBody>
    </xdr:sp>
    <xdr:clientData/>
  </xdr:twoCellAnchor>
  <xdr:twoCellAnchor>
    <xdr:from>
      <xdr:col>4</xdr:col>
      <xdr:colOff>258536</xdr:colOff>
      <xdr:row>30</xdr:row>
      <xdr:rowOff>149656</xdr:rowOff>
    </xdr:from>
    <xdr:to>
      <xdr:col>5</xdr:col>
      <xdr:colOff>449037</xdr:colOff>
      <xdr:row>33</xdr:row>
      <xdr:rowOff>108835</xdr:rowOff>
    </xdr:to>
    <xdr:sp macro="" textlink="">
      <xdr:nvSpPr>
        <xdr:cNvPr id="11" name="Round Same Side Corner Rectangle 10">
          <a:hlinkClick xmlns:r="http://schemas.openxmlformats.org/officeDocument/2006/relationships" r:id="rId9"/>
        </xdr:cNvPr>
        <xdr:cNvSpPr/>
      </xdr:nvSpPr>
      <xdr:spPr>
        <a:xfrm>
          <a:off x="3020786" y="6014335"/>
          <a:ext cx="802822" cy="530679"/>
        </a:xfrm>
        <a:prstGeom prst="round2SameRect">
          <a:avLst/>
        </a:prstGeom>
        <a:effectLst>
          <a:outerShdw blurRad="228600" dist="23000" dir="5400000" sx="98000" sy="98000" rotWithShape="0">
            <a:schemeClr val="bg1">
              <a:alpha val="78000"/>
            </a:scheme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ar-EG" sz="1600" b="1"/>
            <a:t>صنف 9</a:t>
          </a:r>
          <a:endParaRPr lang="en-US" sz="1600" b="1"/>
        </a:p>
      </xdr:txBody>
    </xdr:sp>
    <xdr:clientData/>
  </xdr:twoCellAnchor>
  <xdr:twoCellAnchor>
    <xdr:from>
      <xdr:col>2</xdr:col>
      <xdr:colOff>394608</xdr:colOff>
      <xdr:row>34</xdr:row>
      <xdr:rowOff>81622</xdr:rowOff>
    </xdr:from>
    <xdr:to>
      <xdr:col>3</xdr:col>
      <xdr:colOff>585108</xdr:colOff>
      <xdr:row>37</xdr:row>
      <xdr:rowOff>40801</xdr:rowOff>
    </xdr:to>
    <xdr:sp macro="" textlink="">
      <xdr:nvSpPr>
        <xdr:cNvPr id="12" name="Round Same Side Corner Rectangle 11">
          <a:hlinkClick xmlns:r="http://schemas.openxmlformats.org/officeDocument/2006/relationships" r:id="rId10"/>
        </xdr:cNvPr>
        <xdr:cNvSpPr/>
      </xdr:nvSpPr>
      <xdr:spPr>
        <a:xfrm>
          <a:off x="1932215" y="6708301"/>
          <a:ext cx="802822" cy="530679"/>
        </a:xfrm>
        <a:prstGeom prst="round2SameRect">
          <a:avLst/>
        </a:prstGeom>
        <a:effectLst>
          <a:outerShdw blurRad="228600" dist="23000" dir="5400000" sx="98000" sy="98000" rotWithShape="0">
            <a:schemeClr val="bg1">
              <a:alpha val="78000"/>
            </a:scheme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ar-EG" sz="1600" b="1"/>
            <a:t>صنف 10</a:t>
          </a:r>
          <a:endParaRPr lang="en-US" sz="1600" b="1"/>
        </a:p>
      </xdr:txBody>
    </xdr:sp>
    <xdr:clientData/>
  </xdr:twoCellAnchor>
  <xdr:twoCellAnchor>
    <xdr:from>
      <xdr:col>1</xdr:col>
      <xdr:colOff>54429</xdr:colOff>
      <xdr:row>14</xdr:row>
      <xdr:rowOff>68034</xdr:rowOff>
    </xdr:from>
    <xdr:to>
      <xdr:col>2</xdr:col>
      <xdr:colOff>299358</xdr:colOff>
      <xdr:row>21</xdr:row>
      <xdr:rowOff>122463</xdr:rowOff>
    </xdr:to>
    <xdr:sp macro="" textlink="">
      <xdr:nvSpPr>
        <xdr:cNvPr id="13" name="Parallelogram 12">
          <a:hlinkClick xmlns:r="http://schemas.openxmlformats.org/officeDocument/2006/relationships" r:id="rId11"/>
        </xdr:cNvPr>
        <xdr:cNvSpPr/>
      </xdr:nvSpPr>
      <xdr:spPr>
        <a:xfrm>
          <a:off x="666750" y="2884713"/>
          <a:ext cx="1170215" cy="1387929"/>
        </a:xfrm>
        <a:prstGeom prst="parallelogram">
          <a:avLst/>
        </a:prstGeom>
        <a:effectLst>
          <a:outerShdw blurRad="215900" dist="38100" dir="10800000" sx="108000" sy="108000" algn="r" rotWithShape="0">
            <a:prstClr val="black">
              <a:alpha val="62000"/>
            </a:prst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ar-EG" sz="1600" b="1">
              <a:solidFill>
                <a:schemeClr val="tx1"/>
              </a:solidFill>
            </a:rPr>
            <a:t>التكاليف</a:t>
          </a:r>
        </a:p>
        <a:p>
          <a:pPr algn="ctr"/>
          <a:r>
            <a:rPr lang="ar-EG" sz="1600" b="1">
              <a:solidFill>
                <a:schemeClr val="tx1"/>
              </a:solidFill>
            </a:rPr>
            <a:t>خلال </a:t>
          </a:r>
        </a:p>
        <a:p>
          <a:pPr algn="ctr"/>
          <a:r>
            <a:rPr lang="ar-EG" sz="1600" b="1">
              <a:solidFill>
                <a:schemeClr val="tx1"/>
              </a:solidFill>
            </a:rPr>
            <a:t>الفترة</a:t>
          </a:r>
          <a:endParaRPr 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163286</xdr:colOff>
      <xdr:row>14</xdr:row>
      <xdr:rowOff>95248</xdr:rowOff>
    </xdr:from>
    <xdr:to>
      <xdr:col>4</xdr:col>
      <xdr:colOff>108858</xdr:colOff>
      <xdr:row>21</xdr:row>
      <xdr:rowOff>149677</xdr:rowOff>
    </xdr:to>
    <xdr:sp macro="" textlink="">
      <xdr:nvSpPr>
        <xdr:cNvPr id="16" name="Parallelogram 15">
          <a:hlinkClick xmlns:r="http://schemas.openxmlformats.org/officeDocument/2006/relationships" r:id="rId12"/>
        </xdr:cNvPr>
        <xdr:cNvSpPr/>
      </xdr:nvSpPr>
      <xdr:spPr>
        <a:xfrm>
          <a:off x="1700893" y="2911927"/>
          <a:ext cx="1170215" cy="1387929"/>
        </a:xfrm>
        <a:prstGeom prst="parallelogram">
          <a:avLst/>
        </a:prstGeom>
        <a:effectLst>
          <a:outerShdw blurRad="215900" dist="38100" dir="10800000" sx="108000" sy="108000" algn="r" rotWithShape="0">
            <a:prstClr val="black">
              <a:alpha val="62000"/>
            </a:prst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ar-EG" sz="1600" b="1">
              <a:solidFill>
                <a:schemeClr val="tx1"/>
              </a:solidFill>
            </a:rPr>
            <a:t>أهلاك</a:t>
          </a:r>
        </a:p>
        <a:p>
          <a:pPr algn="ctr"/>
          <a:r>
            <a:rPr lang="ar-EG" sz="1600" b="1">
              <a:solidFill>
                <a:schemeClr val="tx1"/>
              </a:solidFill>
            </a:rPr>
            <a:t>خطوط</a:t>
          </a:r>
        </a:p>
        <a:p>
          <a:pPr algn="ctr"/>
          <a:r>
            <a:rPr lang="ar-EG" sz="1600" b="1">
              <a:solidFill>
                <a:schemeClr val="tx1"/>
              </a:solidFill>
            </a:rPr>
            <a:t>الانتاج</a:t>
          </a:r>
          <a:endParaRPr 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27213</xdr:colOff>
      <xdr:row>14</xdr:row>
      <xdr:rowOff>108855</xdr:rowOff>
    </xdr:from>
    <xdr:to>
      <xdr:col>5</xdr:col>
      <xdr:colOff>585107</xdr:colOff>
      <xdr:row>21</xdr:row>
      <xdr:rowOff>163284</xdr:rowOff>
    </xdr:to>
    <xdr:sp macro="" textlink="">
      <xdr:nvSpPr>
        <xdr:cNvPr id="17" name="Parallelogram 16">
          <a:hlinkClick xmlns:r="http://schemas.openxmlformats.org/officeDocument/2006/relationships" r:id="rId13"/>
        </xdr:cNvPr>
        <xdr:cNvSpPr/>
      </xdr:nvSpPr>
      <xdr:spPr>
        <a:xfrm>
          <a:off x="2789463" y="2925534"/>
          <a:ext cx="1170215" cy="1387929"/>
        </a:xfrm>
        <a:prstGeom prst="parallelogram">
          <a:avLst/>
        </a:prstGeom>
        <a:effectLst>
          <a:outerShdw blurRad="215900" dist="38100" dir="10800000" sx="108000" sy="108000" algn="r" rotWithShape="0">
            <a:prstClr val="black">
              <a:alpha val="62000"/>
            </a:prst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ar-EG" sz="1600" b="1">
              <a:solidFill>
                <a:schemeClr val="tx1"/>
              </a:solidFill>
            </a:rPr>
            <a:t>توزيعات %</a:t>
          </a:r>
        </a:p>
        <a:p>
          <a:pPr algn="ctr"/>
          <a:r>
            <a:rPr lang="ar-EG" sz="1600" b="1">
              <a:solidFill>
                <a:schemeClr val="tx1"/>
              </a:solidFill>
            </a:rPr>
            <a:t>التكاليف</a:t>
          </a:r>
          <a:endParaRPr lang="en-US" sz="1600" b="1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65942</xdr:colOff>
      <xdr:row>1</xdr:row>
      <xdr:rowOff>14654</xdr:rowOff>
    </xdr:from>
    <xdr:to>
      <xdr:col>10</xdr:col>
      <xdr:colOff>846992</xdr:colOff>
      <xdr:row>4</xdr:row>
      <xdr:rowOff>83527</xdr:rowOff>
    </xdr:to>
    <xdr:sp macro="" textlink="">
      <xdr:nvSpPr>
        <xdr:cNvPr id="2" name="Flowchart: Or 1">
          <a:hlinkClick xmlns:r="http://schemas.openxmlformats.org/officeDocument/2006/relationships" r:id="rId1"/>
        </xdr:cNvPr>
        <xdr:cNvSpPr/>
      </xdr:nvSpPr>
      <xdr:spPr>
        <a:xfrm>
          <a:off x="7173057" y="205154"/>
          <a:ext cx="781050" cy="838200"/>
        </a:xfrm>
        <a:prstGeom prst="flowChar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89296</xdr:colOff>
      <xdr:row>3</xdr:row>
      <xdr:rowOff>59531</xdr:rowOff>
    </xdr:from>
    <xdr:to>
      <xdr:col>3</xdr:col>
      <xdr:colOff>684609</xdr:colOff>
      <xdr:row>6</xdr:row>
      <xdr:rowOff>83343</xdr:rowOff>
    </xdr:to>
    <xdr:sp macro="" textlink="">
      <xdr:nvSpPr>
        <xdr:cNvPr id="2" name="Flowchart: Or 1">
          <a:hlinkClick xmlns:r="http://schemas.openxmlformats.org/officeDocument/2006/relationships" r:id="rId1"/>
        </xdr:cNvPr>
        <xdr:cNvSpPr/>
      </xdr:nvSpPr>
      <xdr:spPr>
        <a:xfrm>
          <a:off x="2536030" y="678656"/>
          <a:ext cx="595313" cy="625078"/>
        </a:xfrm>
        <a:prstGeom prst="flowChar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176893</xdr:colOff>
      <xdr:row>0</xdr:row>
      <xdr:rowOff>68037</xdr:rowOff>
    </xdr:from>
    <xdr:to>
      <xdr:col>2</xdr:col>
      <xdr:colOff>957943</xdr:colOff>
      <xdr:row>1</xdr:row>
      <xdr:rowOff>225880</xdr:rowOff>
    </xdr:to>
    <xdr:sp macro="" textlink="">
      <xdr:nvSpPr>
        <xdr:cNvPr id="2" name="Flowchart: Or 1">
          <a:hlinkClick xmlns:r="http://schemas.openxmlformats.org/officeDocument/2006/relationships" r:id="rId1"/>
        </xdr:cNvPr>
        <xdr:cNvSpPr/>
      </xdr:nvSpPr>
      <xdr:spPr>
        <a:xfrm>
          <a:off x="3034393" y="68037"/>
          <a:ext cx="781050" cy="838200"/>
        </a:xfrm>
        <a:prstGeom prst="flowChar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523875</xdr:colOff>
      <xdr:row>4</xdr:row>
      <xdr:rowOff>114300</xdr:rowOff>
    </xdr:from>
    <xdr:to>
      <xdr:col>9</xdr:col>
      <xdr:colOff>85725</xdr:colOff>
      <xdr:row>10</xdr:row>
      <xdr:rowOff>38100</xdr:rowOff>
    </xdr:to>
    <xdr:sp macro="" textlink="">
      <xdr:nvSpPr>
        <xdr:cNvPr id="2" name="Flowchart: Or 1">
          <a:hlinkClick xmlns:r="http://schemas.openxmlformats.org/officeDocument/2006/relationships" r:id="rId1"/>
        </xdr:cNvPr>
        <xdr:cNvSpPr/>
      </xdr:nvSpPr>
      <xdr:spPr>
        <a:xfrm>
          <a:off x="8724900" y="771525"/>
          <a:ext cx="781050" cy="838200"/>
        </a:xfrm>
        <a:prstGeom prst="flowChar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409575</xdr:colOff>
      <xdr:row>5</xdr:row>
      <xdr:rowOff>66675</xdr:rowOff>
    </xdr:from>
    <xdr:to>
      <xdr:col>8</xdr:col>
      <xdr:colOff>581025</xdr:colOff>
      <xdr:row>10</xdr:row>
      <xdr:rowOff>66675</xdr:rowOff>
    </xdr:to>
    <xdr:sp macro="" textlink="">
      <xdr:nvSpPr>
        <xdr:cNvPr id="2" name="Flowchart: Or 1">
          <a:hlinkClick xmlns:r="http://schemas.openxmlformats.org/officeDocument/2006/relationships" r:id="rId1"/>
        </xdr:cNvPr>
        <xdr:cNvSpPr/>
      </xdr:nvSpPr>
      <xdr:spPr>
        <a:xfrm>
          <a:off x="8610600" y="914400"/>
          <a:ext cx="781050" cy="838200"/>
        </a:xfrm>
        <a:prstGeom prst="flowChar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361950</xdr:colOff>
      <xdr:row>5</xdr:row>
      <xdr:rowOff>123825</xdr:rowOff>
    </xdr:from>
    <xdr:to>
      <xdr:col>8</xdr:col>
      <xdr:colOff>533400</xdr:colOff>
      <xdr:row>10</xdr:row>
      <xdr:rowOff>123825</xdr:rowOff>
    </xdr:to>
    <xdr:sp macro="" textlink="">
      <xdr:nvSpPr>
        <xdr:cNvPr id="2" name="Flowchart: Or 1">
          <a:hlinkClick xmlns:r="http://schemas.openxmlformats.org/officeDocument/2006/relationships" r:id="rId1"/>
        </xdr:cNvPr>
        <xdr:cNvSpPr/>
      </xdr:nvSpPr>
      <xdr:spPr>
        <a:xfrm>
          <a:off x="8562975" y="971550"/>
          <a:ext cx="781050" cy="838200"/>
        </a:xfrm>
        <a:prstGeom prst="flowChar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5</xdr:row>
      <xdr:rowOff>95250</xdr:rowOff>
    </xdr:from>
    <xdr:to>
      <xdr:col>8</xdr:col>
      <xdr:colOff>447675</xdr:colOff>
      <xdr:row>10</xdr:row>
      <xdr:rowOff>95250</xdr:rowOff>
    </xdr:to>
    <xdr:sp macro="" textlink="">
      <xdr:nvSpPr>
        <xdr:cNvPr id="2" name="Flowchart: Or 1">
          <a:hlinkClick xmlns:r="http://schemas.openxmlformats.org/officeDocument/2006/relationships" r:id="rId1"/>
        </xdr:cNvPr>
        <xdr:cNvSpPr/>
      </xdr:nvSpPr>
      <xdr:spPr>
        <a:xfrm>
          <a:off x="8477250" y="942975"/>
          <a:ext cx="781050" cy="838200"/>
        </a:xfrm>
        <a:prstGeom prst="flowChar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180975</xdr:colOff>
      <xdr:row>5</xdr:row>
      <xdr:rowOff>66675</xdr:rowOff>
    </xdr:from>
    <xdr:to>
      <xdr:col>8</xdr:col>
      <xdr:colOff>352425</xdr:colOff>
      <xdr:row>10</xdr:row>
      <xdr:rowOff>66675</xdr:rowOff>
    </xdr:to>
    <xdr:sp macro="" textlink="">
      <xdr:nvSpPr>
        <xdr:cNvPr id="2" name="Flowchart: Or 1">
          <a:hlinkClick xmlns:r="http://schemas.openxmlformats.org/officeDocument/2006/relationships" r:id="rId1"/>
        </xdr:cNvPr>
        <xdr:cNvSpPr/>
      </xdr:nvSpPr>
      <xdr:spPr>
        <a:xfrm>
          <a:off x="8382000" y="914400"/>
          <a:ext cx="781050" cy="838200"/>
        </a:xfrm>
        <a:prstGeom prst="flowChar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314325</xdr:colOff>
      <xdr:row>5</xdr:row>
      <xdr:rowOff>95250</xdr:rowOff>
    </xdr:from>
    <xdr:to>
      <xdr:col>8</xdr:col>
      <xdr:colOff>485775</xdr:colOff>
      <xdr:row>10</xdr:row>
      <xdr:rowOff>95250</xdr:rowOff>
    </xdr:to>
    <xdr:sp macro="" textlink="">
      <xdr:nvSpPr>
        <xdr:cNvPr id="2" name="Flowchart: Or 1">
          <a:hlinkClick xmlns:r="http://schemas.openxmlformats.org/officeDocument/2006/relationships" r:id="rId1"/>
        </xdr:cNvPr>
        <xdr:cNvSpPr/>
      </xdr:nvSpPr>
      <xdr:spPr>
        <a:xfrm>
          <a:off x="8515350" y="942975"/>
          <a:ext cx="781050" cy="838200"/>
        </a:xfrm>
        <a:prstGeom prst="flowChar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257175</xdr:colOff>
      <xdr:row>5</xdr:row>
      <xdr:rowOff>47625</xdr:rowOff>
    </xdr:from>
    <xdr:to>
      <xdr:col>8</xdr:col>
      <xdr:colOff>428625</xdr:colOff>
      <xdr:row>10</xdr:row>
      <xdr:rowOff>47625</xdr:rowOff>
    </xdr:to>
    <xdr:sp macro="" textlink="">
      <xdr:nvSpPr>
        <xdr:cNvPr id="2" name="Flowchart: Or 1">
          <a:hlinkClick xmlns:r="http://schemas.openxmlformats.org/officeDocument/2006/relationships" r:id="rId1"/>
        </xdr:cNvPr>
        <xdr:cNvSpPr/>
      </xdr:nvSpPr>
      <xdr:spPr>
        <a:xfrm>
          <a:off x="8458200" y="895350"/>
          <a:ext cx="781050" cy="838200"/>
        </a:xfrm>
        <a:prstGeom prst="flowChar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295275</xdr:colOff>
      <xdr:row>5</xdr:row>
      <xdr:rowOff>152400</xdr:rowOff>
    </xdr:from>
    <xdr:to>
      <xdr:col>8</xdr:col>
      <xdr:colOff>466725</xdr:colOff>
      <xdr:row>10</xdr:row>
      <xdr:rowOff>152400</xdr:rowOff>
    </xdr:to>
    <xdr:sp macro="" textlink="">
      <xdr:nvSpPr>
        <xdr:cNvPr id="2" name="Flowchart: Or 1">
          <a:hlinkClick xmlns:r="http://schemas.openxmlformats.org/officeDocument/2006/relationships" r:id="rId1"/>
        </xdr:cNvPr>
        <xdr:cNvSpPr/>
      </xdr:nvSpPr>
      <xdr:spPr>
        <a:xfrm>
          <a:off x="8496300" y="1000125"/>
          <a:ext cx="781050" cy="838200"/>
        </a:xfrm>
        <a:prstGeom prst="flowChar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314325</xdr:colOff>
      <xdr:row>5</xdr:row>
      <xdr:rowOff>114300</xdr:rowOff>
    </xdr:from>
    <xdr:to>
      <xdr:col>8</xdr:col>
      <xdr:colOff>485775</xdr:colOff>
      <xdr:row>10</xdr:row>
      <xdr:rowOff>114300</xdr:rowOff>
    </xdr:to>
    <xdr:sp macro="" textlink="">
      <xdr:nvSpPr>
        <xdr:cNvPr id="2" name="Flowchart: Or 1">
          <a:hlinkClick xmlns:r="http://schemas.openxmlformats.org/officeDocument/2006/relationships" r:id="rId1"/>
        </xdr:cNvPr>
        <xdr:cNvSpPr/>
      </xdr:nvSpPr>
      <xdr:spPr>
        <a:xfrm>
          <a:off x="8515350" y="962025"/>
          <a:ext cx="781050" cy="838200"/>
        </a:xfrm>
        <a:prstGeom prst="flowChar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466725</xdr:colOff>
      <xdr:row>7</xdr:row>
      <xdr:rowOff>19050</xdr:rowOff>
    </xdr:from>
    <xdr:to>
      <xdr:col>9</xdr:col>
      <xdr:colOff>28575</xdr:colOff>
      <xdr:row>10</xdr:row>
      <xdr:rowOff>276225</xdr:rowOff>
    </xdr:to>
    <xdr:sp macro="" textlink="">
      <xdr:nvSpPr>
        <xdr:cNvPr id="2" name="Flowchart: Or 1">
          <a:hlinkClick xmlns:r="http://schemas.openxmlformats.org/officeDocument/2006/relationships" r:id="rId1"/>
        </xdr:cNvPr>
        <xdr:cNvSpPr/>
      </xdr:nvSpPr>
      <xdr:spPr>
        <a:xfrm>
          <a:off x="8667750" y="1123950"/>
          <a:ext cx="781050" cy="838200"/>
        </a:xfrm>
        <a:prstGeom prst="flowChar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R47"/>
  <sheetViews>
    <sheetView tabSelected="1" zoomScale="70" zoomScaleNormal="70" workbookViewId="0">
      <pane xSplit="18" ySplit="5" topLeftCell="S6" activePane="bottomRight" state="frozen"/>
      <selection pane="topRight" activeCell="S1" sqref="S1"/>
      <selection pane="bottomLeft" activeCell="A6" sqref="A6"/>
      <selection pane="bottomRight"/>
    </sheetView>
  </sheetViews>
  <sheetFormatPr defaultRowHeight="15"/>
  <cols>
    <col min="1" max="1" width="4" style="1" customWidth="1"/>
    <col min="2" max="2" width="13.85546875" style="1" customWidth="1"/>
    <col min="3" max="6" width="9.140625" style="1"/>
    <col min="7" max="7" width="4.85546875" style="1" customWidth="1"/>
    <col min="8" max="8" width="19.5703125" style="1" customWidth="1"/>
    <col min="9" max="9" width="18.85546875" style="1" customWidth="1"/>
    <col min="10" max="10" width="21.28515625" style="1" customWidth="1"/>
    <col min="11" max="11" width="16.85546875" style="1" customWidth="1"/>
    <col min="12" max="12" width="5.42578125" style="1" bestFit="1" customWidth="1"/>
    <col min="13" max="13" width="4.42578125" style="1" customWidth="1"/>
    <col min="14" max="14" width="19.5703125" style="1" bestFit="1" customWidth="1"/>
    <col min="15" max="15" width="17.85546875" style="1" bestFit="1" customWidth="1"/>
    <col min="16" max="16" width="9.140625" style="1"/>
    <col min="17" max="17" width="31.85546875" style="1" customWidth="1"/>
    <col min="18" max="18" width="5.42578125" style="1" bestFit="1" customWidth="1"/>
    <col min="19" max="16384" width="9.140625" style="1"/>
  </cols>
  <sheetData>
    <row r="1" spans="2:18" ht="25.5" customHeight="1"/>
    <row r="2" spans="2:18" ht="28.5" customHeight="1">
      <c r="B2" s="243" t="s">
        <v>1</v>
      </c>
      <c r="C2" s="243"/>
      <c r="D2" s="242" t="s">
        <v>0</v>
      </c>
      <c r="E2" s="242"/>
      <c r="F2" s="242"/>
      <c r="H2" s="221" t="s">
        <v>13</v>
      </c>
      <c r="I2" s="221"/>
      <c r="J2" s="221"/>
      <c r="K2" s="221"/>
      <c r="L2" s="221"/>
      <c r="M2" s="220" t="s">
        <v>8</v>
      </c>
      <c r="N2" s="220"/>
      <c r="O2" s="220"/>
      <c r="P2" s="220"/>
      <c r="Q2" s="220"/>
      <c r="R2" s="220"/>
    </row>
    <row r="3" spans="2:18" ht="15" customHeight="1">
      <c r="B3" s="243"/>
      <c r="C3" s="243"/>
      <c r="D3" s="242"/>
      <c r="E3" s="242"/>
      <c r="F3" s="242"/>
      <c r="H3" s="221"/>
      <c r="I3" s="221"/>
      <c r="J3" s="221"/>
      <c r="K3" s="221"/>
      <c r="L3" s="221"/>
      <c r="M3" s="220"/>
      <c r="N3" s="220"/>
      <c r="O3" s="220"/>
      <c r="P3" s="220"/>
      <c r="Q3" s="220"/>
      <c r="R3" s="220"/>
    </row>
    <row r="4" spans="2:18" ht="15" customHeight="1">
      <c r="B4" s="244" t="s">
        <v>2</v>
      </c>
      <c r="C4" s="244"/>
      <c r="D4" s="242"/>
      <c r="E4" s="242"/>
      <c r="F4" s="242"/>
      <c r="H4" s="221"/>
      <c r="I4" s="221"/>
      <c r="J4" s="221"/>
      <c r="K4" s="221"/>
      <c r="L4" s="221"/>
      <c r="M4" s="220"/>
      <c r="N4" s="220"/>
      <c r="O4" s="220"/>
      <c r="P4" s="220"/>
      <c r="Q4" s="220"/>
      <c r="R4" s="220"/>
    </row>
    <row r="5" spans="2:18" ht="15" customHeight="1">
      <c r="B5" s="244"/>
      <c r="C5" s="244"/>
      <c r="D5" s="242"/>
      <c r="E5" s="242"/>
      <c r="F5" s="242"/>
      <c r="H5" s="221"/>
      <c r="I5" s="221"/>
      <c r="J5" s="221"/>
      <c r="K5" s="221"/>
      <c r="L5" s="221"/>
      <c r="M5" s="220"/>
      <c r="N5" s="220"/>
      <c r="O5" s="220"/>
      <c r="P5" s="220"/>
      <c r="Q5" s="220"/>
      <c r="R5" s="220"/>
    </row>
    <row r="6" spans="2:18" ht="3.75" customHeight="1"/>
    <row r="7" spans="2:18" ht="18" customHeight="1" thickBot="1">
      <c r="B7" s="240" t="s">
        <v>4</v>
      </c>
      <c r="C7" s="241"/>
      <c r="D7" s="239" t="s">
        <v>3</v>
      </c>
      <c r="E7" s="239"/>
      <c r="F7" s="239"/>
      <c r="H7" s="224" t="s">
        <v>16</v>
      </c>
      <c r="I7" s="222" t="s">
        <v>14</v>
      </c>
      <c r="J7" s="216" t="s">
        <v>9</v>
      </c>
      <c r="K7" s="216"/>
      <c r="L7" s="218" t="s">
        <v>10</v>
      </c>
      <c r="N7" s="224" t="s">
        <v>16</v>
      </c>
      <c r="O7" s="222" t="s">
        <v>14</v>
      </c>
      <c r="P7" s="216" t="s">
        <v>9</v>
      </c>
      <c r="Q7" s="216"/>
      <c r="R7" s="218" t="s">
        <v>10</v>
      </c>
    </row>
    <row r="8" spans="2:18" ht="15" customHeight="1" thickBot="1">
      <c r="B8" s="240"/>
      <c r="C8" s="241"/>
      <c r="D8" s="239"/>
      <c r="E8" s="239"/>
      <c r="F8" s="239"/>
      <c r="H8" s="225"/>
      <c r="I8" s="223"/>
      <c r="J8" s="217"/>
      <c r="K8" s="217"/>
      <c r="L8" s="219"/>
      <c r="N8" s="225"/>
      <c r="O8" s="223"/>
      <c r="P8" s="217"/>
      <c r="Q8" s="217"/>
      <c r="R8" s="219"/>
    </row>
    <row r="9" spans="2:18" ht="25.5" customHeight="1" thickBot="1">
      <c r="B9" s="240" t="s">
        <v>5</v>
      </c>
      <c r="C9" s="241"/>
      <c r="D9" s="239" t="s">
        <v>7</v>
      </c>
      <c r="E9" s="239"/>
      <c r="F9" s="239"/>
      <c r="H9" s="5" t="s">
        <v>17</v>
      </c>
      <c r="I9" s="2" t="s">
        <v>15</v>
      </c>
      <c r="J9" s="217"/>
      <c r="K9" s="217"/>
      <c r="L9" s="219"/>
      <c r="N9" s="5" t="s">
        <v>17</v>
      </c>
      <c r="O9" s="2" t="s">
        <v>15</v>
      </c>
      <c r="P9" s="217"/>
      <c r="Q9" s="217"/>
      <c r="R9" s="219"/>
    </row>
    <row r="10" spans="2:18" ht="15" customHeight="1" thickBot="1">
      <c r="B10" s="240"/>
      <c r="C10" s="241"/>
      <c r="D10" s="239"/>
      <c r="E10" s="239"/>
      <c r="F10" s="239"/>
      <c r="H10" s="226"/>
      <c r="I10" s="229"/>
      <c r="J10" s="231"/>
      <c r="K10" s="232"/>
      <c r="L10" s="219">
        <v>1</v>
      </c>
      <c r="N10" s="226"/>
      <c r="O10" s="229"/>
      <c r="P10" s="231"/>
      <c r="Q10" s="232"/>
      <c r="R10" s="219">
        <v>6</v>
      </c>
    </row>
    <row r="11" spans="2:18" ht="15" customHeight="1" thickBot="1">
      <c r="B11" s="240" t="s">
        <v>120</v>
      </c>
      <c r="C11" s="241"/>
      <c r="D11" s="239" t="s">
        <v>6</v>
      </c>
      <c r="E11" s="239"/>
      <c r="F11" s="239"/>
      <c r="H11" s="227"/>
      <c r="I11" s="223"/>
      <c r="J11" s="233"/>
      <c r="K11" s="234"/>
      <c r="L11" s="219"/>
      <c r="N11" s="227"/>
      <c r="O11" s="223"/>
      <c r="P11" s="233"/>
      <c r="Q11" s="234"/>
      <c r="R11" s="219"/>
    </row>
    <row r="12" spans="2:18" ht="15" customHeight="1" thickBot="1">
      <c r="B12" s="240"/>
      <c r="C12" s="241"/>
      <c r="D12" s="239"/>
      <c r="E12" s="239"/>
      <c r="F12" s="239"/>
      <c r="H12" s="227"/>
      <c r="I12" s="223"/>
      <c r="J12" s="233"/>
      <c r="K12" s="234"/>
      <c r="L12" s="219"/>
      <c r="N12" s="227"/>
      <c r="O12" s="223"/>
      <c r="P12" s="233"/>
      <c r="Q12" s="234"/>
      <c r="R12" s="219"/>
    </row>
    <row r="13" spans="2:18" ht="15.75" customHeight="1" thickTop="1" thickBot="1">
      <c r="B13" s="3"/>
      <c r="C13" s="3"/>
      <c r="D13" s="3"/>
      <c r="E13" s="3"/>
      <c r="F13" s="3"/>
      <c r="H13" s="228"/>
      <c r="I13" s="230"/>
      <c r="J13" s="235"/>
      <c r="K13" s="236"/>
      <c r="L13" s="219"/>
      <c r="N13" s="228"/>
      <c r="O13" s="230"/>
      <c r="P13" s="235"/>
      <c r="Q13" s="236"/>
      <c r="R13" s="219"/>
    </row>
    <row r="14" spans="2:18" ht="15" customHeight="1" thickBot="1">
      <c r="B14" s="4"/>
      <c r="C14" s="4"/>
      <c r="D14" s="4"/>
      <c r="E14" s="4"/>
      <c r="F14" s="4"/>
      <c r="H14" s="226"/>
      <c r="I14" s="229"/>
      <c r="J14" s="231"/>
      <c r="K14" s="232"/>
      <c r="L14" s="219">
        <v>2</v>
      </c>
      <c r="N14" s="226"/>
      <c r="O14" s="229"/>
      <c r="P14" s="231"/>
      <c r="Q14" s="232"/>
      <c r="R14" s="219">
        <v>7</v>
      </c>
    </row>
    <row r="15" spans="2:18" ht="15" customHeight="1" thickBot="1">
      <c r="B15" s="4"/>
      <c r="C15" s="4"/>
      <c r="D15" s="4"/>
      <c r="E15" s="4"/>
      <c r="F15" s="4"/>
      <c r="H15" s="227"/>
      <c r="I15" s="223"/>
      <c r="J15" s="233"/>
      <c r="K15" s="234"/>
      <c r="L15" s="219"/>
      <c r="N15" s="227"/>
      <c r="O15" s="223"/>
      <c r="P15" s="233"/>
      <c r="Q15" s="234"/>
      <c r="R15" s="219"/>
    </row>
    <row r="16" spans="2:18" ht="15" customHeight="1" thickBot="1">
      <c r="B16" s="4"/>
      <c r="C16" s="4"/>
      <c r="D16" s="4"/>
      <c r="E16" s="4"/>
      <c r="F16" s="4"/>
      <c r="H16" s="227"/>
      <c r="I16" s="223"/>
      <c r="J16" s="233"/>
      <c r="K16" s="234"/>
      <c r="L16" s="219"/>
      <c r="N16" s="227"/>
      <c r="O16" s="223"/>
      <c r="P16" s="233"/>
      <c r="Q16" s="234"/>
      <c r="R16" s="219"/>
    </row>
    <row r="17" spans="2:18" ht="15" customHeight="1" thickBot="1">
      <c r="B17" s="4"/>
      <c r="C17" s="4"/>
      <c r="D17" s="4"/>
      <c r="E17" s="4"/>
      <c r="F17" s="4"/>
      <c r="H17" s="228"/>
      <c r="I17" s="230"/>
      <c r="J17" s="235"/>
      <c r="K17" s="236"/>
      <c r="L17" s="219"/>
      <c r="N17" s="228"/>
      <c r="O17" s="230"/>
      <c r="P17" s="235"/>
      <c r="Q17" s="236"/>
      <c r="R17" s="219"/>
    </row>
    <row r="18" spans="2:18" ht="15" customHeight="1" thickBot="1">
      <c r="B18" s="4"/>
      <c r="C18" s="4"/>
      <c r="D18" s="4"/>
      <c r="E18" s="4"/>
      <c r="F18" s="4"/>
      <c r="H18" s="226"/>
      <c r="I18" s="229"/>
      <c r="J18" s="231"/>
      <c r="K18" s="232"/>
      <c r="L18" s="219">
        <v>3</v>
      </c>
      <c r="N18" s="226"/>
      <c r="O18" s="229"/>
      <c r="P18" s="231"/>
      <c r="Q18" s="232"/>
      <c r="R18" s="219">
        <v>8</v>
      </c>
    </row>
    <row r="19" spans="2:18" ht="15" customHeight="1" thickBot="1">
      <c r="B19" s="4"/>
      <c r="C19" s="4"/>
      <c r="D19" s="4"/>
      <c r="E19" s="4"/>
      <c r="F19" s="4"/>
      <c r="H19" s="227"/>
      <c r="I19" s="223"/>
      <c r="J19" s="233"/>
      <c r="K19" s="234"/>
      <c r="L19" s="219"/>
      <c r="N19" s="227"/>
      <c r="O19" s="223"/>
      <c r="P19" s="233"/>
      <c r="Q19" s="234"/>
      <c r="R19" s="219"/>
    </row>
    <row r="20" spans="2:18" ht="15" customHeight="1" thickBot="1">
      <c r="B20" s="4"/>
      <c r="C20" s="4"/>
      <c r="D20" s="4"/>
      <c r="E20" s="4"/>
      <c r="F20" s="4"/>
      <c r="H20" s="227"/>
      <c r="I20" s="223"/>
      <c r="J20" s="233"/>
      <c r="K20" s="234"/>
      <c r="L20" s="219"/>
      <c r="N20" s="227"/>
      <c r="O20" s="223"/>
      <c r="P20" s="233"/>
      <c r="Q20" s="234"/>
      <c r="R20" s="219"/>
    </row>
    <row r="21" spans="2:18" ht="15" customHeight="1" thickBot="1">
      <c r="B21" s="4"/>
      <c r="C21" s="4"/>
      <c r="D21" s="4"/>
      <c r="E21" s="4"/>
      <c r="F21" s="4"/>
      <c r="H21" s="228"/>
      <c r="I21" s="230"/>
      <c r="J21" s="235"/>
      <c r="K21" s="236"/>
      <c r="L21" s="219"/>
      <c r="N21" s="228"/>
      <c r="O21" s="230"/>
      <c r="P21" s="235"/>
      <c r="Q21" s="236"/>
      <c r="R21" s="219"/>
    </row>
    <row r="22" spans="2:18" ht="15" customHeight="1" thickBot="1">
      <c r="B22" s="4"/>
      <c r="C22" s="4"/>
      <c r="D22" s="4"/>
      <c r="E22" s="4"/>
      <c r="F22" s="4"/>
      <c r="H22" s="226"/>
      <c r="I22" s="229"/>
      <c r="J22" s="231"/>
      <c r="K22" s="232"/>
      <c r="L22" s="219">
        <v>4</v>
      </c>
      <c r="N22" s="226"/>
      <c r="O22" s="229"/>
      <c r="P22" s="231"/>
      <c r="Q22" s="232"/>
      <c r="R22" s="219">
        <v>9</v>
      </c>
    </row>
    <row r="23" spans="2:18" ht="15" customHeight="1" thickBot="1">
      <c r="B23" s="4"/>
      <c r="C23" s="4"/>
      <c r="D23" s="4"/>
      <c r="E23" s="4"/>
      <c r="F23" s="4"/>
      <c r="H23" s="227"/>
      <c r="I23" s="223"/>
      <c r="J23" s="233"/>
      <c r="K23" s="234"/>
      <c r="L23" s="219"/>
      <c r="N23" s="227"/>
      <c r="O23" s="223"/>
      <c r="P23" s="233"/>
      <c r="Q23" s="234"/>
      <c r="R23" s="219"/>
    </row>
    <row r="24" spans="2:18" ht="15" customHeight="1" thickBot="1">
      <c r="B24" s="4"/>
      <c r="C24" s="4"/>
      <c r="D24" s="4"/>
      <c r="E24" s="4"/>
      <c r="F24" s="4"/>
      <c r="H24" s="227"/>
      <c r="I24" s="223"/>
      <c r="J24" s="233"/>
      <c r="K24" s="234"/>
      <c r="L24" s="219"/>
      <c r="N24" s="227"/>
      <c r="O24" s="223"/>
      <c r="P24" s="233"/>
      <c r="Q24" s="234"/>
      <c r="R24" s="219"/>
    </row>
    <row r="25" spans="2:18" ht="15" customHeight="1" thickBot="1">
      <c r="B25" s="4"/>
      <c r="C25" s="4"/>
      <c r="D25" s="4"/>
      <c r="E25" s="4"/>
      <c r="F25" s="4"/>
      <c r="H25" s="228"/>
      <c r="I25" s="230"/>
      <c r="J25" s="235"/>
      <c r="K25" s="236"/>
      <c r="L25" s="219"/>
      <c r="N25" s="228"/>
      <c r="O25" s="230"/>
      <c r="P25" s="235"/>
      <c r="Q25" s="236"/>
      <c r="R25" s="219"/>
    </row>
    <row r="26" spans="2:18" ht="15" customHeight="1" thickBot="1">
      <c r="B26" s="4"/>
      <c r="C26" s="4"/>
      <c r="D26" s="4"/>
      <c r="E26" s="4"/>
      <c r="F26" s="4"/>
      <c r="H26" s="226"/>
      <c r="I26" s="229"/>
      <c r="J26" s="231"/>
      <c r="K26" s="232"/>
      <c r="L26" s="219">
        <v>5</v>
      </c>
      <c r="N26" s="226"/>
      <c r="O26" s="229"/>
      <c r="P26" s="231"/>
      <c r="Q26" s="232"/>
      <c r="R26" s="219">
        <v>10</v>
      </c>
    </row>
    <row r="27" spans="2:18" ht="15" customHeight="1" thickBot="1">
      <c r="B27" s="4"/>
      <c r="C27" s="4"/>
      <c r="D27" s="4"/>
      <c r="E27" s="4"/>
      <c r="F27" s="4"/>
      <c r="H27" s="227"/>
      <c r="I27" s="223"/>
      <c r="J27" s="233"/>
      <c r="K27" s="234"/>
      <c r="L27" s="219"/>
      <c r="N27" s="227"/>
      <c r="O27" s="223"/>
      <c r="P27" s="233"/>
      <c r="Q27" s="234"/>
      <c r="R27" s="219"/>
    </row>
    <row r="28" spans="2:18" ht="15" customHeight="1" thickBot="1">
      <c r="B28" s="4"/>
      <c r="C28" s="4"/>
      <c r="D28" s="4"/>
      <c r="E28" s="4"/>
      <c r="F28" s="4"/>
      <c r="H28" s="227"/>
      <c r="I28" s="223"/>
      <c r="J28" s="233"/>
      <c r="K28" s="234"/>
      <c r="L28" s="219"/>
      <c r="N28" s="227"/>
      <c r="O28" s="223"/>
      <c r="P28" s="233"/>
      <c r="Q28" s="234"/>
      <c r="R28" s="219"/>
    </row>
    <row r="29" spans="2:18" ht="15" customHeight="1" thickBot="1">
      <c r="B29" s="4"/>
      <c r="C29" s="4"/>
      <c r="D29" s="4"/>
      <c r="E29" s="4"/>
      <c r="F29" s="4"/>
      <c r="H29" s="228"/>
      <c r="I29" s="230"/>
      <c r="J29" s="235"/>
      <c r="K29" s="236"/>
      <c r="L29" s="219"/>
      <c r="N29" s="228"/>
      <c r="O29" s="230"/>
      <c r="P29" s="235"/>
      <c r="Q29" s="236"/>
      <c r="R29" s="219"/>
    </row>
    <row r="30" spans="2:18" ht="15" customHeight="1">
      <c r="B30" s="4"/>
      <c r="C30" s="4"/>
      <c r="D30" s="4"/>
      <c r="E30" s="4"/>
      <c r="F30" s="4"/>
    </row>
    <row r="31" spans="2:18" ht="15" customHeight="1">
      <c r="B31" s="4"/>
      <c r="C31" s="4"/>
      <c r="D31" s="4"/>
      <c r="E31" s="4"/>
      <c r="F31" s="4"/>
    </row>
    <row r="32" spans="2:18" ht="15" customHeight="1">
      <c r="B32" s="4"/>
      <c r="C32" s="4"/>
      <c r="D32" s="4"/>
      <c r="E32" s="4"/>
      <c r="F32" s="4"/>
      <c r="H32" s="238">
        <f>SUM(H10:H29)+SUM(N10:N29)</f>
        <v>0</v>
      </c>
      <c r="I32" s="238"/>
      <c r="J32" s="238"/>
      <c r="K32" s="238"/>
      <c r="L32" s="238"/>
      <c r="N32" s="237" t="s">
        <v>76</v>
      </c>
      <c r="O32" s="237"/>
      <c r="P32" s="237"/>
      <c r="Q32" s="237"/>
      <c r="R32" s="237"/>
    </row>
    <row r="33" spans="2:18" ht="15" customHeight="1">
      <c r="B33" s="4"/>
      <c r="C33" s="4"/>
      <c r="D33" s="4"/>
      <c r="E33" s="4"/>
      <c r="F33" s="4"/>
      <c r="H33" s="238"/>
      <c r="I33" s="238"/>
      <c r="J33" s="238"/>
      <c r="K33" s="238"/>
      <c r="L33" s="238"/>
      <c r="N33" s="237"/>
      <c r="O33" s="237"/>
      <c r="P33" s="237"/>
      <c r="Q33" s="237"/>
      <c r="R33" s="237"/>
    </row>
    <row r="34" spans="2:18" ht="15" customHeight="1">
      <c r="B34" s="4"/>
      <c r="C34" s="4"/>
      <c r="D34" s="4"/>
      <c r="E34" s="4"/>
      <c r="F34" s="4"/>
      <c r="H34" s="238"/>
      <c r="I34" s="238"/>
      <c r="J34" s="238"/>
      <c r="K34" s="238"/>
      <c r="L34" s="238"/>
      <c r="N34" s="237"/>
      <c r="O34" s="237"/>
      <c r="P34" s="237"/>
      <c r="Q34" s="237"/>
      <c r="R34" s="237"/>
    </row>
    <row r="35" spans="2:18" ht="15" customHeight="1">
      <c r="B35" s="4"/>
      <c r="C35" s="4"/>
      <c r="D35" s="4"/>
      <c r="E35" s="4"/>
      <c r="F35" s="4"/>
      <c r="H35" s="238"/>
      <c r="I35" s="238"/>
      <c r="J35" s="238"/>
      <c r="K35" s="238"/>
      <c r="L35" s="238"/>
      <c r="N35" s="237"/>
      <c r="O35" s="237"/>
      <c r="P35" s="237"/>
      <c r="Q35" s="237"/>
      <c r="R35" s="237"/>
    </row>
    <row r="36" spans="2:18" ht="15" customHeight="1">
      <c r="B36" s="4"/>
      <c r="C36" s="4"/>
      <c r="D36" s="4"/>
      <c r="E36" s="4"/>
      <c r="F36" s="4"/>
      <c r="H36" s="238"/>
      <c r="I36" s="238"/>
      <c r="J36" s="238"/>
      <c r="K36" s="238"/>
      <c r="L36" s="238"/>
      <c r="N36" s="237"/>
      <c r="O36" s="237"/>
      <c r="P36" s="237"/>
      <c r="Q36" s="237"/>
      <c r="R36" s="237"/>
    </row>
    <row r="37" spans="2:18" ht="15" customHeight="1">
      <c r="B37" s="4"/>
      <c r="C37" s="4"/>
      <c r="D37" s="4"/>
      <c r="E37" s="4"/>
      <c r="F37" s="4"/>
    </row>
    <row r="38" spans="2:18" ht="15" customHeight="1">
      <c r="B38" s="4"/>
      <c r="C38" s="4"/>
      <c r="D38" s="4"/>
      <c r="E38" s="4"/>
      <c r="F38" s="4"/>
    </row>
    <row r="39" spans="2:18" ht="15" customHeight="1"/>
    <row r="40" spans="2:18" ht="15" customHeight="1"/>
    <row r="41" spans="2:18" ht="15" customHeight="1"/>
    <row r="42" spans="2:18" ht="15" customHeight="1"/>
    <row r="43" spans="2:18" ht="15" customHeight="1"/>
    <row r="44" spans="2:18" ht="15" customHeight="1"/>
    <row r="45" spans="2:18" ht="15" customHeight="1"/>
    <row r="46" spans="2:18" ht="15.75" customHeight="1"/>
    <row r="47" spans="2:18" ht="15" customHeight="1"/>
  </sheetData>
  <mergeCells count="64">
    <mergeCell ref="D9:F10"/>
    <mergeCell ref="B11:B12"/>
    <mergeCell ref="C11:C12"/>
    <mergeCell ref="D11:F12"/>
    <mergeCell ref="D2:F5"/>
    <mergeCell ref="B2:C3"/>
    <mergeCell ref="B4:C5"/>
    <mergeCell ref="D7:F8"/>
    <mergeCell ref="C7:C8"/>
    <mergeCell ref="B7:B8"/>
    <mergeCell ref="B9:B10"/>
    <mergeCell ref="C9:C10"/>
    <mergeCell ref="R10:R13"/>
    <mergeCell ref="R14:R17"/>
    <mergeCell ref="L22:L25"/>
    <mergeCell ref="L26:L29"/>
    <mergeCell ref="L14:L17"/>
    <mergeCell ref="L10:L13"/>
    <mergeCell ref="L18:L21"/>
    <mergeCell ref="R26:R29"/>
    <mergeCell ref="N32:R36"/>
    <mergeCell ref="H32:L36"/>
    <mergeCell ref="R18:R21"/>
    <mergeCell ref="R22:R25"/>
    <mergeCell ref="H26:H29"/>
    <mergeCell ref="I26:I29"/>
    <mergeCell ref="J26:K29"/>
    <mergeCell ref="P10:Q13"/>
    <mergeCell ref="P14:Q17"/>
    <mergeCell ref="P18:Q21"/>
    <mergeCell ref="P22:Q25"/>
    <mergeCell ref="P26:Q29"/>
    <mergeCell ref="J10:K13"/>
    <mergeCell ref="J14:K17"/>
    <mergeCell ref="J18:K21"/>
    <mergeCell ref="J22:K25"/>
    <mergeCell ref="I10:I13"/>
    <mergeCell ref="H10:H13"/>
    <mergeCell ref="H14:H17"/>
    <mergeCell ref="I14:I17"/>
    <mergeCell ref="H18:H21"/>
    <mergeCell ref="I18:I21"/>
    <mergeCell ref="H22:H25"/>
    <mergeCell ref="I22:I25"/>
    <mergeCell ref="N22:N25"/>
    <mergeCell ref="O22:O25"/>
    <mergeCell ref="N26:N29"/>
    <mergeCell ref="O26:O29"/>
    <mergeCell ref="N7:N8"/>
    <mergeCell ref="O7:O8"/>
    <mergeCell ref="N10:N13"/>
    <mergeCell ref="O10:O13"/>
    <mergeCell ref="N14:N17"/>
    <mergeCell ref="O14:O17"/>
    <mergeCell ref="N18:N21"/>
    <mergeCell ref="O18:O21"/>
    <mergeCell ref="P7:Q9"/>
    <mergeCell ref="R7:R9"/>
    <mergeCell ref="M2:R5"/>
    <mergeCell ref="H2:L5"/>
    <mergeCell ref="I7:I8"/>
    <mergeCell ref="H7:H8"/>
    <mergeCell ref="L7:L9"/>
    <mergeCell ref="J7:K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2:I20"/>
  <sheetViews>
    <sheetView zoomScale="130" zoomScaleNormal="130" workbookViewId="0">
      <selection activeCell="K14" sqref="K14"/>
    </sheetView>
  </sheetViews>
  <sheetFormatPr defaultRowHeight="15"/>
  <cols>
    <col min="1" max="1" width="4" style="1" customWidth="1"/>
    <col min="2" max="2" width="19.28515625" style="1" customWidth="1"/>
    <col min="3" max="3" width="11" style="1" customWidth="1"/>
    <col min="4" max="4" width="4" style="1" customWidth="1"/>
    <col min="5" max="5" width="18.5703125" style="1" customWidth="1"/>
    <col min="6" max="6" width="11.85546875" style="1" bestFit="1" customWidth="1"/>
    <col min="7" max="7" width="4" style="1" customWidth="1"/>
    <col min="8" max="8" width="18.140625" style="1" customWidth="1"/>
    <col min="9" max="9" width="11.85546875" style="1" bestFit="1" customWidth="1"/>
    <col min="10" max="10" width="4" style="1" customWidth="1"/>
    <col min="11" max="12" width="15.140625" style="1" customWidth="1"/>
    <col min="13" max="13" width="4" style="1" customWidth="1"/>
    <col min="14" max="16384" width="9.140625" style="1"/>
  </cols>
  <sheetData>
    <row r="2" spans="2:9" ht="28.5" customHeight="1">
      <c r="B2" s="253" t="s">
        <v>53</v>
      </c>
      <c r="C2" s="254"/>
      <c r="D2" s="254"/>
      <c r="E2" s="254"/>
      <c r="F2" s="254"/>
      <c r="G2" s="254"/>
      <c r="H2" s="254"/>
      <c r="I2" s="255"/>
    </row>
    <row r="4" spans="2:9" ht="17.25" customHeight="1" thickBot="1">
      <c r="B4" s="245" t="s">
        <v>28</v>
      </c>
      <c r="C4" s="246"/>
      <c r="E4" s="247" t="s">
        <v>40</v>
      </c>
      <c r="F4" s="248"/>
      <c r="H4" s="249" t="s">
        <v>41</v>
      </c>
      <c r="I4" s="250"/>
    </row>
    <row r="5" spans="2:9" ht="15.75" thickBot="1">
      <c r="B5" s="7" t="s">
        <v>45</v>
      </c>
      <c r="C5" s="8" t="s">
        <v>18</v>
      </c>
      <c r="E5" s="12" t="s">
        <v>45</v>
      </c>
      <c r="F5" s="10" t="s">
        <v>18</v>
      </c>
      <c r="H5" s="15" t="s">
        <v>44</v>
      </c>
      <c r="I5" s="14" t="s">
        <v>18</v>
      </c>
    </row>
    <row r="6" spans="2:9" ht="15.75" thickBot="1">
      <c r="B6" s="6"/>
      <c r="C6" s="9" t="s">
        <v>19</v>
      </c>
      <c r="E6" s="13"/>
      <c r="F6" s="11" t="s">
        <v>30</v>
      </c>
      <c r="H6" s="20"/>
      <c r="I6" s="14" t="s">
        <v>46</v>
      </c>
    </row>
    <row r="7" spans="2:9" ht="15.75" thickBot="1">
      <c r="B7" s="6"/>
      <c r="C7" s="9" t="s">
        <v>20</v>
      </c>
      <c r="E7" s="13"/>
      <c r="F7" s="11" t="s">
        <v>31</v>
      </c>
      <c r="H7" s="20"/>
      <c r="I7" s="14" t="s">
        <v>47</v>
      </c>
    </row>
    <row r="8" spans="2:9" ht="15.75" thickBot="1">
      <c r="B8" s="6"/>
      <c r="C8" s="9" t="s">
        <v>21</v>
      </c>
      <c r="E8" s="13"/>
      <c r="F8" s="11" t="s">
        <v>32</v>
      </c>
      <c r="H8" s="16"/>
      <c r="I8" s="17"/>
    </row>
    <row r="9" spans="2:9" ht="15.75" thickBot="1">
      <c r="B9" s="6"/>
      <c r="C9" s="9" t="s">
        <v>22</v>
      </c>
      <c r="E9" s="13"/>
      <c r="F9" s="11" t="s">
        <v>33</v>
      </c>
      <c r="H9" s="251" t="s">
        <v>43</v>
      </c>
      <c r="I9" s="252"/>
    </row>
    <row r="10" spans="2:9" ht="15.75" thickBot="1">
      <c r="B10" s="6"/>
      <c r="C10" s="9" t="s">
        <v>23</v>
      </c>
      <c r="E10" s="13"/>
      <c r="F10" s="11" t="s">
        <v>34</v>
      </c>
      <c r="H10" s="21" t="s">
        <v>42</v>
      </c>
      <c r="I10" s="22" t="s">
        <v>18</v>
      </c>
    </row>
    <row r="11" spans="2:9" ht="15.75" thickBot="1">
      <c r="B11" s="6"/>
      <c r="C11" s="9" t="s">
        <v>24</v>
      </c>
      <c r="E11" s="13"/>
      <c r="F11" s="11" t="s">
        <v>35</v>
      </c>
      <c r="H11" s="23"/>
      <c r="I11" s="22" t="s">
        <v>48</v>
      </c>
    </row>
    <row r="12" spans="2:9" ht="15.75" thickBot="1">
      <c r="B12" s="6"/>
      <c r="C12" s="9" t="s">
        <v>25</v>
      </c>
      <c r="E12" s="13"/>
      <c r="F12" s="11" t="s">
        <v>36</v>
      </c>
      <c r="H12" s="23"/>
      <c r="I12" s="22" t="s">
        <v>49</v>
      </c>
    </row>
    <row r="13" spans="2:9" ht="15.75" thickBot="1">
      <c r="B13" s="6"/>
      <c r="C13" s="9" t="s">
        <v>26</v>
      </c>
      <c r="E13" s="13"/>
      <c r="F13" s="11" t="s">
        <v>37</v>
      </c>
      <c r="H13" s="23"/>
      <c r="I13" s="22" t="s">
        <v>50</v>
      </c>
    </row>
    <row r="14" spans="2:9" ht="15.75" thickBot="1">
      <c r="B14" s="6"/>
      <c r="C14" s="9" t="s">
        <v>27</v>
      </c>
      <c r="E14" s="13"/>
      <c r="F14" s="11" t="s">
        <v>38</v>
      </c>
      <c r="H14" s="23"/>
      <c r="I14" s="22" t="s">
        <v>51</v>
      </c>
    </row>
    <row r="15" spans="2:9" ht="15.75" thickBot="1">
      <c r="B15" s="6"/>
      <c r="C15" s="9" t="s">
        <v>29</v>
      </c>
      <c r="E15" s="13"/>
      <c r="F15" s="11" t="s">
        <v>39</v>
      </c>
      <c r="H15" s="23"/>
      <c r="I15" s="22" t="s">
        <v>52</v>
      </c>
    </row>
    <row r="16" spans="2:9">
      <c r="H16" s="19"/>
      <c r="I16" s="18"/>
    </row>
    <row r="17" spans="8:9">
      <c r="H17" s="19"/>
      <c r="I17" s="18"/>
    </row>
    <row r="18" spans="8:9">
      <c r="H18" s="19"/>
      <c r="I18" s="18"/>
    </row>
    <row r="19" spans="8:9">
      <c r="H19" s="19"/>
      <c r="I19" s="18"/>
    </row>
    <row r="20" spans="8:9">
      <c r="H20" s="19"/>
      <c r="I20" s="18"/>
    </row>
  </sheetData>
  <mergeCells count="5">
    <mergeCell ref="B4:C4"/>
    <mergeCell ref="E4:F4"/>
    <mergeCell ref="H4:I4"/>
    <mergeCell ref="H9:I9"/>
    <mergeCell ref="B2:I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2:I21"/>
  <sheetViews>
    <sheetView zoomScale="160" zoomScaleNormal="160" workbookViewId="0">
      <selection activeCell="H6" sqref="H6"/>
    </sheetView>
  </sheetViews>
  <sheetFormatPr defaultRowHeight="15"/>
  <cols>
    <col min="1" max="1" width="3.5703125" style="1" customWidth="1"/>
    <col min="2" max="2" width="15.28515625" style="1" bestFit="1" customWidth="1"/>
    <col min="3" max="3" width="17.85546875" style="1" bestFit="1" customWidth="1"/>
    <col min="4" max="4" width="15.140625" style="1" bestFit="1" customWidth="1"/>
    <col min="5" max="5" width="16.42578125" style="1" bestFit="1" customWidth="1"/>
    <col min="6" max="6" width="8.85546875" style="1" bestFit="1" customWidth="1"/>
    <col min="7" max="7" width="16.42578125" style="1" bestFit="1" customWidth="1"/>
    <col min="8" max="8" width="12.28515625" style="1" bestFit="1" customWidth="1"/>
    <col min="9" max="9" width="9.42578125" style="1" customWidth="1"/>
    <col min="10" max="10" width="15.140625" style="1" customWidth="1"/>
    <col min="11" max="11" width="4" style="1" customWidth="1"/>
    <col min="12" max="16384" width="9.140625" style="1"/>
  </cols>
  <sheetData>
    <row r="2" spans="2:9" ht="28.5" customHeight="1">
      <c r="B2" s="32" t="s">
        <v>67</v>
      </c>
      <c r="C2" s="34">
        <f>B14</f>
        <v>0</v>
      </c>
      <c r="D2" s="259" t="s">
        <v>109</v>
      </c>
      <c r="E2" s="260"/>
      <c r="F2" s="260"/>
      <c r="G2" s="260"/>
      <c r="H2" s="260"/>
      <c r="I2" s="261"/>
    </row>
    <row r="3" spans="2:9" ht="5.25" customHeight="1">
      <c r="B3" s="24"/>
      <c r="C3" s="24"/>
      <c r="D3" s="35"/>
      <c r="E3" s="35"/>
      <c r="F3" s="35"/>
      <c r="G3" s="35"/>
      <c r="H3" s="35"/>
    </row>
    <row r="4" spans="2:9" ht="17.25" customHeight="1">
      <c r="B4" s="25"/>
      <c r="E4" s="36" t="s">
        <v>56</v>
      </c>
      <c r="F4" s="31">
        <v>12</v>
      </c>
      <c r="G4" s="37" t="s">
        <v>55</v>
      </c>
    </row>
    <row r="5" spans="2:9">
      <c r="B5" s="25"/>
      <c r="E5" s="36" t="s">
        <v>5</v>
      </c>
      <c r="F5" s="31">
        <v>30</v>
      </c>
      <c r="G5" s="37" t="s">
        <v>54</v>
      </c>
    </row>
    <row r="6" spans="2:9">
      <c r="B6" s="25"/>
      <c r="E6" s="36" t="s">
        <v>4</v>
      </c>
      <c r="F6" s="31">
        <v>16</v>
      </c>
      <c r="G6" s="37" t="s">
        <v>17</v>
      </c>
    </row>
    <row r="7" spans="2:9" ht="15.75" thickBot="1">
      <c r="B7" s="25"/>
      <c r="C7" s="25"/>
      <c r="D7" s="25"/>
      <c r="E7" s="25"/>
      <c r="F7" s="25"/>
      <c r="G7" s="25"/>
      <c r="H7" s="25"/>
    </row>
    <row r="8" spans="2:9" ht="21" thickBot="1">
      <c r="B8" s="256" t="s">
        <v>121</v>
      </c>
      <c r="C8" s="257"/>
      <c r="D8" s="257"/>
      <c r="E8" s="257"/>
      <c r="F8" s="258" t="s">
        <v>57</v>
      </c>
      <c r="G8" s="208" t="s">
        <v>69</v>
      </c>
      <c r="H8" s="209" t="s">
        <v>72</v>
      </c>
      <c r="I8" s="209" t="s">
        <v>70</v>
      </c>
    </row>
    <row r="9" spans="2:9" ht="21" thickBot="1">
      <c r="B9" s="48" t="s">
        <v>58</v>
      </c>
      <c r="C9" s="49" t="s">
        <v>59</v>
      </c>
      <c r="D9" s="49" t="s">
        <v>60</v>
      </c>
      <c r="E9" s="49" t="s">
        <v>61</v>
      </c>
      <c r="F9" s="258"/>
      <c r="G9" s="210" t="s">
        <v>68</v>
      </c>
      <c r="H9" s="211" t="s">
        <v>73</v>
      </c>
      <c r="I9" s="211" t="s">
        <v>71</v>
      </c>
    </row>
    <row r="10" spans="2:9">
      <c r="B10" s="43">
        <f>C10/$F$6</f>
        <v>0</v>
      </c>
      <c r="C10" s="44">
        <f>D10/$F$5</f>
        <v>0</v>
      </c>
      <c r="D10" s="44">
        <f>E10/$F$4</f>
        <v>0</v>
      </c>
      <c r="E10" s="44">
        <f>G10*F10</f>
        <v>0</v>
      </c>
      <c r="F10" s="45">
        <f>1/H10</f>
        <v>0.05</v>
      </c>
      <c r="G10" s="44"/>
      <c r="H10" s="46">
        <v>20</v>
      </c>
      <c r="I10" s="47" t="s">
        <v>63</v>
      </c>
    </row>
    <row r="11" spans="2:9" s="26" customFormat="1">
      <c r="B11" s="33">
        <f>C11/$F$6</f>
        <v>0</v>
      </c>
      <c r="C11" s="30">
        <f>D11/$F$5</f>
        <v>0</v>
      </c>
      <c r="D11" s="30">
        <f>E11/$F$4</f>
        <v>0</v>
      </c>
      <c r="E11" s="30">
        <f t="shared" ref="E11:E13" si="0">G11*F11</f>
        <v>0</v>
      </c>
      <c r="F11" s="27">
        <f>1/H11</f>
        <v>0.2</v>
      </c>
      <c r="G11" s="30"/>
      <c r="H11" s="29">
        <v>5</v>
      </c>
      <c r="I11" s="28" t="s">
        <v>64</v>
      </c>
    </row>
    <row r="12" spans="2:9" s="26" customFormat="1">
      <c r="B12" s="33">
        <f>C12/$F$6</f>
        <v>0</v>
      </c>
      <c r="C12" s="30">
        <f>D12/$F$5</f>
        <v>0</v>
      </c>
      <c r="D12" s="30">
        <f>E12/$F$4</f>
        <v>0</v>
      </c>
      <c r="E12" s="30">
        <f t="shared" si="0"/>
        <v>0</v>
      </c>
      <c r="F12" s="27">
        <f>1/H12</f>
        <v>0.1</v>
      </c>
      <c r="G12" s="30"/>
      <c r="H12" s="29">
        <v>10</v>
      </c>
      <c r="I12" s="28" t="s">
        <v>65</v>
      </c>
    </row>
    <row r="13" spans="2:9" ht="15.75" thickBot="1">
      <c r="B13" s="38">
        <f>C13/$F$6</f>
        <v>0</v>
      </c>
      <c r="C13" s="39">
        <f>D13/$F$5</f>
        <v>0</v>
      </c>
      <c r="D13" s="39">
        <f>E13/$F$4</f>
        <v>0</v>
      </c>
      <c r="E13" s="39">
        <f t="shared" si="0"/>
        <v>0</v>
      </c>
      <c r="F13" s="40">
        <f>1/H13</f>
        <v>3.3333333333333333E-2</v>
      </c>
      <c r="G13" s="39"/>
      <c r="H13" s="41">
        <v>30</v>
      </c>
      <c r="I13" s="42" t="s">
        <v>66</v>
      </c>
    </row>
    <row r="14" spans="2:9" ht="16.5" thickBot="1">
      <c r="B14" s="50">
        <f>SUM(B10:B13)</f>
        <v>0</v>
      </c>
      <c r="C14" s="51">
        <f>SUM(C10:C13)</f>
        <v>0</v>
      </c>
      <c r="D14" s="51">
        <f>SUM(D10:D13)</f>
        <v>0</v>
      </c>
      <c r="E14" s="51">
        <f>SUM(E10:E13)</f>
        <v>0</v>
      </c>
      <c r="F14" s="52"/>
      <c r="G14" s="51">
        <f>SUM(G10:G13)</f>
        <v>0</v>
      </c>
      <c r="H14" s="48">
        <f>SUM(H10:H13)</f>
        <v>65</v>
      </c>
      <c r="I14" s="48" t="s">
        <v>62</v>
      </c>
    </row>
    <row r="15" spans="2:9">
      <c r="B15" s="25"/>
      <c r="C15" s="25"/>
      <c r="D15" s="25"/>
      <c r="E15" s="25"/>
      <c r="F15" s="25"/>
      <c r="G15" s="25"/>
      <c r="H15" s="25"/>
    </row>
    <row r="16" spans="2:9">
      <c r="B16" s="25"/>
      <c r="C16" s="25"/>
      <c r="D16" s="25"/>
      <c r="E16" s="25"/>
      <c r="F16" s="25"/>
      <c r="G16" s="25"/>
      <c r="H16" s="25"/>
    </row>
    <row r="17" spans="2:8">
      <c r="B17" s="25"/>
      <c r="C17" s="25"/>
      <c r="D17" s="25"/>
      <c r="E17" s="25"/>
      <c r="F17" s="25"/>
      <c r="G17" s="25"/>
      <c r="H17" s="25"/>
    </row>
    <row r="18" spans="2:8">
      <c r="B18" s="25"/>
      <c r="C18" s="25"/>
      <c r="D18" s="25"/>
      <c r="E18" s="25"/>
      <c r="F18" s="25"/>
      <c r="G18" s="25"/>
      <c r="H18" s="25"/>
    </row>
    <row r="19" spans="2:8">
      <c r="B19" s="25"/>
      <c r="C19" s="25"/>
      <c r="D19" s="25"/>
      <c r="E19" s="25"/>
      <c r="F19" s="25"/>
      <c r="G19" s="25"/>
      <c r="H19" s="25"/>
    </row>
    <row r="20" spans="2:8">
      <c r="B20" s="25"/>
      <c r="C20" s="25"/>
      <c r="D20" s="25"/>
      <c r="E20" s="25"/>
      <c r="F20" s="25"/>
      <c r="G20" s="25"/>
      <c r="H20" s="25"/>
    </row>
    <row r="21" spans="2:8">
      <c r="B21" s="25"/>
      <c r="C21" s="25"/>
      <c r="D21" s="25"/>
      <c r="E21" s="25"/>
      <c r="F21" s="25"/>
      <c r="G21" s="25"/>
      <c r="H21" s="25"/>
    </row>
  </sheetData>
  <mergeCells count="3">
    <mergeCell ref="B8:E8"/>
    <mergeCell ref="F8:F9"/>
    <mergeCell ref="D2:I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1:M34"/>
  <sheetViews>
    <sheetView zoomScale="70" zoomScaleNormal="70" workbookViewId="0">
      <pane xSplit="13" ySplit="7" topLeftCell="N8" activePane="bottomRight" state="frozen"/>
      <selection pane="topRight" activeCell="N1" sqref="N1"/>
      <selection pane="bottomLeft" activeCell="A8" sqref="A8"/>
      <selection pane="bottomRight" activeCell="L4" sqref="C4:L4"/>
    </sheetView>
  </sheetViews>
  <sheetFormatPr defaultColWidth="13.42578125" defaultRowHeight="23.25"/>
  <cols>
    <col min="1" max="1" width="5.42578125" style="53" customWidth="1"/>
    <col min="2" max="2" width="37.28515625" style="56" customWidth="1"/>
    <col min="3" max="12" width="18.7109375" style="53" customWidth="1"/>
    <col min="13" max="13" width="31.140625" style="56" customWidth="1"/>
    <col min="14" max="14" width="9.7109375" style="53" customWidth="1"/>
    <col min="15" max="16384" width="13.42578125" style="53"/>
  </cols>
  <sheetData>
    <row r="1" spans="2:13" ht="53.25" customHeight="1">
      <c r="B1" s="262" t="s">
        <v>80</v>
      </c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</row>
    <row r="2" spans="2:13" ht="23.25" customHeight="1" thickBot="1"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</row>
    <row r="3" spans="2:13" s="62" customFormat="1" ht="24" thickBot="1">
      <c r="B3" s="60" t="s">
        <v>11</v>
      </c>
      <c r="C3" s="63">
        <v>1</v>
      </c>
      <c r="D3" s="63">
        <v>2</v>
      </c>
      <c r="E3" s="63">
        <v>3</v>
      </c>
      <c r="F3" s="63">
        <v>4</v>
      </c>
      <c r="G3" s="63">
        <v>5</v>
      </c>
      <c r="H3" s="63">
        <v>6</v>
      </c>
      <c r="I3" s="63">
        <v>7</v>
      </c>
      <c r="J3" s="63">
        <v>8</v>
      </c>
      <c r="K3" s="63">
        <v>9</v>
      </c>
      <c r="L3" s="63">
        <v>10</v>
      </c>
      <c r="M3" s="263" t="e">
        <f>SUM(C6:L6)</f>
        <v>#DIV/0!</v>
      </c>
    </row>
    <row r="4" spans="2:13" s="62" customFormat="1" ht="24" thickBot="1">
      <c r="B4" s="60" t="s">
        <v>74</v>
      </c>
      <c r="C4" s="63">
        <f>الرئيسية!J10</f>
        <v>0</v>
      </c>
      <c r="D4" s="63">
        <f>الرئيسية!J14</f>
        <v>0</v>
      </c>
      <c r="E4" s="63">
        <f>الرئيسية!J18</f>
        <v>0</v>
      </c>
      <c r="F4" s="63">
        <f>الرئيسية!J22</f>
        <v>0</v>
      </c>
      <c r="G4" s="63">
        <f>الرئيسية!J26</f>
        <v>0</v>
      </c>
      <c r="H4" s="63">
        <f>الرئيسية!P10</f>
        <v>0</v>
      </c>
      <c r="I4" s="63">
        <f>الرئيسية!P14</f>
        <v>0</v>
      </c>
      <c r="J4" s="63">
        <f>الرئيسية!P18</f>
        <v>0</v>
      </c>
      <c r="K4" s="63">
        <f>الرئيسية!P22</f>
        <v>0</v>
      </c>
      <c r="L4" s="63">
        <f>الرئيسية!P26</f>
        <v>0</v>
      </c>
      <c r="M4" s="264"/>
    </row>
    <row r="5" spans="2:13" ht="3" customHeight="1" thickBot="1">
      <c r="C5" s="54"/>
      <c r="D5" s="54"/>
      <c r="E5" s="54"/>
      <c r="F5" s="54"/>
      <c r="G5" s="54"/>
      <c r="H5" s="54"/>
      <c r="I5" s="54"/>
      <c r="J5" s="54"/>
      <c r="K5" s="54"/>
      <c r="L5" s="54"/>
      <c r="M5" s="264"/>
    </row>
    <row r="6" spans="2:13" ht="24" thickBot="1">
      <c r="B6" s="60" t="s">
        <v>75</v>
      </c>
      <c r="C6" s="64" t="e">
        <f>الرئيسية!H10/الرئيسية!$H$32</f>
        <v>#DIV/0!</v>
      </c>
      <c r="D6" s="64" t="e">
        <f>الرئيسية!H14/الرئيسية!$H$32</f>
        <v>#DIV/0!</v>
      </c>
      <c r="E6" s="64" t="e">
        <f>الرئيسية!H18/الرئيسية!$H$32</f>
        <v>#DIV/0!</v>
      </c>
      <c r="F6" s="64" t="e">
        <f>الرئيسية!H22/الرئيسية!$H$32</f>
        <v>#DIV/0!</v>
      </c>
      <c r="G6" s="64" t="e">
        <f>الرئيسية!H26/الرئيسية!$H$32</f>
        <v>#DIV/0!</v>
      </c>
      <c r="H6" s="64" t="e">
        <f>الرئيسية!N10/الرئيسية!$H$32</f>
        <v>#DIV/0!</v>
      </c>
      <c r="I6" s="64" t="e">
        <f>الرئيسية!N14/الرئيسية!$H$32</f>
        <v>#DIV/0!</v>
      </c>
      <c r="J6" s="64" t="e">
        <f>الرئيسية!N18/الرئيسية!$H$32</f>
        <v>#DIV/0!</v>
      </c>
      <c r="K6" s="64" t="e">
        <f>الرئيسية!N22/الرئيسية!$H$32</f>
        <v>#DIV/0!</v>
      </c>
      <c r="L6" s="64" t="e">
        <f>الرئيسية!N26/الرئيسية!$H$32</f>
        <v>#DIV/0!</v>
      </c>
      <c r="M6" s="265"/>
    </row>
    <row r="7" spans="2:13" ht="24" thickBot="1">
      <c r="C7" s="54"/>
      <c r="D7" s="54"/>
      <c r="E7" s="54"/>
      <c r="F7" s="54"/>
      <c r="G7" s="54"/>
      <c r="H7" s="54"/>
      <c r="I7" s="54"/>
      <c r="J7" s="54"/>
      <c r="K7" s="54"/>
      <c r="L7" s="54"/>
      <c r="M7" s="212"/>
    </row>
    <row r="8" spans="2:13" s="62" customFormat="1" ht="24" thickBot="1">
      <c r="B8" s="60" t="s">
        <v>77</v>
      </c>
      <c r="C8" s="61" t="e">
        <f>C10+C9</f>
        <v>#DIV/0!</v>
      </c>
      <c r="D8" s="61" t="e">
        <f t="shared" ref="D8:L8" si="0">D10+D9</f>
        <v>#DIV/0!</v>
      </c>
      <c r="E8" s="61" t="e">
        <f t="shared" si="0"/>
        <v>#DIV/0!</v>
      </c>
      <c r="F8" s="61" t="e">
        <f t="shared" si="0"/>
        <v>#DIV/0!</v>
      </c>
      <c r="G8" s="61" t="e">
        <f t="shared" si="0"/>
        <v>#DIV/0!</v>
      </c>
      <c r="H8" s="61" t="e">
        <f t="shared" si="0"/>
        <v>#DIV/0!</v>
      </c>
      <c r="I8" s="61" t="e">
        <f t="shared" si="0"/>
        <v>#DIV/0!</v>
      </c>
      <c r="J8" s="61" t="e">
        <f t="shared" si="0"/>
        <v>#DIV/0!</v>
      </c>
      <c r="K8" s="61" t="e">
        <f t="shared" si="0"/>
        <v>#DIV/0!</v>
      </c>
      <c r="L8" s="61" t="e">
        <f t="shared" si="0"/>
        <v>#DIV/0!</v>
      </c>
      <c r="M8" s="213" t="e">
        <f>SUM(C8:L8)</f>
        <v>#DIV/0!</v>
      </c>
    </row>
    <row r="9" spans="2:13">
      <c r="B9" s="58" t="s">
        <v>47</v>
      </c>
      <c r="C9" s="59" t="e">
        <f>'اجمالي التكاليف خلال الفترة'!$H$7*C6</f>
        <v>#DIV/0!</v>
      </c>
      <c r="D9" s="59" t="e">
        <f>'اجمالي التكاليف خلال الفترة'!$H$7*D6</f>
        <v>#DIV/0!</v>
      </c>
      <c r="E9" s="59" t="e">
        <f>'اجمالي التكاليف خلال الفترة'!$H$7*E6</f>
        <v>#DIV/0!</v>
      </c>
      <c r="F9" s="59" t="e">
        <f>'اجمالي التكاليف خلال الفترة'!$H$7*F6</f>
        <v>#DIV/0!</v>
      </c>
      <c r="G9" s="59" t="e">
        <f>'اجمالي التكاليف خلال الفترة'!$H$7*G6</f>
        <v>#DIV/0!</v>
      </c>
      <c r="H9" s="59" t="e">
        <f>'اجمالي التكاليف خلال الفترة'!$H$7*H6</f>
        <v>#DIV/0!</v>
      </c>
      <c r="I9" s="59" t="e">
        <f>'اجمالي التكاليف خلال الفترة'!$H$7*I6</f>
        <v>#DIV/0!</v>
      </c>
      <c r="J9" s="59" t="e">
        <f>'اجمالي التكاليف خلال الفترة'!$H$7*J6</f>
        <v>#DIV/0!</v>
      </c>
      <c r="K9" s="59" t="e">
        <f>'اجمالي التكاليف خلال الفترة'!$H$7*K6</f>
        <v>#DIV/0!</v>
      </c>
      <c r="L9" s="59" t="e">
        <f>'اجمالي التكاليف خلال الفترة'!$H$7*L6</f>
        <v>#DIV/0!</v>
      </c>
      <c r="M9" s="214" t="e">
        <f>SUM(C9:L9)</f>
        <v>#DIV/0!</v>
      </c>
    </row>
    <row r="10" spans="2:13">
      <c r="B10" s="57" t="s">
        <v>46</v>
      </c>
      <c r="C10" s="55" t="e">
        <f>'اجمالي التكاليف خلال الفترة'!$H$6*C6</f>
        <v>#DIV/0!</v>
      </c>
      <c r="D10" s="55" t="e">
        <f>'اجمالي التكاليف خلال الفترة'!$H$6*D6</f>
        <v>#DIV/0!</v>
      </c>
      <c r="E10" s="55" t="e">
        <f>'اجمالي التكاليف خلال الفترة'!$H$6*E6</f>
        <v>#DIV/0!</v>
      </c>
      <c r="F10" s="55" t="e">
        <f>'اجمالي التكاليف خلال الفترة'!$H$6*F6</f>
        <v>#DIV/0!</v>
      </c>
      <c r="G10" s="55" t="e">
        <f>'اجمالي التكاليف خلال الفترة'!$H$6*G6</f>
        <v>#DIV/0!</v>
      </c>
      <c r="H10" s="55" t="e">
        <f>'اجمالي التكاليف خلال الفترة'!$H$6*H6</f>
        <v>#DIV/0!</v>
      </c>
      <c r="I10" s="55" t="e">
        <f>'اجمالي التكاليف خلال الفترة'!$H$6*I6</f>
        <v>#DIV/0!</v>
      </c>
      <c r="J10" s="55" t="e">
        <f>'اجمالي التكاليف خلال الفترة'!$H$6*J6</f>
        <v>#DIV/0!</v>
      </c>
      <c r="K10" s="55" t="e">
        <f>'اجمالي التكاليف خلال الفترة'!$H$6*K6</f>
        <v>#DIV/0!</v>
      </c>
      <c r="L10" s="55" t="e">
        <f>'اجمالي التكاليف خلال الفترة'!$H$6*L6</f>
        <v>#DIV/0!</v>
      </c>
      <c r="M10" s="215" t="e">
        <f>SUM(C10:L10)</f>
        <v>#DIV/0!</v>
      </c>
    </row>
    <row r="11" spans="2:13" ht="24" thickBot="1"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212"/>
    </row>
    <row r="12" spans="2:13" s="62" customFormat="1" ht="24" thickBot="1">
      <c r="B12" s="60" t="s">
        <v>78</v>
      </c>
      <c r="C12" s="61" t="e">
        <f>SUM(C13:C22)</f>
        <v>#DIV/0!</v>
      </c>
      <c r="D12" s="61" t="e">
        <f t="shared" ref="D12:L12" si="1">SUM(D13:D22)</f>
        <v>#DIV/0!</v>
      </c>
      <c r="E12" s="61" t="e">
        <f t="shared" si="1"/>
        <v>#DIV/0!</v>
      </c>
      <c r="F12" s="61" t="e">
        <f t="shared" si="1"/>
        <v>#DIV/0!</v>
      </c>
      <c r="G12" s="61" t="e">
        <f t="shared" si="1"/>
        <v>#DIV/0!</v>
      </c>
      <c r="H12" s="61" t="e">
        <f t="shared" si="1"/>
        <v>#DIV/0!</v>
      </c>
      <c r="I12" s="61" t="e">
        <f t="shared" si="1"/>
        <v>#DIV/0!</v>
      </c>
      <c r="J12" s="61" t="e">
        <f t="shared" si="1"/>
        <v>#DIV/0!</v>
      </c>
      <c r="K12" s="61" t="e">
        <f t="shared" si="1"/>
        <v>#DIV/0!</v>
      </c>
      <c r="L12" s="61" t="e">
        <f t="shared" si="1"/>
        <v>#DIV/0!</v>
      </c>
      <c r="M12" s="213" t="e">
        <f>SUM(C12:L12)</f>
        <v>#DIV/0!</v>
      </c>
    </row>
    <row r="13" spans="2:13">
      <c r="B13" s="58" t="str">
        <f>'اجمالي التكاليف خلال الفترة'!F6</f>
        <v>تكلفة متغيرة 1</v>
      </c>
      <c r="C13" s="59" t="e">
        <f>'اجمالي التكاليف خلال الفترة'!$E$6*C6</f>
        <v>#DIV/0!</v>
      </c>
      <c r="D13" s="59" t="e">
        <f>'اجمالي التكاليف خلال الفترة'!$E$6*D6</f>
        <v>#DIV/0!</v>
      </c>
      <c r="E13" s="59" t="e">
        <f>'اجمالي التكاليف خلال الفترة'!$E$6*E6</f>
        <v>#DIV/0!</v>
      </c>
      <c r="F13" s="59" t="e">
        <f>'اجمالي التكاليف خلال الفترة'!$E$6*F6</f>
        <v>#DIV/0!</v>
      </c>
      <c r="G13" s="59" t="e">
        <f>'اجمالي التكاليف خلال الفترة'!$E$6*G6</f>
        <v>#DIV/0!</v>
      </c>
      <c r="H13" s="59" t="e">
        <f>'اجمالي التكاليف خلال الفترة'!$E$6*H6</f>
        <v>#DIV/0!</v>
      </c>
      <c r="I13" s="59" t="e">
        <f>'اجمالي التكاليف خلال الفترة'!$E$6*I6</f>
        <v>#DIV/0!</v>
      </c>
      <c r="J13" s="59" t="e">
        <f>'اجمالي التكاليف خلال الفترة'!$E$6*J6</f>
        <v>#DIV/0!</v>
      </c>
      <c r="K13" s="59" t="e">
        <f>'اجمالي التكاليف خلال الفترة'!$E$6*K6</f>
        <v>#DIV/0!</v>
      </c>
      <c r="L13" s="59" t="e">
        <f>'اجمالي التكاليف خلال الفترة'!$E$6*L6</f>
        <v>#DIV/0!</v>
      </c>
      <c r="M13" s="214" t="e">
        <f>SUM(C13:L13)</f>
        <v>#DIV/0!</v>
      </c>
    </row>
    <row r="14" spans="2:13">
      <c r="B14" s="57" t="str">
        <f>'اجمالي التكاليف خلال الفترة'!F7</f>
        <v>تكلفة متغيرة 2</v>
      </c>
      <c r="C14" s="55" t="e">
        <f>'اجمالي التكاليف خلال الفترة'!$E$7*C6</f>
        <v>#DIV/0!</v>
      </c>
      <c r="D14" s="55" t="e">
        <f>'اجمالي التكاليف خلال الفترة'!$E$7*D6</f>
        <v>#DIV/0!</v>
      </c>
      <c r="E14" s="55" t="e">
        <f>'اجمالي التكاليف خلال الفترة'!$E$7*E6</f>
        <v>#DIV/0!</v>
      </c>
      <c r="F14" s="55" t="e">
        <f>'اجمالي التكاليف خلال الفترة'!$E$7*F6</f>
        <v>#DIV/0!</v>
      </c>
      <c r="G14" s="55" t="e">
        <f>'اجمالي التكاليف خلال الفترة'!$E$7*G6</f>
        <v>#DIV/0!</v>
      </c>
      <c r="H14" s="55" t="e">
        <f>'اجمالي التكاليف خلال الفترة'!$E$7*H6</f>
        <v>#DIV/0!</v>
      </c>
      <c r="I14" s="55" t="e">
        <f>'اجمالي التكاليف خلال الفترة'!$E$7*I6</f>
        <v>#DIV/0!</v>
      </c>
      <c r="J14" s="55" t="e">
        <f>'اجمالي التكاليف خلال الفترة'!$E$7*J6</f>
        <v>#DIV/0!</v>
      </c>
      <c r="K14" s="55" t="e">
        <f>'اجمالي التكاليف خلال الفترة'!$E$7*K6</f>
        <v>#DIV/0!</v>
      </c>
      <c r="L14" s="55" t="e">
        <f>'اجمالي التكاليف خلال الفترة'!$E$7*L6</f>
        <v>#DIV/0!</v>
      </c>
      <c r="M14" s="215" t="e">
        <f>SUM(C14:L14)</f>
        <v>#DIV/0!</v>
      </c>
    </row>
    <row r="15" spans="2:13">
      <c r="B15" s="57" t="str">
        <f>'اجمالي التكاليف خلال الفترة'!F8</f>
        <v>تكلفة متغيرة 3</v>
      </c>
      <c r="C15" s="55" t="e">
        <f>'اجمالي التكاليف خلال الفترة'!$E$8*C6</f>
        <v>#DIV/0!</v>
      </c>
      <c r="D15" s="55" t="e">
        <f>'اجمالي التكاليف خلال الفترة'!$E$8*D6</f>
        <v>#DIV/0!</v>
      </c>
      <c r="E15" s="55" t="e">
        <f>'اجمالي التكاليف خلال الفترة'!$E$8*E6</f>
        <v>#DIV/0!</v>
      </c>
      <c r="F15" s="55" t="e">
        <f>'اجمالي التكاليف خلال الفترة'!$E$8*F6</f>
        <v>#DIV/0!</v>
      </c>
      <c r="G15" s="55" t="e">
        <f>'اجمالي التكاليف خلال الفترة'!$E$8*G6</f>
        <v>#DIV/0!</v>
      </c>
      <c r="H15" s="55" t="e">
        <f>'اجمالي التكاليف خلال الفترة'!$E$8*H6</f>
        <v>#DIV/0!</v>
      </c>
      <c r="I15" s="55" t="e">
        <f>'اجمالي التكاليف خلال الفترة'!$E$8*I6</f>
        <v>#DIV/0!</v>
      </c>
      <c r="J15" s="55" t="e">
        <f>'اجمالي التكاليف خلال الفترة'!$E$8*J6</f>
        <v>#DIV/0!</v>
      </c>
      <c r="K15" s="55" t="e">
        <f>'اجمالي التكاليف خلال الفترة'!$E$8*K6</f>
        <v>#DIV/0!</v>
      </c>
      <c r="L15" s="55" t="e">
        <f>'اجمالي التكاليف خلال الفترة'!$E$8*L6</f>
        <v>#DIV/0!</v>
      </c>
      <c r="M15" s="215" t="e">
        <f t="shared" ref="M15:M22" si="2">SUM(C15:L15)</f>
        <v>#DIV/0!</v>
      </c>
    </row>
    <row r="16" spans="2:13">
      <c r="B16" s="57" t="str">
        <f>'اجمالي التكاليف خلال الفترة'!F9</f>
        <v>تكلفة متغيرة 4</v>
      </c>
      <c r="C16" s="55" t="e">
        <f>'اجمالي التكاليف خلال الفترة'!$E$9*C6</f>
        <v>#DIV/0!</v>
      </c>
      <c r="D16" s="55" t="e">
        <f>'اجمالي التكاليف خلال الفترة'!$E$9*D6</f>
        <v>#DIV/0!</v>
      </c>
      <c r="E16" s="55" t="e">
        <f>'اجمالي التكاليف خلال الفترة'!$E$9*E6</f>
        <v>#DIV/0!</v>
      </c>
      <c r="F16" s="55" t="e">
        <f>'اجمالي التكاليف خلال الفترة'!$E$9*F6</f>
        <v>#DIV/0!</v>
      </c>
      <c r="G16" s="55" t="e">
        <f>'اجمالي التكاليف خلال الفترة'!$E$9*G6</f>
        <v>#DIV/0!</v>
      </c>
      <c r="H16" s="55" t="e">
        <f>'اجمالي التكاليف خلال الفترة'!$E$9*H6</f>
        <v>#DIV/0!</v>
      </c>
      <c r="I16" s="55" t="e">
        <f>'اجمالي التكاليف خلال الفترة'!$E$9*I6</f>
        <v>#DIV/0!</v>
      </c>
      <c r="J16" s="55" t="e">
        <f>'اجمالي التكاليف خلال الفترة'!$E$9*J6</f>
        <v>#DIV/0!</v>
      </c>
      <c r="K16" s="55" t="e">
        <f>'اجمالي التكاليف خلال الفترة'!$E$9*K6</f>
        <v>#DIV/0!</v>
      </c>
      <c r="L16" s="55" t="e">
        <f>'اجمالي التكاليف خلال الفترة'!$E$9*L6</f>
        <v>#DIV/0!</v>
      </c>
      <c r="M16" s="215" t="e">
        <f t="shared" si="2"/>
        <v>#DIV/0!</v>
      </c>
    </row>
    <row r="17" spans="2:13">
      <c r="B17" s="57" t="str">
        <f>'اجمالي التكاليف خلال الفترة'!F10</f>
        <v>تكلفة متغيرة 5</v>
      </c>
      <c r="C17" s="55" t="e">
        <f>'اجمالي التكاليف خلال الفترة'!$E$10*C6</f>
        <v>#DIV/0!</v>
      </c>
      <c r="D17" s="55" t="e">
        <f>'اجمالي التكاليف خلال الفترة'!$E$10*D6</f>
        <v>#DIV/0!</v>
      </c>
      <c r="E17" s="55" t="e">
        <f>'اجمالي التكاليف خلال الفترة'!$E$10*E6</f>
        <v>#DIV/0!</v>
      </c>
      <c r="F17" s="55" t="e">
        <f>'اجمالي التكاليف خلال الفترة'!$E$10*F6</f>
        <v>#DIV/0!</v>
      </c>
      <c r="G17" s="55" t="e">
        <f>'اجمالي التكاليف خلال الفترة'!$E$10*G6</f>
        <v>#DIV/0!</v>
      </c>
      <c r="H17" s="55" t="e">
        <f>'اجمالي التكاليف خلال الفترة'!$E$10*H6</f>
        <v>#DIV/0!</v>
      </c>
      <c r="I17" s="55" t="e">
        <f>'اجمالي التكاليف خلال الفترة'!$E$10*I6</f>
        <v>#DIV/0!</v>
      </c>
      <c r="J17" s="55" t="e">
        <f>'اجمالي التكاليف خلال الفترة'!$E$10*J6</f>
        <v>#DIV/0!</v>
      </c>
      <c r="K17" s="55" t="e">
        <f>'اجمالي التكاليف خلال الفترة'!$E$10*K6</f>
        <v>#DIV/0!</v>
      </c>
      <c r="L17" s="55" t="e">
        <f>'اجمالي التكاليف خلال الفترة'!$E$10*L6</f>
        <v>#DIV/0!</v>
      </c>
      <c r="M17" s="215" t="e">
        <f t="shared" si="2"/>
        <v>#DIV/0!</v>
      </c>
    </row>
    <row r="18" spans="2:13">
      <c r="B18" s="57" t="str">
        <f>'اجمالي التكاليف خلال الفترة'!F11</f>
        <v>تكلفة متغيرة 6</v>
      </c>
      <c r="C18" s="55" t="e">
        <f>'اجمالي التكاليف خلال الفترة'!$E$11*C6</f>
        <v>#DIV/0!</v>
      </c>
      <c r="D18" s="55" t="e">
        <f>'اجمالي التكاليف خلال الفترة'!$E$11*D6</f>
        <v>#DIV/0!</v>
      </c>
      <c r="E18" s="55" t="e">
        <f>'اجمالي التكاليف خلال الفترة'!$E$11*E6</f>
        <v>#DIV/0!</v>
      </c>
      <c r="F18" s="55" t="e">
        <f>'اجمالي التكاليف خلال الفترة'!$E$11*F6</f>
        <v>#DIV/0!</v>
      </c>
      <c r="G18" s="55" t="e">
        <f>'اجمالي التكاليف خلال الفترة'!$E$11*G6</f>
        <v>#DIV/0!</v>
      </c>
      <c r="H18" s="55" t="e">
        <f>'اجمالي التكاليف خلال الفترة'!$E$11*H6</f>
        <v>#DIV/0!</v>
      </c>
      <c r="I18" s="55" t="e">
        <f>'اجمالي التكاليف خلال الفترة'!$E$11*I6</f>
        <v>#DIV/0!</v>
      </c>
      <c r="J18" s="55" t="e">
        <f>'اجمالي التكاليف خلال الفترة'!$E$11*J6</f>
        <v>#DIV/0!</v>
      </c>
      <c r="K18" s="55" t="e">
        <f>'اجمالي التكاليف خلال الفترة'!$E$11*K6</f>
        <v>#DIV/0!</v>
      </c>
      <c r="L18" s="55" t="e">
        <f>'اجمالي التكاليف خلال الفترة'!$E$11*L6</f>
        <v>#DIV/0!</v>
      </c>
      <c r="M18" s="215" t="e">
        <f t="shared" si="2"/>
        <v>#DIV/0!</v>
      </c>
    </row>
    <row r="19" spans="2:13">
      <c r="B19" s="57" t="str">
        <f>'اجمالي التكاليف خلال الفترة'!F12</f>
        <v>تكلفة متغيرة 7</v>
      </c>
      <c r="C19" s="55" t="e">
        <f>'اجمالي التكاليف خلال الفترة'!$E$12*C6</f>
        <v>#DIV/0!</v>
      </c>
      <c r="D19" s="55" t="e">
        <f>'اجمالي التكاليف خلال الفترة'!$E$12*D6</f>
        <v>#DIV/0!</v>
      </c>
      <c r="E19" s="55" t="e">
        <f>'اجمالي التكاليف خلال الفترة'!$E$12*E6</f>
        <v>#DIV/0!</v>
      </c>
      <c r="F19" s="55" t="e">
        <f>'اجمالي التكاليف خلال الفترة'!$E$12*F6</f>
        <v>#DIV/0!</v>
      </c>
      <c r="G19" s="55" t="e">
        <f>'اجمالي التكاليف خلال الفترة'!$E$12*G6</f>
        <v>#DIV/0!</v>
      </c>
      <c r="H19" s="55" t="e">
        <f>'اجمالي التكاليف خلال الفترة'!$E$12*H6</f>
        <v>#DIV/0!</v>
      </c>
      <c r="I19" s="55" t="e">
        <f>'اجمالي التكاليف خلال الفترة'!$E$12*I6</f>
        <v>#DIV/0!</v>
      </c>
      <c r="J19" s="55" t="e">
        <f>'اجمالي التكاليف خلال الفترة'!$E$12*J6</f>
        <v>#DIV/0!</v>
      </c>
      <c r="K19" s="55" t="e">
        <f>'اجمالي التكاليف خلال الفترة'!$E$12*K6</f>
        <v>#DIV/0!</v>
      </c>
      <c r="L19" s="55" t="e">
        <f>'اجمالي التكاليف خلال الفترة'!$E$12*L6</f>
        <v>#DIV/0!</v>
      </c>
      <c r="M19" s="215" t="e">
        <f t="shared" si="2"/>
        <v>#DIV/0!</v>
      </c>
    </row>
    <row r="20" spans="2:13">
      <c r="B20" s="57" t="str">
        <f>'اجمالي التكاليف خلال الفترة'!F13</f>
        <v>تكلفة متغيرة 8</v>
      </c>
      <c r="C20" s="55" t="e">
        <f>'اجمالي التكاليف خلال الفترة'!$E$13*C6</f>
        <v>#DIV/0!</v>
      </c>
      <c r="D20" s="55" t="e">
        <f>'اجمالي التكاليف خلال الفترة'!$E$13*D6</f>
        <v>#DIV/0!</v>
      </c>
      <c r="E20" s="55" t="e">
        <f>'اجمالي التكاليف خلال الفترة'!$E$13*E6</f>
        <v>#DIV/0!</v>
      </c>
      <c r="F20" s="55" t="e">
        <f>'اجمالي التكاليف خلال الفترة'!$E$13*F6</f>
        <v>#DIV/0!</v>
      </c>
      <c r="G20" s="55" t="e">
        <f>'اجمالي التكاليف خلال الفترة'!$E$13*G6</f>
        <v>#DIV/0!</v>
      </c>
      <c r="H20" s="55" t="e">
        <f>'اجمالي التكاليف خلال الفترة'!$E$13*H6</f>
        <v>#DIV/0!</v>
      </c>
      <c r="I20" s="55" t="e">
        <f>'اجمالي التكاليف خلال الفترة'!$E$13*I6</f>
        <v>#DIV/0!</v>
      </c>
      <c r="J20" s="55" t="e">
        <f>'اجمالي التكاليف خلال الفترة'!$E$13*J6</f>
        <v>#DIV/0!</v>
      </c>
      <c r="K20" s="55" t="e">
        <f>'اجمالي التكاليف خلال الفترة'!$E$13*K6</f>
        <v>#DIV/0!</v>
      </c>
      <c r="L20" s="55" t="e">
        <f>'اجمالي التكاليف خلال الفترة'!$E$13*L6</f>
        <v>#DIV/0!</v>
      </c>
      <c r="M20" s="215" t="e">
        <f t="shared" si="2"/>
        <v>#DIV/0!</v>
      </c>
    </row>
    <row r="21" spans="2:13">
      <c r="B21" s="57" t="str">
        <f>'اجمالي التكاليف خلال الفترة'!F14</f>
        <v>تكلفة متغيرة 9</v>
      </c>
      <c r="C21" s="55" t="e">
        <f>'اجمالي التكاليف خلال الفترة'!$E$14*C6</f>
        <v>#DIV/0!</v>
      </c>
      <c r="D21" s="55" t="e">
        <f>'اجمالي التكاليف خلال الفترة'!$E$14*D6</f>
        <v>#DIV/0!</v>
      </c>
      <c r="E21" s="55" t="e">
        <f>'اجمالي التكاليف خلال الفترة'!$E$14*E6</f>
        <v>#DIV/0!</v>
      </c>
      <c r="F21" s="55" t="e">
        <f>'اجمالي التكاليف خلال الفترة'!$E$14*F6</f>
        <v>#DIV/0!</v>
      </c>
      <c r="G21" s="55" t="e">
        <f>'اجمالي التكاليف خلال الفترة'!$E$14*G6</f>
        <v>#DIV/0!</v>
      </c>
      <c r="H21" s="55" t="e">
        <f>'اجمالي التكاليف خلال الفترة'!$E$14*H6</f>
        <v>#DIV/0!</v>
      </c>
      <c r="I21" s="55" t="e">
        <f>'اجمالي التكاليف خلال الفترة'!$E$14*I6</f>
        <v>#DIV/0!</v>
      </c>
      <c r="J21" s="55" t="e">
        <f>'اجمالي التكاليف خلال الفترة'!$E$14*J6</f>
        <v>#DIV/0!</v>
      </c>
      <c r="K21" s="55" t="e">
        <f>'اجمالي التكاليف خلال الفترة'!$E$14*K6</f>
        <v>#DIV/0!</v>
      </c>
      <c r="L21" s="55" t="e">
        <f>'اجمالي التكاليف خلال الفترة'!$E$14*L6</f>
        <v>#DIV/0!</v>
      </c>
      <c r="M21" s="215" t="e">
        <f t="shared" si="2"/>
        <v>#DIV/0!</v>
      </c>
    </row>
    <row r="22" spans="2:13">
      <c r="B22" s="57" t="str">
        <f>'اجمالي التكاليف خلال الفترة'!F15</f>
        <v>تكلفة متغيرة 10</v>
      </c>
      <c r="C22" s="55" t="e">
        <f>'اجمالي التكاليف خلال الفترة'!$E$15*C6</f>
        <v>#DIV/0!</v>
      </c>
      <c r="D22" s="55" t="e">
        <f>'اجمالي التكاليف خلال الفترة'!$E$15*D6</f>
        <v>#DIV/0!</v>
      </c>
      <c r="E22" s="55" t="e">
        <f>'اجمالي التكاليف خلال الفترة'!$E$15*E6</f>
        <v>#DIV/0!</v>
      </c>
      <c r="F22" s="55" t="e">
        <f>'اجمالي التكاليف خلال الفترة'!$E$15*F6</f>
        <v>#DIV/0!</v>
      </c>
      <c r="G22" s="55" t="e">
        <f>'اجمالي التكاليف خلال الفترة'!$E$15*G6</f>
        <v>#DIV/0!</v>
      </c>
      <c r="H22" s="55" t="e">
        <f>'اجمالي التكاليف خلال الفترة'!$E$15*H6</f>
        <v>#DIV/0!</v>
      </c>
      <c r="I22" s="55" t="e">
        <f>'اجمالي التكاليف خلال الفترة'!$E$15*I6</f>
        <v>#DIV/0!</v>
      </c>
      <c r="J22" s="55" t="e">
        <f>'اجمالي التكاليف خلال الفترة'!$E$15*J6</f>
        <v>#DIV/0!</v>
      </c>
      <c r="K22" s="55" t="e">
        <f>'اجمالي التكاليف خلال الفترة'!$E$15*K6</f>
        <v>#DIV/0!</v>
      </c>
      <c r="L22" s="55" t="e">
        <f>'اجمالي التكاليف خلال الفترة'!$E$15*L6</f>
        <v>#DIV/0!</v>
      </c>
      <c r="M22" s="215" t="e">
        <f t="shared" si="2"/>
        <v>#DIV/0!</v>
      </c>
    </row>
    <row r="23" spans="2:13" ht="24" thickBot="1"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212"/>
    </row>
    <row r="24" spans="2:13" s="62" customFormat="1" ht="24" thickBot="1">
      <c r="B24" s="60" t="s">
        <v>79</v>
      </c>
      <c r="C24" s="61" t="e">
        <f>SUM(C25:C34)</f>
        <v>#DIV/0!</v>
      </c>
      <c r="D24" s="61" t="e">
        <f t="shared" ref="D24" si="3">SUM(D25:D34)</f>
        <v>#DIV/0!</v>
      </c>
      <c r="E24" s="61" t="e">
        <f t="shared" ref="E24" si="4">SUM(E25:E34)</f>
        <v>#DIV/0!</v>
      </c>
      <c r="F24" s="61" t="e">
        <f t="shared" ref="F24" si="5">SUM(F25:F34)</f>
        <v>#DIV/0!</v>
      </c>
      <c r="G24" s="61" t="e">
        <f t="shared" ref="G24" si="6">SUM(G25:G34)</f>
        <v>#DIV/0!</v>
      </c>
      <c r="H24" s="61" t="e">
        <f t="shared" ref="H24" si="7">SUM(H25:H34)</f>
        <v>#DIV/0!</v>
      </c>
      <c r="I24" s="61" t="e">
        <f t="shared" ref="I24" si="8">SUM(I25:I34)</f>
        <v>#DIV/0!</v>
      </c>
      <c r="J24" s="61" t="e">
        <f t="shared" ref="J24" si="9">SUM(J25:J34)</f>
        <v>#DIV/0!</v>
      </c>
      <c r="K24" s="61" t="e">
        <f t="shared" ref="K24" si="10">SUM(K25:K34)</f>
        <v>#DIV/0!</v>
      </c>
      <c r="L24" s="61" t="e">
        <f t="shared" ref="L24" si="11">SUM(L25:L34)</f>
        <v>#DIV/0!</v>
      </c>
      <c r="M24" s="213" t="e">
        <f>SUM(C24:L24)</f>
        <v>#DIV/0!</v>
      </c>
    </row>
    <row r="25" spans="2:13">
      <c r="B25" s="58" t="str">
        <f>'اجمالي التكاليف خلال الفترة'!C6</f>
        <v>تكلفة ثابتة 1</v>
      </c>
      <c r="C25" s="59" t="e">
        <f>'اجمالي التكاليف خلال الفترة'!$B$6*C6</f>
        <v>#DIV/0!</v>
      </c>
      <c r="D25" s="59" t="e">
        <f>'اجمالي التكاليف خلال الفترة'!$B$6*D6</f>
        <v>#DIV/0!</v>
      </c>
      <c r="E25" s="59" t="e">
        <f>'اجمالي التكاليف خلال الفترة'!$B$6*E6</f>
        <v>#DIV/0!</v>
      </c>
      <c r="F25" s="59" t="e">
        <f>'اجمالي التكاليف خلال الفترة'!$B$6*F6</f>
        <v>#DIV/0!</v>
      </c>
      <c r="G25" s="59" t="e">
        <f>'اجمالي التكاليف خلال الفترة'!$B$6*G6</f>
        <v>#DIV/0!</v>
      </c>
      <c r="H25" s="59" t="e">
        <f>'اجمالي التكاليف خلال الفترة'!$B$6*H6</f>
        <v>#DIV/0!</v>
      </c>
      <c r="I25" s="59" t="e">
        <f>'اجمالي التكاليف خلال الفترة'!$B$6*I6</f>
        <v>#DIV/0!</v>
      </c>
      <c r="J25" s="59" t="e">
        <f>'اجمالي التكاليف خلال الفترة'!$B$6*J6</f>
        <v>#DIV/0!</v>
      </c>
      <c r="K25" s="59" t="e">
        <f>'اجمالي التكاليف خلال الفترة'!$B$6*K6</f>
        <v>#DIV/0!</v>
      </c>
      <c r="L25" s="59" t="e">
        <f>'اجمالي التكاليف خلال الفترة'!$B$6*L6</f>
        <v>#DIV/0!</v>
      </c>
      <c r="M25" s="214" t="e">
        <f>SUM(C25:L25)</f>
        <v>#DIV/0!</v>
      </c>
    </row>
    <row r="26" spans="2:13">
      <c r="B26" s="57" t="str">
        <f>'اجمالي التكاليف خلال الفترة'!C7</f>
        <v>تكلفة ثابتة 2</v>
      </c>
      <c r="C26" s="55" t="e">
        <f>'اجمالي التكاليف خلال الفترة'!$B$7*C6</f>
        <v>#DIV/0!</v>
      </c>
      <c r="D26" s="55" t="e">
        <f>'اجمالي التكاليف خلال الفترة'!$B$7*D6</f>
        <v>#DIV/0!</v>
      </c>
      <c r="E26" s="55" t="e">
        <f>'اجمالي التكاليف خلال الفترة'!$B$7*E6</f>
        <v>#DIV/0!</v>
      </c>
      <c r="F26" s="55" t="e">
        <f>'اجمالي التكاليف خلال الفترة'!$B$7*F6</f>
        <v>#DIV/0!</v>
      </c>
      <c r="G26" s="55" t="e">
        <f>'اجمالي التكاليف خلال الفترة'!$B$7*G6</f>
        <v>#DIV/0!</v>
      </c>
      <c r="H26" s="55" t="e">
        <f>'اجمالي التكاليف خلال الفترة'!$B$7*H6</f>
        <v>#DIV/0!</v>
      </c>
      <c r="I26" s="55" t="e">
        <f>'اجمالي التكاليف خلال الفترة'!$B$7*I6</f>
        <v>#DIV/0!</v>
      </c>
      <c r="J26" s="55" t="e">
        <f>'اجمالي التكاليف خلال الفترة'!$B$7*J6</f>
        <v>#DIV/0!</v>
      </c>
      <c r="K26" s="55" t="e">
        <f>'اجمالي التكاليف خلال الفترة'!$B$7*K6</f>
        <v>#DIV/0!</v>
      </c>
      <c r="L26" s="55" t="e">
        <f>'اجمالي التكاليف خلال الفترة'!$B$7*L6</f>
        <v>#DIV/0!</v>
      </c>
      <c r="M26" s="215" t="e">
        <f>SUM(C26:L26)</f>
        <v>#DIV/0!</v>
      </c>
    </row>
    <row r="27" spans="2:13">
      <c r="B27" s="57" t="str">
        <f>'اجمالي التكاليف خلال الفترة'!C8</f>
        <v>تكلفة ثابتة 3</v>
      </c>
      <c r="C27" s="55" t="e">
        <f>'اجمالي التكاليف خلال الفترة'!$B$8*C6</f>
        <v>#DIV/0!</v>
      </c>
      <c r="D27" s="55" t="e">
        <f>'اجمالي التكاليف خلال الفترة'!$B$8*D6</f>
        <v>#DIV/0!</v>
      </c>
      <c r="E27" s="55" t="e">
        <f>'اجمالي التكاليف خلال الفترة'!$B$8*E6</f>
        <v>#DIV/0!</v>
      </c>
      <c r="F27" s="55" t="e">
        <f>'اجمالي التكاليف خلال الفترة'!$B$8*F6</f>
        <v>#DIV/0!</v>
      </c>
      <c r="G27" s="55" t="e">
        <f>'اجمالي التكاليف خلال الفترة'!$B$8*G6</f>
        <v>#DIV/0!</v>
      </c>
      <c r="H27" s="55" t="e">
        <f>'اجمالي التكاليف خلال الفترة'!$B$8*H6</f>
        <v>#DIV/0!</v>
      </c>
      <c r="I27" s="55" t="e">
        <f>'اجمالي التكاليف خلال الفترة'!$B$8*I6</f>
        <v>#DIV/0!</v>
      </c>
      <c r="J27" s="55" t="e">
        <f>'اجمالي التكاليف خلال الفترة'!$B$8*J6</f>
        <v>#DIV/0!</v>
      </c>
      <c r="K27" s="55" t="e">
        <f>'اجمالي التكاليف خلال الفترة'!$B$8*K6</f>
        <v>#DIV/0!</v>
      </c>
      <c r="L27" s="55" t="e">
        <f>'اجمالي التكاليف خلال الفترة'!$B$8*L6</f>
        <v>#DIV/0!</v>
      </c>
      <c r="M27" s="215" t="e">
        <f t="shared" ref="M27:M34" si="12">SUM(C27:L27)</f>
        <v>#DIV/0!</v>
      </c>
    </row>
    <row r="28" spans="2:13">
      <c r="B28" s="57" t="str">
        <f>'اجمالي التكاليف خلال الفترة'!C9</f>
        <v>تكلفة ثابتة 4</v>
      </c>
      <c r="C28" s="55" t="e">
        <f>'اجمالي التكاليف خلال الفترة'!$B$9*C6</f>
        <v>#DIV/0!</v>
      </c>
      <c r="D28" s="55" t="e">
        <f>'اجمالي التكاليف خلال الفترة'!$B$9*D6</f>
        <v>#DIV/0!</v>
      </c>
      <c r="E28" s="55" t="e">
        <f>'اجمالي التكاليف خلال الفترة'!$B$9*E6</f>
        <v>#DIV/0!</v>
      </c>
      <c r="F28" s="55" t="e">
        <f>'اجمالي التكاليف خلال الفترة'!$B$9*F6</f>
        <v>#DIV/0!</v>
      </c>
      <c r="G28" s="55" t="e">
        <f>'اجمالي التكاليف خلال الفترة'!$B$9*G6</f>
        <v>#DIV/0!</v>
      </c>
      <c r="H28" s="55" t="e">
        <f>'اجمالي التكاليف خلال الفترة'!$B$9*H6</f>
        <v>#DIV/0!</v>
      </c>
      <c r="I28" s="55" t="e">
        <f>'اجمالي التكاليف خلال الفترة'!$B$9*I6</f>
        <v>#DIV/0!</v>
      </c>
      <c r="J28" s="55" t="e">
        <f>'اجمالي التكاليف خلال الفترة'!$B$9*J6</f>
        <v>#DIV/0!</v>
      </c>
      <c r="K28" s="55" t="e">
        <f>'اجمالي التكاليف خلال الفترة'!$B$9*K6</f>
        <v>#DIV/0!</v>
      </c>
      <c r="L28" s="55" t="e">
        <f>'اجمالي التكاليف خلال الفترة'!$B$9*L6</f>
        <v>#DIV/0!</v>
      </c>
      <c r="M28" s="215" t="e">
        <f t="shared" si="12"/>
        <v>#DIV/0!</v>
      </c>
    </row>
    <row r="29" spans="2:13">
      <c r="B29" s="57" t="str">
        <f>'اجمالي التكاليف خلال الفترة'!C10</f>
        <v>تكلفة ثابتة 5</v>
      </c>
      <c r="C29" s="55" t="e">
        <f>'اجمالي التكاليف خلال الفترة'!$B$10*C6</f>
        <v>#DIV/0!</v>
      </c>
      <c r="D29" s="55" t="e">
        <f>'اجمالي التكاليف خلال الفترة'!$B$10*D6</f>
        <v>#DIV/0!</v>
      </c>
      <c r="E29" s="55" t="e">
        <f>'اجمالي التكاليف خلال الفترة'!$B$10*E6</f>
        <v>#DIV/0!</v>
      </c>
      <c r="F29" s="55" t="e">
        <f>'اجمالي التكاليف خلال الفترة'!$B$10*F6</f>
        <v>#DIV/0!</v>
      </c>
      <c r="G29" s="55" t="e">
        <f>'اجمالي التكاليف خلال الفترة'!$B$10*G6</f>
        <v>#DIV/0!</v>
      </c>
      <c r="H29" s="55" t="e">
        <f>'اجمالي التكاليف خلال الفترة'!$B$10*H6</f>
        <v>#DIV/0!</v>
      </c>
      <c r="I29" s="55" t="e">
        <f>'اجمالي التكاليف خلال الفترة'!$B$10*I6</f>
        <v>#DIV/0!</v>
      </c>
      <c r="J29" s="55" t="e">
        <f>'اجمالي التكاليف خلال الفترة'!$B$10*J6</f>
        <v>#DIV/0!</v>
      </c>
      <c r="K29" s="55" t="e">
        <f>'اجمالي التكاليف خلال الفترة'!$B$10*K6</f>
        <v>#DIV/0!</v>
      </c>
      <c r="L29" s="55" t="e">
        <f>'اجمالي التكاليف خلال الفترة'!$B$10*L6</f>
        <v>#DIV/0!</v>
      </c>
      <c r="M29" s="215" t="e">
        <f t="shared" si="12"/>
        <v>#DIV/0!</v>
      </c>
    </row>
    <row r="30" spans="2:13">
      <c r="B30" s="57" t="str">
        <f>'اجمالي التكاليف خلال الفترة'!C11</f>
        <v>تكلفة ثابتة 6</v>
      </c>
      <c r="C30" s="55" t="e">
        <f>'اجمالي التكاليف خلال الفترة'!$B$11*C6</f>
        <v>#DIV/0!</v>
      </c>
      <c r="D30" s="55" t="e">
        <f>'اجمالي التكاليف خلال الفترة'!$B$11*D6</f>
        <v>#DIV/0!</v>
      </c>
      <c r="E30" s="55" t="e">
        <f>'اجمالي التكاليف خلال الفترة'!$B$11*E6</f>
        <v>#DIV/0!</v>
      </c>
      <c r="F30" s="55" t="e">
        <f>'اجمالي التكاليف خلال الفترة'!$B$11*F6</f>
        <v>#DIV/0!</v>
      </c>
      <c r="G30" s="55" t="e">
        <f>'اجمالي التكاليف خلال الفترة'!$B$11*G6</f>
        <v>#DIV/0!</v>
      </c>
      <c r="H30" s="55" t="e">
        <f>'اجمالي التكاليف خلال الفترة'!$B$11*H6</f>
        <v>#DIV/0!</v>
      </c>
      <c r="I30" s="55" t="e">
        <f>'اجمالي التكاليف خلال الفترة'!$B$11*I6</f>
        <v>#DIV/0!</v>
      </c>
      <c r="J30" s="55" t="e">
        <f>'اجمالي التكاليف خلال الفترة'!$B$11*J6</f>
        <v>#DIV/0!</v>
      </c>
      <c r="K30" s="55" t="e">
        <f>'اجمالي التكاليف خلال الفترة'!$B$11*K6</f>
        <v>#DIV/0!</v>
      </c>
      <c r="L30" s="55" t="e">
        <f>'اجمالي التكاليف خلال الفترة'!$B$11*L6</f>
        <v>#DIV/0!</v>
      </c>
      <c r="M30" s="215" t="e">
        <f t="shared" si="12"/>
        <v>#DIV/0!</v>
      </c>
    </row>
    <row r="31" spans="2:13">
      <c r="B31" s="57" t="str">
        <f>'اجمالي التكاليف خلال الفترة'!C12</f>
        <v>تكلفة ثابتة 7</v>
      </c>
      <c r="C31" s="55" t="e">
        <f>'اجمالي التكاليف خلال الفترة'!$B$12*C6</f>
        <v>#DIV/0!</v>
      </c>
      <c r="D31" s="55" t="e">
        <f>'اجمالي التكاليف خلال الفترة'!$B$12*D6</f>
        <v>#DIV/0!</v>
      </c>
      <c r="E31" s="55" t="e">
        <f>'اجمالي التكاليف خلال الفترة'!$B$12*E6</f>
        <v>#DIV/0!</v>
      </c>
      <c r="F31" s="55" t="e">
        <f>'اجمالي التكاليف خلال الفترة'!$B$12*F6</f>
        <v>#DIV/0!</v>
      </c>
      <c r="G31" s="55" t="e">
        <f>'اجمالي التكاليف خلال الفترة'!$B$12*G6</f>
        <v>#DIV/0!</v>
      </c>
      <c r="H31" s="55" t="e">
        <f>'اجمالي التكاليف خلال الفترة'!$B$12*H6</f>
        <v>#DIV/0!</v>
      </c>
      <c r="I31" s="55" t="e">
        <f>'اجمالي التكاليف خلال الفترة'!$B$12*I6</f>
        <v>#DIV/0!</v>
      </c>
      <c r="J31" s="55" t="e">
        <f>'اجمالي التكاليف خلال الفترة'!$B$12*J6</f>
        <v>#DIV/0!</v>
      </c>
      <c r="K31" s="55" t="e">
        <f>'اجمالي التكاليف خلال الفترة'!$B$12*K6</f>
        <v>#DIV/0!</v>
      </c>
      <c r="L31" s="55" t="e">
        <f>'اجمالي التكاليف خلال الفترة'!$B$12*L6</f>
        <v>#DIV/0!</v>
      </c>
      <c r="M31" s="215" t="e">
        <f t="shared" si="12"/>
        <v>#DIV/0!</v>
      </c>
    </row>
    <row r="32" spans="2:13">
      <c r="B32" s="57" t="str">
        <f>'اجمالي التكاليف خلال الفترة'!C13</f>
        <v>تكلفة ثابتة 8</v>
      </c>
      <c r="C32" s="55" t="e">
        <f>'اجمالي التكاليف خلال الفترة'!$B$13*C6</f>
        <v>#DIV/0!</v>
      </c>
      <c r="D32" s="55" t="e">
        <f>'اجمالي التكاليف خلال الفترة'!$B$13*D6</f>
        <v>#DIV/0!</v>
      </c>
      <c r="E32" s="55" t="e">
        <f>'اجمالي التكاليف خلال الفترة'!$B$13*E6</f>
        <v>#DIV/0!</v>
      </c>
      <c r="F32" s="55" t="e">
        <f>'اجمالي التكاليف خلال الفترة'!$B$13*F6</f>
        <v>#DIV/0!</v>
      </c>
      <c r="G32" s="55" t="e">
        <f>'اجمالي التكاليف خلال الفترة'!$B$13*G6</f>
        <v>#DIV/0!</v>
      </c>
      <c r="H32" s="55" t="e">
        <f>'اجمالي التكاليف خلال الفترة'!$B$13*H6</f>
        <v>#DIV/0!</v>
      </c>
      <c r="I32" s="55" t="e">
        <f>'اجمالي التكاليف خلال الفترة'!$B$13*I6</f>
        <v>#DIV/0!</v>
      </c>
      <c r="J32" s="55" t="e">
        <f>'اجمالي التكاليف خلال الفترة'!$B$13*J6</f>
        <v>#DIV/0!</v>
      </c>
      <c r="K32" s="55" t="e">
        <f>'اجمالي التكاليف خلال الفترة'!$B$13*K6</f>
        <v>#DIV/0!</v>
      </c>
      <c r="L32" s="55" t="e">
        <f>'اجمالي التكاليف خلال الفترة'!$B$13*L6</f>
        <v>#DIV/0!</v>
      </c>
      <c r="M32" s="215" t="e">
        <f t="shared" si="12"/>
        <v>#DIV/0!</v>
      </c>
    </row>
    <row r="33" spans="2:13">
      <c r="B33" s="57" t="str">
        <f>'اجمالي التكاليف خلال الفترة'!C14</f>
        <v>تكلفة ثابتة 9</v>
      </c>
      <c r="C33" s="55" t="e">
        <f>'اجمالي التكاليف خلال الفترة'!$B$14*C6</f>
        <v>#DIV/0!</v>
      </c>
      <c r="D33" s="55" t="e">
        <f>'اجمالي التكاليف خلال الفترة'!$B$14*D6</f>
        <v>#DIV/0!</v>
      </c>
      <c r="E33" s="55" t="e">
        <f>'اجمالي التكاليف خلال الفترة'!$B$14*E6</f>
        <v>#DIV/0!</v>
      </c>
      <c r="F33" s="55" t="e">
        <f>'اجمالي التكاليف خلال الفترة'!$B$14*F6</f>
        <v>#DIV/0!</v>
      </c>
      <c r="G33" s="55" t="e">
        <f>'اجمالي التكاليف خلال الفترة'!$B$14*G6</f>
        <v>#DIV/0!</v>
      </c>
      <c r="H33" s="55" t="e">
        <f>'اجمالي التكاليف خلال الفترة'!$B$14*H6</f>
        <v>#DIV/0!</v>
      </c>
      <c r="I33" s="55" t="e">
        <f>'اجمالي التكاليف خلال الفترة'!$B$14*I6</f>
        <v>#DIV/0!</v>
      </c>
      <c r="J33" s="55" t="e">
        <f>'اجمالي التكاليف خلال الفترة'!$B$14*J6</f>
        <v>#DIV/0!</v>
      </c>
      <c r="K33" s="55" t="e">
        <f>'اجمالي التكاليف خلال الفترة'!$B$14*K6</f>
        <v>#DIV/0!</v>
      </c>
      <c r="L33" s="55" t="e">
        <f>'اجمالي التكاليف خلال الفترة'!$B$14*L6</f>
        <v>#DIV/0!</v>
      </c>
      <c r="M33" s="215" t="e">
        <f t="shared" si="12"/>
        <v>#DIV/0!</v>
      </c>
    </row>
    <row r="34" spans="2:13">
      <c r="B34" s="57" t="str">
        <f>'اجمالي التكاليف خلال الفترة'!C15</f>
        <v>تكلفة ثابتة 10</v>
      </c>
      <c r="C34" s="55" t="e">
        <f>'اجمالي التكاليف خلال الفترة'!$B$15*C6</f>
        <v>#DIV/0!</v>
      </c>
      <c r="D34" s="55" t="e">
        <f>'اجمالي التكاليف خلال الفترة'!$B$15*D6</f>
        <v>#DIV/0!</v>
      </c>
      <c r="E34" s="55" t="e">
        <f>'اجمالي التكاليف خلال الفترة'!$B$15*E6</f>
        <v>#DIV/0!</v>
      </c>
      <c r="F34" s="55" t="e">
        <f>'اجمالي التكاليف خلال الفترة'!$B$15*F6</f>
        <v>#DIV/0!</v>
      </c>
      <c r="G34" s="55" t="e">
        <f>'اجمالي التكاليف خلال الفترة'!$B$15*G6</f>
        <v>#DIV/0!</v>
      </c>
      <c r="H34" s="55" t="e">
        <f>'اجمالي التكاليف خلال الفترة'!$B$15*H6</f>
        <v>#DIV/0!</v>
      </c>
      <c r="I34" s="55" t="e">
        <f>'اجمالي التكاليف خلال الفترة'!$B$15*I6</f>
        <v>#DIV/0!</v>
      </c>
      <c r="J34" s="55" t="e">
        <f>'اجمالي التكاليف خلال الفترة'!$B$15*J6</f>
        <v>#DIV/0!</v>
      </c>
      <c r="K34" s="55" t="e">
        <f>'اجمالي التكاليف خلال الفترة'!$B$15*K6</f>
        <v>#DIV/0!</v>
      </c>
      <c r="L34" s="55" t="e">
        <f>'اجمالي التكاليف خلال الفترة'!$B$15*L6</f>
        <v>#DIV/0!</v>
      </c>
      <c r="M34" s="215" t="e">
        <f t="shared" si="12"/>
        <v>#DIV/0!</v>
      </c>
    </row>
  </sheetData>
  <mergeCells count="2">
    <mergeCell ref="B1:M2"/>
    <mergeCell ref="M3:M6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AL60"/>
  <sheetViews>
    <sheetView workbookViewId="0">
      <pane xSplit="7" ySplit="15" topLeftCell="H16" activePane="bottomRight" state="frozen"/>
      <selection activeCell="D16" sqref="D16"/>
      <selection pane="topRight" activeCell="D16" sqref="D16"/>
      <selection pane="bottomLeft" activeCell="D16" sqref="D16"/>
      <selection pane="bottomRight" activeCell="F8" sqref="F8:F9"/>
    </sheetView>
  </sheetViews>
  <sheetFormatPr defaultRowHeight="15"/>
  <cols>
    <col min="1" max="1" width="2.85546875" style="155" customWidth="1"/>
    <col min="2" max="2" width="22" style="155" bestFit="1" customWidth="1"/>
    <col min="3" max="3" width="17.85546875" style="155" bestFit="1" customWidth="1"/>
    <col min="4" max="4" width="12.42578125" style="155" customWidth="1"/>
    <col min="5" max="5" width="11" style="155" bestFit="1" customWidth="1"/>
    <col min="6" max="6" width="37.42578125" style="155" bestFit="1" customWidth="1"/>
    <col min="7" max="7" width="36.85546875" style="155" bestFit="1" customWidth="1"/>
    <col min="8" max="38" width="9.140625" style="204"/>
    <col min="39" max="16384" width="9.140625" style="155"/>
  </cols>
  <sheetData>
    <row r="1" spans="1:7" ht="8.25" customHeight="1"/>
    <row r="2" spans="1:7">
      <c r="B2" s="281" t="e">
        <f>F2/الرئيسية!H10</f>
        <v>#DIV/0!</v>
      </c>
      <c r="C2" s="281"/>
      <c r="D2" s="282" t="s">
        <v>101</v>
      </c>
      <c r="E2" s="282"/>
      <c r="F2" s="283">
        <f>الرئيسية!I10</f>
        <v>0</v>
      </c>
      <c r="G2" s="282" t="s">
        <v>12</v>
      </c>
    </row>
    <row r="3" spans="1:7">
      <c r="B3" s="281"/>
      <c r="C3" s="281"/>
      <c r="D3" s="282"/>
      <c r="E3" s="282"/>
      <c r="F3" s="283"/>
      <c r="G3" s="282"/>
    </row>
    <row r="4" spans="1:7" ht="5.25" customHeight="1" thickBot="1">
      <c r="B4" s="156"/>
      <c r="C4" s="156"/>
      <c r="D4" s="156"/>
      <c r="E4" s="156"/>
      <c r="F4" s="156"/>
      <c r="G4" s="156"/>
    </row>
    <row r="5" spans="1:7">
      <c r="B5" s="281" t="e">
        <f>F5/B2</f>
        <v>#DIV/0!</v>
      </c>
      <c r="C5" s="281"/>
      <c r="D5" s="282" t="s">
        <v>100</v>
      </c>
      <c r="E5" s="282"/>
      <c r="F5" s="292">
        <v>1</v>
      </c>
      <c r="G5" s="282" t="s">
        <v>99</v>
      </c>
    </row>
    <row r="6" spans="1:7" ht="15.75" thickBot="1">
      <c r="A6" s="155" t="s">
        <v>118</v>
      </c>
      <c r="B6" s="281"/>
      <c r="C6" s="281"/>
      <c r="D6" s="282"/>
      <c r="E6" s="282"/>
      <c r="F6" s="293"/>
      <c r="G6" s="282"/>
    </row>
    <row r="7" spans="1:7" ht="4.5" customHeight="1" thickBot="1">
      <c r="B7" s="157"/>
      <c r="C7" s="157"/>
      <c r="D7" s="157"/>
      <c r="E7" s="157"/>
      <c r="F7" s="157"/>
      <c r="G7" s="157"/>
    </row>
    <row r="8" spans="1:7">
      <c r="B8" s="284" t="e">
        <f>B57</f>
        <v>#DIV/0!</v>
      </c>
      <c r="C8" s="283"/>
      <c r="D8" s="282" t="s">
        <v>103</v>
      </c>
      <c r="E8" s="282"/>
      <c r="F8" s="285"/>
      <c r="G8" s="282" t="s">
        <v>102</v>
      </c>
    </row>
    <row r="9" spans="1:7" ht="15.75" thickBot="1">
      <c r="B9" s="283"/>
      <c r="C9" s="283"/>
      <c r="D9" s="282"/>
      <c r="E9" s="282"/>
      <c r="F9" s="286"/>
      <c r="G9" s="282"/>
    </row>
    <row r="10" spans="1:7" ht="6" customHeight="1" thickBot="1">
      <c r="B10" s="158"/>
      <c r="C10" s="158"/>
      <c r="D10" s="159"/>
      <c r="E10" s="159"/>
      <c r="F10" s="158"/>
      <c r="G10" s="158"/>
    </row>
    <row r="11" spans="1:7" ht="24.75" thickTop="1" thickBot="1">
      <c r="B11" s="275" t="e">
        <f>B21+B25+B38+B50</f>
        <v>#DIV/0!</v>
      </c>
      <c r="C11" s="276"/>
      <c r="D11" s="160" t="s">
        <v>90</v>
      </c>
      <c r="E11" s="161">
        <f>F5</f>
        <v>1</v>
      </c>
      <c r="F11" s="142">
        <f>الرئيسية!J10</f>
        <v>0</v>
      </c>
      <c r="G11" s="206" t="s">
        <v>119</v>
      </c>
    </row>
    <row r="12" spans="1:7" ht="6" customHeight="1" thickTop="1" thickBot="1">
      <c r="B12" s="162"/>
      <c r="C12" s="162"/>
      <c r="D12" s="163"/>
      <c r="E12" s="163"/>
      <c r="F12" s="141"/>
      <c r="G12" s="158"/>
    </row>
    <row r="13" spans="1:7" ht="18">
      <c r="B13" s="299" t="s">
        <v>81</v>
      </c>
      <c r="C13" s="300" t="s">
        <v>82</v>
      </c>
      <c r="D13" s="298" t="s">
        <v>83</v>
      </c>
      <c r="E13" s="299"/>
      <c r="F13" s="296" t="s">
        <v>18</v>
      </c>
      <c r="G13" s="294" t="s">
        <v>84</v>
      </c>
    </row>
    <row r="14" spans="1:7" ht="18.75" thickBot="1">
      <c r="B14" s="302"/>
      <c r="C14" s="301"/>
      <c r="D14" s="164" t="s">
        <v>85</v>
      </c>
      <c r="E14" s="165" t="s">
        <v>86</v>
      </c>
      <c r="F14" s="297"/>
      <c r="G14" s="295"/>
    </row>
    <row r="15" spans="1:7" ht="12" customHeight="1" thickBot="1">
      <c r="B15" s="166"/>
      <c r="C15" s="166"/>
      <c r="D15" s="167"/>
      <c r="E15" s="166"/>
    </row>
    <row r="16" spans="1:7">
      <c r="B16" s="168">
        <f>C16*D16</f>
        <v>0</v>
      </c>
      <c r="C16" s="120">
        <f>'اجمالي التكاليف خلال الفترة'!H11</f>
        <v>0</v>
      </c>
      <c r="D16" s="152">
        <v>0.75</v>
      </c>
      <c r="E16" s="74" t="s">
        <v>87</v>
      </c>
      <c r="F16" s="74" t="str">
        <f>'اجمالي التكاليف خلال الفترة'!I11</f>
        <v>خام 1</v>
      </c>
      <c r="G16" s="287" t="s">
        <v>88</v>
      </c>
    </row>
    <row r="17" spans="2:7">
      <c r="B17" s="168">
        <f>C17*D17</f>
        <v>0</v>
      </c>
      <c r="C17" s="121">
        <f>'اجمالي التكاليف خلال الفترة'!H12</f>
        <v>0</v>
      </c>
      <c r="D17" s="153">
        <v>0.6</v>
      </c>
      <c r="E17" s="90" t="s">
        <v>89</v>
      </c>
      <c r="F17" s="65" t="str">
        <f>'اجمالي التكاليف خلال الفترة'!I12</f>
        <v>خام 2</v>
      </c>
      <c r="G17" s="288"/>
    </row>
    <row r="18" spans="2:7">
      <c r="B18" s="168">
        <f t="shared" ref="B18:B20" si="0">C18*D18</f>
        <v>0</v>
      </c>
      <c r="C18" s="121">
        <f>'اجمالي التكاليف خلال الفترة'!H13</f>
        <v>0</v>
      </c>
      <c r="D18" s="153">
        <v>0.7</v>
      </c>
      <c r="E18" s="90" t="s">
        <v>87</v>
      </c>
      <c r="F18" s="65" t="str">
        <f>'اجمالي التكاليف خلال الفترة'!I13</f>
        <v>خام 3</v>
      </c>
      <c r="G18" s="288"/>
    </row>
    <row r="19" spans="2:7">
      <c r="B19" s="168">
        <f t="shared" si="0"/>
        <v>0</v>
      </c>
      <c r="C19" s="121">
        <f>'اجمالي التكاليف خلال الفترة'!H14</f>
        <v>0</v>
      </c>
      <c r="D19" s="153">
        <v>0.9</v>
      </c>
      <c r="E19" s="90" t="s">
        <v>89</v>
      </c>
      <c r="F19" s="65" t="str">
        <f>'اجمالي التكاليف خلال الفترة'!I14</f>
        <v>خام 4</v>
      </c>
      <c r="G19" s="288"/>
    </row>
    <row r="20" spans="2:7" ht="15.75" thickBot="1">
      <c r="B20" s="168">
        <f t="shared" si="0"/>
        <v>0</v>
      </c>
      <c r="C20" s="121">
        <f>'اجمالي التكاليف خلال الفترة'!H15</f>
        <v>0</v>
      </c>
      <c r="D20" s="154">
        <v>1</v>
      </c>
      <c r="E20" s="93" t="s">
        <v>87</v>
      </c>
      <c r="F20" s="65" t="str">
        <f>'اجمالي التكاليف خلال الفترة'!I15</f>
        <v>خام 5</v>
      </c>
      <c r="G20" s="288"/>
    </row>
    <row r="21" spans="2:7" ht="21" thickBot="1">
      <c r="B21" s="169">
        <f>SUM(B16:B20)*D21</f>
        <v>0</v>
      </c>
      <c r="C21" s="170" t="s">
        <v>90</v>
      </c>
      <c r="D21" s="171">
        <f>F5</f>
        <v>1</v>
      </c>
      <c r="E21" s="172" t="s">
        <v>93</v>
      </c>
      <c r="F21" s="289" t="s">
        <v>92</v>
      </c>
      <c r="G21" s="289"/>
    </row>
    <row r="22" spans="2:7" ht="15.75" thickBot="1"/>
    <row r="23" spans="2:7" ht="20.25">
      <c r="B23" s="173" t="e">
        <f>D23*C23</f>
        <v>#DIV/0!</v>
      </c>
      <c r="C23" s="126" t="e">
        <f>'توزيع التكاليف'!C10/الرئيسية!$H$10</f>
        <v>#DIV/0!</v>
      </c>
      <c r="D23" s="91" t="e">
        <f>$B$5</f>
        <v>#DIV/0!</v>
      </c>
      <c r="E23" s="84" t="s">
        <v>4</v>
      </c>
      <c r="F23" s="85" t="s">
        <v>94</v>
      </c>
      <c r="G23" s="86" t="s">
        <v>46</v>
      </c>
    </row>
    <row r="24" spans="2:7" ht="21" thickBot="1">
      <c r="B24" s="174" t="e">
        <f>D24*C24</f>
        <v>#DIV/0!</v>
      </c>
      <c r="C24" s="127" t="e">
        <f>'توزيع التكاليف'!C9/الرئيسية!$H$10</f>
        <v>#DIV/0!</v>
      </c>
      <c r="D24" s="92" t="e">
        <f>$B$5</f>
        <v>#DIV/0!</v>
      </c>
      <c r="E24" s="87" t="s">
        <v>4</v>
      </c>
      <c r="F24" s="88" t="s">
        <v>95</v>
      </c>
      <c r="G24" s="89" t="s">
        <v>96</v>
      </c>
    </row>
    <row r="25" spans="2:7" ht="21" thickBot="1">
      <c r="B25" s="175" t="e">
        <f>SUM(B23:B24)</f>
        <v>#DIV/0!</v>
      </c>
      <c r="C25" s="176" t="s">
        <v>90</v>
      </c>
      <c r="D25" s="177">
        <f>F5</f>
        <v>1</v>
      </c>
      <c r="E25" s="178" t="s">
        <v>98</v>
      </c>
      <c r="F25" s="290" t="s">
        <v>97</v>
      </c>
      <c r="G25" s="291"/>
    </row>
    <row r="26" spans="2:7" ht="15.75" thickBot="1"/>
    <row r="27" spans="2:7" ht="15" customHeight="1">
      <c r="B27" s="179" t="e">
        <f>D27*C27</f>
        <v>#DIV/0!</v>
      </c>
      <c r="C27" s="129" t="e">
        <f>'توزيع التكاليف'!C13/الرئيسية!$H$10</f>
        <v>#DIV/0!</v>
      </c>
      <c r="D27" s="97" t="e">
        <f>$B$5</f>
        <v>#DIV/0!</v>
      </c>
      <c r="E27" s="98" t="s">
        <v>4</v>
      </c>
      <c r="F27" s="98" t="str">
        <f>'اجمالي التكاليف خلال الفترة'!F6</f>
        <v>تكلفة متغيرة 1</v>
      </c>
      <c r="G27" s="277" t="s">
        <v>105</v>
      </c>
    </row>
    <row r="28" spans="2:7" ht="15" customHeight="1">
      <c r="B28" s="180" t="e">
        <f>D28*C28</f>
        <v>#DIV/0!</v>
      </c>
      <c r="C28" s="131" t="e">
        <f>'توزيع التكاليف'!C14/الرئيسية!$H$10</f>
        <v>#DIV/0!</v>
      </c>
      <c r="D28" s="101" t="e">
        <f>$B$5</f>
        <v>#DIV/0!</v>
      </c>
      <c r="E28" s="102" t="s">
        <v>4</v>
      </c>
      <c r="F28" s="102" t="str">
        <f>'اجمالي التكاليف خلال الفترة'!F7</f>
        <v>تكلفة متغيرة 2</v>
      </c>
      <c r="G28" s="278"/>
    </row>
    <row r="29" spans="2:7" ht="15" customHeight="1">
      <c r="B29" s="180" t="e">
        <f t="shared" ref="B29:B36" si="1">D29*C29</f>
        <v>#DIV/0!</v>
      </c>
      <c r="C29" s="131" t="e">
        <f>'توزيع التكاليف'!C15/الرئيسية!$H$10</f>
        <v>#DIV/0!</v>
      </c>
      <c r="D29" s="101" t="e">
        <f t="shared" ref="D29:D37" si="2">$B$5</f>
        <v>#DIV/0!</v>
      </c>
      <c r="E29" s="102" t="s">
        <v>4</v>
      </c>
      <c r="F29" s="102" t="str">
        <f>'اجمالي التكاليف خلال الفترة'!F8</f>
        <v>تكلفة متغيرة 3</v>
      </c>
      <c r="G29" s="278"/>
    </row>
    <row r="30" spans="2:7" ht="15" customHeight="1">
      <c r="B30" s="180" t="e">
        <f t="shared" si="1"/>
        <v>#DIV/0!</v>
      </c>
      <c r="C30" s="131" t="e">
        <f>'توزيع التكاليف'!C16/الرئيسية!$H$10</f>
        <v>#DIV/0!</v>
      </c>
      <c r="D30" s="101" t="e">
        <f t="shared" si="2"/>
        <v>#DIV/0!</v>
      </c>
      <c r="E30" s="102" t="s">
        <v>4</v>
      </c>
      <c r="F30" s="102" t="str">
        <f>'اجمالي التكاليف خلال الفترة'!F9</f>
        <v>تكلفة متغيرة 4</v>
      </c>
      <c r="G30" s="278"/>
    </row>
    <row r="31" spans="2:7" ht="15" customHeight="1">
      <c r="B31" s="180" t="e">
        <f t="shared" si="1"/>
        <v>#DIV/0!</v>
      </c>
      <c r="C31" s="131" t="e">
        <f>'توزيع التكاليف'!C17/الرئيسية!$H$10</f>
        <v>#DIV/0!</v>
      </c>
      <c r="D31" s="101" t="e">
        <f t="shared" si="2"/>
        <v>#DIV/0!</v>
      </c>
      <c r="E31" s="102" t="s">
        <v>4</v>
      </c>
      <c r="F31" s="102" t="str">
        <f>'اجمالي التكاليف خلال الفترة'!F10</f>
        <v>تكلفة متغيرة 5</v>
      </c>
      <c r="G31" s="279" t="s">
        <v>106</v>
      </c>
    </row>
    <row r="32" spans="2:7" ht="15" customHeight="1">
      <c r="B32" s="180" t="e">
        <f t="shared" si="1"/>
        <v>#DIV/0!</v>
      </c>
      <c r="C32" s="131" t="e">
        <f>'توزيع التكاليف'!C18/الرئيسية!$H$10</f>
        <v>#DIV/0!</v>
      </c>
      <c r="D32" s="101" t="e">
        <f t="shared" si="2"/>
        <v>#DIV/0!</v>
      </c>
      <c r="E32" s="75" t="s">
        <v>4</v>
      </c>
      <c r="F32" s="102" t="str">
        <f>'اجمالي التكاليف خلال الفترة'!F11</f>
        <v>تكلفة متغيرة 6</v>
      </c>
      <c r="G32" s="279"/>
    </row>
    <row r="33" spans="2:7" ht="15" customHeight="1">
      <c r="B33" s="180" t="e">
        <f t="shared" si="1"/>
        <v>#DIV/0!</v>
      </c>
      <c r="C33" s="131" t="e">
        <f>'توزيع التكاليف'!C19/الرئيسية!$H$10</f>
        <v>#DIV/0!</v>
      </c>
      <c r="D33" s="101" t="e">
        <f t="shared" si="2"/>
        <v>#DIV/0!</v>
      </c>
      <c r="E33" s="75" t="s">
        <v>4</v>
      </c>
      <c r="F33" s="102" t="str">
        <f>'اجمالي التكاليف خلال الفترة'!F12</f>
        <v>تكلفة متغيرة 7</v>
      </c>
      <c r="G33" s="279"/>
    </row>
    <row r="34" spans="2:7" ht="15" customHeight="1">
      <c r="B34" s="180" t="e">
        <f t="shared" si="1"/>
        <v>#DIV/0!</v>
      </c>
      <c r="C34" s="131" t="e">
        <f>'توزيع التكاليف'!C20/الرئيسية!$H$10</f>
        <v>#DIV/0!</v>
      </c>
      <c r="D34" s="101" t="e">
        <f t="shared" si="2"/>
        <v>#DIV/0!</v>
      </c>
      <c r="E34" s="75" t="s">
        <v>4</v>
      </c>
      <c r="F34" s="102" t="str">
        <f>'اجمالي التكاليف خلال الفترة'!F13</f>
        <v>تكلفة متغيرة 8</v>
      </c>
      <c r="G34" s="280" t="s">
        <v>107</v>
      </c>
    </row>
    <row r="35" spans="2:7" ht="15" customHeight="1">
      <c r="B35" s="180" t="e">
        <f t="shared" si="1"/>
        <v>#DIV/0!</v>
      </c>
      <c r="C35" s="131" t="e">
        <f>'توزيع التكاليف'!C21/الرئيسية!$H$10</f>
        <v>#DIV/0!</v>
      </c>
      <c r="D35" s="101" t="e">
        <f t="shared" si="2"/>
        <v>#DIV/0!</v>
      </c>
      <c r="E35" s="96" t="s">
        <v>4</v>
      </c>
      <c r="F35" s="102" t="str">
        <f>'اجمالي التكاليف خلال الفترة'!F14</f>
        <v>تكلفة متغيرة 9</v>
      </c>
      <c r="G35" s="280"/>
    </row>
    <row r="36" spans="2:7" ht="15.75" customHeight="1">
      <c r="B36" s="180" t="e">
        <f t="shared" si="1"/>
        <v>#DIV/0!</v>
      </c>
      <c r="C36" s="131" t="e">
        <f>'توزيع التكاليف'!C22/الرئيسية!$H$10</f>
        <v>#DIV/0!</v>
      </c>
      <c r="D36" s="101" t="e">
        <f t="shared" si="2"/>
        <v>#DIV/0!</v>
      </c>
      <c r="E36" s="96" t="s">
        <v>4</v>
      </c>
      <c r="F36" s="102" t="str">
        <f>'اجمالي التكاليف خلال الفترة'!F15</f>
        <v>تكلفة متغيرة 10</v>
      </c>
      <c r="G36" s="99"/>
    </row>
    <row r="37" spans="2:7" ht="15.75" customHeight="1" thickBot="1">
      <c r="B37" s="180" t="e">
        <f>D37*C37</f>
        <v>#DIV/0!</v>
      </c>
      <c r="C37" s="131" t="e">
        <f>'اهلاك خطوط الانتاج'!C2/F5*B5</f>
        <v>#DIV/0!</v>
      </c>
      <c r="D37" s="101" t="e">
        <f t="shared" si="2"/>
        <v>#DIV/0!</v>
      </c>
      <c r="E37" s="118" t="s">
        <v>4</v>
      </c>
      <c r="F37" s="102" t="str">
        <f>'اهلاك خطوط الانتاج'!$D$2</f>
        <v>اهلاك خط الانتاج</v>
      </c>
      <c r="G37" s="100"/>
    </row>
    <row r="38" spans="2:7" ht="21" thickBot="1">
      <c r="B38" s="181" t="e">
        <f>SUM(B27:B37)</f>
        <v>#DIV/0!</v>
      </c>
      <c r="C38" s="182" t="s">
        <v>90</v>
      </c>
      <c r="D38" s="183">
        <f>F5</f>
        <v>1</v>
      </c>
      <c r="E38" s="184" t="s">
        <v>91</v>
      </c>
      <c r="F38" s="185" t="s">
        <v>104</v>
      </c>
      <c r="G38" s="186"/>
    </row>
    <row r="39" spans="2:7" ht="15.75" thickBot="1"/>
    <row r="40" spans="2:7">
      <c r="B40" s="187" t="e">
        <f>D40*C40</f>
        <v>#DIV/0!</v>
      </c>
      <c r="C40" s="134" t="e">
        <f>'توزيع التكاليف'!C25/الرئيسية!$H$10</f>
        <v>#DIV/0!</v>
      </c>
      <c r="D40" s="107" t="e">
        <f>$B$5</f>
        <v>#DIV/0!</v>
      </c>
      <c r="E40" s="108" t="s">
        <v>4</v>
      </c>
      <c r="F40" s="108" t="str">
        <f>'اجمالي التكاليف خلال الفترة'!C6</f>
        <v>تكلفة ثابتة 1</v>
      </c>
      <c r="G40" s="271" t="s">
        <v>105</v>
      </c>
    </row>
    <row r="41" spans="2:7">
      <c r="B41" s="188" t="e">
        <f>D41*C41</f>
        <v>#DIV/0!</v>
      </c>
      <c r="C41" s="136" t="e">
        <f>'توزيع التكاليف'!C26/الرئيسية!$H$10</f>
        <v>#DIV/0!</v>
      </c>
      <c r="D41" s="109" t="e">
        <f>$B$5</f>
        <v>#DIV/0!</v>
      </c>
      <c r="E41" s="110" t="s">
        <v>4</v>
      </c>
      <c r="F41" s="110" t="str">
        <f>'اجمالي التكاليف خلال الفترة'!C7</f>
        <v>تكلفة ثابتة 2</v>
      </c>
      <c r="G41" s="272"/>
    </row>
    <row r="42" spans="2:7">
      <c r="B42" s="188" t="e">
        <f t="shared" ref="B42:B49" si="3">D42*C42</f>
        <v>#DIV/0!</v>
      </c>
      <c r="C42" s="136" t="e">
        <f>'توزيع التكاليف'!C27/الرئيسية!$H$10</f>
        <v>#DIV/0!</v>
      </c>
      <c r="D42" s="109" t="e">
        <f t="shared" ref="D42:D49" si="4">$B$5</f>
        <v>#DIV/0!</v>
      </c>
      <c r="E42" s="110" t="s">
        <v>4</v>
      </c>
      <c r="F42" s="110" t="str">
        <f>'اجمالي التكاليف خلال الفترة'!C8</f>
        <v>تكلفة ثابتة 3</v>
      </c>
      <c r="G42" s="272"/>
    </row>
    <row r="43" spans="2:7">
      <c r="B43" s="188" t="e">
        <f t="shared" si="3"/>
        <v>#DIV/0!</v>
      </c>
      <c r="C43" s="136" t="e">
        <f>'توزيع التكاليف'!C28/الرئيسية!$H$10</f>
        <v>#DIV/0!</v>
      </c>
      <c r="D43" s="109" t="e">
        <f t="shared" si="4"/>
        <v>#DIV/0!</v>
      </c>
      <c r="E43" s="110" t="s">
        <v>4</v>
      </c>
      <c r="F43" s="110" t="str">
        <f>'اجمالي التكاليف خلال الفترة'!C9</f>
        <v>تكلفة ثابتة 4</v>
      </c>
      <c r="G43" s="272"/>
    </row>
    <row r="44" spans="2:7">
      <c r="B44" s="188" t="e">
        <f t="shared" si="3"/>
        <v>#DIV/0!</v>
      </c>
      <c r="C44" s="136" t="e">
        <f>'توزيع التكاليف'!C29/الرئيسية!$H$10</f>
        <v>#DIV/0!</v>
      </c>
      <c r="D44" s="109" t="e">
        <f t="shared" si="4"/>
        <v>#DIV/0!</v>
      </c>
      <c r="E44" s="110" t="s">
        <v>4</v>
      </c>
      <c r="F44" s="110" t="str">
        <f>'اجمالي التكاليف خلال الفترة'!C10</f>
        <v>تكلفة ثابتة 5</v>
      </c>
      <c r="G44" s="273" t="s">
        <v>106</v>
      </c>
    </row>
    <row r="45" spans="2:7">
      <c r="B45" s="188" t="e">
        <f t="shared" si="3"/>
        <v>#DIV/0!</v>
      </c>
      <c r="C45" s="136" t="e">
        <f>'توزيع التكاليف'!C30/الرئيسية!$H$10</f>
        <v>#DIV/0!</v>
      </c>
      <c r="D45" s="109" t="e">
        <f t="shared" si="4"/>
        <v>#DIV/0!</v>
      </c>
      <c r="E45" s="111" t="s">
        <v>4</v>
      </c>
      <c r="F45" s="110" t="str">
        <f>'اجمالي التكاليف خلال الفترة'!C11</f>
        <v>تكلفة ثابتة 6</v>
      </c>
      <c r="G45" s="273"/>
    </row>
    <row r="46" spans="2:7">
      <c r="B46" s="188" t="e">
        <f t="shared" si="3"/>
        <v>#DIV/0!</v>
      </c>
      <c r="C46" s="136" t="e">
        <f>'توزيع التكاليف'!C31/الرئيسية!$H$10</f>
        <v>#DIV/0!</v>
      </c>
      <c r="D46" s="109" t="e">
        <f t="shared" si="4"/>
        <v>#DIV/0!</v>
      </c>
      <c r="E46" s="111" t="s">
        <v>4</v>
      </c>
      <c r="F46" s="110" t="str">
        <f>'اجمالي التكاليف خلال الفترة'!C12</f>
        <v>تكلفة ثابتة 7</v>
      </c>
      <c r="G46" s="273"/>
    </row>
    <row r="47" spans="2:7">
      <c r="B47" s="188" t="e">
        <f t="shared" si="3"/>
        <v>#DIV/0!</v>
      </c>
      <c r="C47" s="136" t="e">
        <f>'توزيع التكاليف'!C32/الرئيسية!$H$10</f>
        <v>#DIV/0!</v>
      </c>
      <c r="D47" s="109" t="e">
        <f t="shared" si="4"/>
        <v>#DIV/0!</v>
      </c>
      <c r="E47" s="111" t="s">
        <v>4</v>
      </c>
      <c r="F47" s="110" t="str">
        <f>'اجمالي التكاليف خلال الفترة'!C13</f>
        <v>تكلفة ثابتة 8</v>
      </c>
      <c r="G47" s="274" t="s">
        <v>108</v>
      </c>
    </row>
    <row r="48" spans="2:7">
      <c r="B48" s="188" t="e">
        <f t="shared" si="3"/>
        <v>#DIV/0!</v>
      </c>
      <c r="C48" s="136" t="e">
        <f>'توزيع التكاليف'!C33/الرئيسية!$H$10</f>
        <v>#DIV/0!</v>
      </c>
      <c r="D48" s="109" t="e">
        <f t="shared" si="4"/>
        <v>#DIV/0!</v>
      </c>
      <c r="E48" s="112" t="s">
        <v>4</v>
      </c>
      <c r="F48" s="110" t="str">
        <f>'اجمالي التكاليف خلال الفترة'!C14</f>
        <v>تكلفة ثابتة 9</v>
      </c>
      <c r="G48" s="274"/>
    </row>
    <row r="49" spans="2:7" ht="21" thickBot="1">
      <c r="B49" s="188" t="e">
        <f t="shared" si="3"/>
        <v>#DIV/0!</v>
      </c>
      <c r="C49" s="136" t="e">
        <f>'توزيع التكاليف'!C34/الرئيسية!$H$10</f>
        <v>#DIV/0!</v>
      </c>
      <c r="D49" s="109" t="e">
        <f t="shared" si="4"/>
        <v>#DIV/0!</v>
      </c>
      <c r="E49" s="113" t="s">
        <v>4</v>
      </c>
      <c r="F49" s="110" t="str">
        <f>'اجمالي التكاليف خلال الفترة'!C15</f>
        <v>تكلفة ثابتة 10</v>
      </c>
      <c r="G49" s="106"/>
    </row>
    <row r="50" spans="2:7" ht="21" thickBot="1">
      <c r="B50" s="189" t="e">
        <f>SUM(B40:B49)</f>
        <v>#DIV/0!</v>
      </c>
      <c r="C50" s="190" t="s">
        <v>90</v>
      </c>
      <c r="D50" s="191">
        <f>F5</f>
        <v>1</v>
      </c>
      <c r="E50" s="192" t="s">
        <v>91</v>
      </c>
      <c r="F50" s="193" t="s">
        <v>104</v>
      </c>
      <c r="G50" s="194"/>
    </row>
    <row r="53" spans="2:7">
      <c r="B53" s="269" t="s">
        <v>110</v>
      </c>
      <c r="C53" s="269"/>
      <c r="D53" s="269"/>
      <c r="E53" s="269"/>
      <c r="F53" s="269"/>
      <c r="G53" s="269"/>
    </row>
    <row r="54" spans="2:7">
      <c r="B54" s="270"/>
      <c r="C54" s="270"/>
      <c r="D54" s="270"/>
      <c r="E54" s="270"/>
      <c r="F54" s="270"/>
      <c r="G54" s="270"/>
    </row>
    <row r="55" spans="2:7" ht="18.75">
      <c r="B55" s="195" t="s">
        <v>116</v>
      </c>
      <c r="C55" s="196" t="s">
        <v>113</v>
      </c>
      <c r="D55" s="268" t="s">
        <v>112</v>
      </c>
      <c r="E55" s="268"/>
      <c r="F55" s="197" t="s">
        <v>102</v>
      </c>
      <c r="G55" s="198" t="s">
        <v>112</v>
      </c>
    </row>
    <row r="56" spans="2:7" ht="18.75">
      <c r="B56" s="195" t="s">
        <v>117</v>
      </c>
      <c r="C56" s="196" t="s">
        <v>114</v>
      </c>
      <c r="D56" s="268" t="s">
        <v>115</v>
      </c>
      <c r="E56" s="268"/>
      <c r="F56" s="197" t="s">
        <v>114</v>
      </c>
      <c r="G56" s="198" t="s">
        <v>111</v>
      </c>
    </row>
    <row r="57" spans="2:7" ht="15.75">
      <c r="B57" s="199" t="e">
        <f>G57/(F57-C57)</f>
        <v>#DIV/0!</v>
      </c>
      <c r="C57" s="200" t="e">
        <f>D57/F5</f>
        <v>#DIV/0!</v>
      </c>
      <c r="D57" s="266" t="e">
        <f>B38+B21+B24</f>
        <v>#DIV/0!</v>
      </c>
      <c r="E57" s="267"/>
      <c r="F57" s="201">
        <f>F8</f>
        <v>0</v>
      </c>
      <c r="G57" s="202" t="e">
        <f>'توزيع التكاليف'!C24+'توزيع التكاليف'!C10</f>
        <v>#DIV/0!</v>
      </c>
    </row>
    <row r="59" spans="2:7">
      <c r="G59" s="203"/>
    </row>
    <row r="60" spans="2:7">
      <c r="G60" s="203"/>
    </row>
  </sheetData>
  <mergeCells count="31">
    <mergeCell ref="F5:F6"/>
    <mergeCell ref="D5:E6"/>
    <mergeCell ref="B5:C6"/>
    <mergeCell ref="G13:G14"/>
    <mergeCell ref="F13:F14"/>
    <mergeCell ref="D13:E13"/>
    <mergeCell ref="C13:C14"/>
    <mergeCell ref="B13:B14"/>
    <mergeCell ref="B11:C11"/>
    <mergeCell ref="G27:G30"/>
    <mergeCell ref="G31:G33"/>
    <mergeCell ref="G34:G35"/>
    <mergeCell ref="B2:C3"/>
    <mergeCell ref="D2:E3"/>
    <mergeCell ref="F2:F3"/>
    <mergeCell ref="G2:G3"/>
    <mergeCell ref="B8:C9"/>
    <mergeCell ref="D8:E9"/>
    <mergeCell ref="F8:F9"/>
    <mergeCell ref="G8:G9"/>
    <mergeCell ref="G16:G20"/>
    <mergeCell ref="F21:G21"/>
    <mergeCell ref="F25:G25"/>
    <mergeCell ref="G5:G6"/>
    <mergeCell ref="D57:E57"/>
    <mergeCell ref="D56:E56"/>
    <mergeCell ref="D55:E55"/>
    <mergeCell ref="B53:G54"/>
    <mergeCell ref="G40:G43"/>
    <mergeCell ref="G44:G46"/>
    <mergeCell ref="G47:G4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B1:AL57"/>
  <sheetViews>
    <sheetView workbookViewId="0">
      <pane xSplit="7" ySplit="15" topLeftCell="H16" activePane="bottomRight" state="frozen"/>
      <selection activeCell="F8" sqref="F8:F9"/>
      <selection pane="topRight" activeCell="F8" sqref="F8:F9"/>
      <selection pane="bottomLeft" activeCell="F8" sqref="F8:F9"/>
      <selection pane="bottomRight" activeCell="F8" sqref="F8:F9"/>
    </sheetView>
  </sheetViews>
  <sheetFormatPr defaultRowHeight="15"/>
  <cols>
    <col min="1" max="1" width="2.85546875" style="67" customWidth="1"/>
    <col min="2" max="2" width="22" style="67" bestFit="1" customWidth="1"/>
    <col min="3" max="3" width="17.85546875" style="67" bestFit="1" customWidth="1"/>
    <col min="4" max="4" width="12.42578125" style="67" customWidth="1"/>
    <col min="5" max="5" width="11" style="67" bestFit="1" customWidth="1"/>
    <col min="6" max="6" width="37.42578125" style="67" bestFit="1" customWidth="1"/>
    <col min="7" max="7" width="36.85546875" style="67" bestFit="1" customWidth="1"/>
    <col min="8" max="38" width="9.140625" style="81"/>
    <col min="39" max="16384" width="9.140625" style="67"/>
  </cols>
  <sheetData>
    <row r="1" spans="2:8" ht="8.25" customHeight="1"/>
    <row r="2" spans="2:8">
      <c r="B2" s="323" t="e">
        <f>F2/الرئيسية!H14</f>
        <v>#DIV/0!</v>
      </c>
      <c r="C2" s="323"/>
      <c r="D2" s="312" t="s">
        <v>101</v>
      </c>
      <c r="E2" s="312"/>
      <c r="F2" s="311">
        <f>الرئيسية!I14</f>
        <v>0</v>
      </c>
      <c r="G2" s="312" t="s">
        <v>12</v>
      </c>
    </row>
    <row r="3" spans="2:8">
      <c r="B3" s="323"/>
      <c r="C3" s="323"/>
      <c r="D3" s="312"/>
      <c r="E3" s="312"/>
      <c r="F3" s="311"/>
      <c r="G3" s="312"/>
    </row>
    <row r="4" spans="2:8" ht="5.25" customHeight="1" thickBot="1">
      <c r="B4" s="116"/>
      <c r="C4" s="116"/>
      <c r="D4" s="116"/>
      <c r="E4" s="116"/>
      <c r="F4" s="116"/>
      <c r="G4" s="116"/>
    </row>
    <row r="5" spans="2:8">
      <c r="B5" s="323" t="e">
        <f>F5/B2</f>
        <v>#DIV/0!</v>
      </c>
      <c r="C5" s="323"/>
      <c r="D5" s="312" t="s">
        <v>100</v>
      </c>
      <c r="E5" s="312"/>
      <c r="F5" s="292">
        <v>1</v>
      </c>
      <c r="G5" s="312" t="s">
        <v>99</v>
      </c>
    </row>
    <row r="6" spans="2:8" ht="15.75" thickBot="1">
      <c r="B6" s="323"/>
      <c r="C6" s="323"/>
      <c r="D6" s="312"/>
      <c r="E6" s="312"/>
      <c r="F6" s="293"/>
      <c r="G6" s="312"/>
    </row>
    <row r="7" spans="2:8" ht="4.5" customHeight="1" thickBot="1">
      <c r="B7" s="117"/>
      <c r="C7" s="117"/>
      <c r="D7" s="117"/>
      <c r="E7" s="117"/>
      <c r="F7" s="117"/>
      <c r="G7" s="117"/>
    </row>
    <row r="8" spans="2:8">
      <c r="B8" s="310" t="e">
        <f>B57</f>
        <v>#DIV/0!</v>
      </c>
      <c r="C8" s="311"/>
      <c r="D8" s="312" t="s">
        <v>103</v>
      </c>
      <c r="E8" s="312"/>
      <c r="F8" s="285"/>
      <c r="G8" s="312" t="s">
        <v>102</v>
      </c>
    </row>
    <row r="9" spans="2:8" ht="15.75" thickBot="1">
      <c r="B9" s="311"/>
      <c r="C9" s="311"/>
      <c r="D9" s="312"/>
      <c r="E9" s="312"/>
      <c r="F9" s="286"/>
      <c r="G9" s="312"/>
    </row>
    <row r="10" spans="2:8" ht="6" customHeight="1">
      <c r="B10" s="66"/>
      <c r="C10" s="66"/>
      <c r="D10" s="138"/>
      <c r="E10" s="138"/>
      <c r="F10" s="66"/>
      <c r="G10" s="66"/>
    </row>
    <row r="11" spans="2:8" ht="24" thickBot="1">
      <c r="B11" s="313" t="e">
        <f>B21+B25+B38+B50</f>
        <v>#DIV/0!</v>
      </c>
      <c r="C11" s="313"/>
      <c r="D11" s="143" t="s">
        <v>90</v>
      </c>
      <c r="E11" s="144">
        <f>F5</f>
        <v>1</v>
      </c>
      <c r="F11" s="142">
        <f>الرئيسية!J14</f>
        <v>0</v>
      </c>
      <c r="G11" s="207" t="s">
        <v>119</v>
      </c>
    </row>
    <row r="12" spans="2:8" ht="6" customHeight="1" thickBot="1">
      <c r="B12" s="139"/>
      <c r="C12" s="139"/>
      <c r="D12" s="140"/>
      <c r="E12" s="140"/>
      <c r="F12" s="141"/>
      <c r="G12" s="66"/>
    </row>
    <row r="13" spans="2:8" ht="18">
      <c r="B13" s="314" t="s">
        <v>81</v>
      </c>
      <c r="C13" s="316" t="s">
        <v>82</v>
      </c>
      <c r="D13" s="318" t="s">
        <v>83</v>
      </c>
      <c r="E13" s="314"/>
      <c r="F13" s="319" t="s">
        <v>18</v>
      </c>
      <c r="G13" s="321" t="s">
        <v>84</v>
      </c>
    </row>
    <row r="14" spans="2:8" ht="18.75" thickBot="1">
      <c r="B14" s="315"/>
      <c r="C14" s="317"/>
      <c r="D14" s="76" t="s">
        <v>85</v>
      </c>
      <c r="E14" s="77" t="s">
        <v>86</v>
      </c>
      <c r="F14" s="320"/>
      <c r="G14" s="322"/>
    </row>
    <row r="15" spans="2:8" ht="18.75" thickBot="1">
      <c r="B15" s="68"/>
      <c r="C15" s="68"/>
      <c r="D15" s="69"/>
      <c r="E15" s="68"/>
    </row>
    <row r="16" spans="2:8">
      <c r="B16" s="119">
        <f>C16*D16</f>
        <v>0</v>
      </c>
      <c r="C16" s="120">
        <f>'اجمالي التكاليف خلال الفترة'!H11</f>
        <v>0</v>
      </c>
      <c r="D16" s="152">
        <v>1</v>
      </c>
      <c r="E16" s="74" t="s">
        <v>87</v>
      </c>
      <c r="F16" s="74" t="str">
        <f>'اجمالي التكاليف خلال الفترة'!I11</f>
        <v>خام 1</v>
      </c>
      <c r="G16" s="287" t="s">
        <v>88</v>
      </c>
      <c r="H16" s="205"/>
    </row>
    <row r="17" spans="2:7">
      <c r="B17" s="119">
        <f>C17*D17</f>
        <v>0</v>
      </c>
      <c r="C17" s="121">
        <f>'اجمالي التكاليف خلال الفترة'!H12</f>
        <v>0</v>
      </c>
      <c r="D17" s="153">
        <v>1</v>
      </c>
      <c r="E17" s="90" t="s">
        <v>89</v>
      </c>
      <c r="F17" s="65" t="str">
        <f>'اجمالي التكاليف خلال الفترة'!I12</f>
        <v>خام 2</v>
      </c>
      <c r="G17" s="288"/>
    </row>
    <row r="18" spans="2:7">
      <c r="B18" s="119">
        <f t="shared" ref="B18:B20" si="0">C18*D18</f>
        <v>0</v>
      </c>
      <c r="C18" s="121">
        <f>'اجمالي التكاليف خلال الفترة'!H13</f>
        <v>0</v>
      </c>
      <c r="D18" s="153">
        <v>1</v>
      </c>
      <c r="E18" s="90" t="s">
        <v>87</v>
      </c>
      <c r="F18" s="65" t="str">
        <f>'اجمالي التكاليف خلال الفترة'!I13</f>
        <v>خام 3</v>
      </c>
      <c r="G18" s="288"/>
    </row>
    <row r="19" spans="2:7">
      <c r="B19" s="119">
        <f t="shared" si="0"/>
        <v>0</v>
      </c>
      <c r="C19" s="121">
        <f>'اجمالي التكاليف خلال الفترة'!H14</f>
        <v>0</v>
      </c>
      <c r="D19" s="153">
        <v>1</v>
      </c>
      <c r="E19" s="90" t="s">
        <v>89</v>
      </c>
      <c r="F19" s="65" t="str">
        <f>'اجمالي التكاليف خلال الفترة'!I14</f>
        <v>خام 4</v>
      </c>
      <c r="G19" s="288"/>
    </row>
    <row r="20" spans="2:7" ht="15.75" thickBot="1">
      <c r="B20" s="119">
        <f t="shared" si="0"/>
        <v>0</v>
      </c>
      <c r="C20" s="121">
        <f>'اجمالي التكاليف خلال الفترة'!H15</f>
        <v>0</v>
      </c>
      <c r="D20" s="154">
        <v>1</v>
      </c>
      <c r="E20" s="93" t="s">
        <v>87</v>
      </c>
      <c r="F20" s="65" t="str">
        <f>'اجمالي التكاليف خلال الفترة'!I15</f>
        <v>خام 5</v>
      </c>
      <c r="G20" s="288"/>
    </row>
    <row r="21" spans="2:7" ht="21" thickBot="1">
      <c r="B21" s="122">
        <f>SUM(B16:B20)*D21</f>
        <v>0</v>
      </c>
      <c r="C21" s="70" t="s">
        <v>90</v>
      </c>
      <c r="D21" s="95">
        <f>F5</f>
        <v>1</v>
      </c>
      <c r="E21" s="94" t="s">
        <v>93</v>
      </c>
      <c r="F21" s="307" t="s">
        <v>92</v>
      </c>
      <c r="G21" s="307"/>
    </row>
    <row r="22" spans="2:7" ht="15.75" thickBot="1"/>
    <row r="23" spans="2:7" ht="20.25">
      <c r="B23" s="123" t="e">
        <f>D23*C23</f>
        <v>#DIV/0!</v>
      </c>
      <c r="C23" s="126" t="e">
        <f>'توزيع التكاليف'!D10/الرئيسية!$H$14</f>
        <v>#DIV/0!</v>
      </c>
      <c r="D23" s="91" t="e">
        <f>$B$5</f>
        <v>#DIV/0!</v>
      </c>
      <c r="E23" s="84" t="s">
        <v>4</v>
      </c>
      <c r="F23" s="85" t="s">
        <v>94</v>
      </c>
      <c r="G23" s="86" t="s">
        <v>46</v>
      </c>
    </row>
    <row r="24" spans="2:7" ht="21" thickBot="1">
      <c r="B24" s="124" t="e">
        <f>D24*C24</f>
        <v>#DIV/0!</v>
      </c>
      <c r="C24" s="127" t="e">
        <f>'توزيع التكاليف'!D9/الرئيسية!$H$14</f>
        <v>#DIV/0!</v>
      </c>
      <c r="D24" s="92" t="e">
        <f>$B$5</f>
        <v>#DIV/0!</v>
      </c>
      <c r="E24" s="87" t="s">
        <v>4</v>
      </c>
      <c r="F24" s="88" t="s">
        <v>95</v>
      </c>
      <c r="G24" s="89" t="s">
        <v>96</v>
      </c>
    </row>
    <row r="25" spans="2:7" ht="21" thickBot="1">
      <c r="B25" s="125" t="e">
        <f>SUM(B23:B24)</f>
        <v>#DIV/0!</v>
      </c>
      <c r="C25" s="79" t="s">
        <v>90</v>
      </c>
      <c r="D25" s="80">
        <f>F5</f>
        <v>1</v>
      </c>
      <c r="E25" s="78" t="s">
        <v>98</v>
      </c>
      <c r="F25" s="308" t="s">
        <v>97</v>
      </c>
      <c r="G25" s="309"/>
    </row>
    <row r="26" spans="2:7" ht="15.75" thickBot="1"/>
    <row r="27" spans="2:7">
      <c r="B27" s="128" t="e">
        <f>D27*C27</f>
        <v>#DIV/0!</v>
      </c>
      <c r="C27" s="129" t="e">
        <f>'توزيع التكاليف'!D13/الرئيسية!$H$14</f>
        <v>#DIV/0!</v>
      </c>
      <c r="D27" s="97" t="e">
        <f>$B$5</f>
        <v>#DIV/0!</v>
      </c>
      <c r="E27" s="98" t="s">
        <v>4</v>
      </c>
      <c r="F27" s="98" t="str">
        <f>'اجمالي التكاليف خلال الفترة'!F6</f>
        <v>تكلفة متغيرة 1</v>
      </c>
      <c r="G27" s="277" t="s">
        <v>105</v>
      </c>
    </row>
    <row r="28" spans="2:7">
      <c r="B28" s="130" t="e">
        <f>D28*C28</f>
        <v>#DIV/0!</v>
      </c>
      <c r="C28" s="131" t="e">
        <f>'توزيع التكاليف'!D14/الرئيسية!$H$14</f>
        <v>#DIV/0!</v>
      </c>
      <c r="D28" s="101" t="e">
        <f>$B$5</f>
        <v>#DIV/0!</v>
      </c>
      <c r="E28" s="102" t="s">
        <v>4</v>
      </c>
      <c r="F28" s="102" t="str">
        <f>'اجمالي التكاليف خلال الفترة'!F7</f>
        <v>تكلفة متغيرة 2</v>
      </c>
      <c r="G28" s="278"/>
    </row>
    <row r="29" spans="2:7">
      <c r="B29" s="130" t="e">
        <f t="shared" ref="B29:B36" si="1">D29*C29</f>
        <v>#DIV/0!</v>
      </c>
      <c r="C29" s="131" t="e">
        <f>'توزيع التكاليف'!D15/الرئيسية!$H$14</f>
        <v>#DIV/0!</v>
      </c>
      <c r="D29" s="101" t="e">
        <f t="shared" ref="D29:D37" si="2">$B$5</f>
        <v>#DIV/0!</v>
      </c>
      <c r="E29" s="102" t="s">
        <v>4</v>
      </c>
      <c r="F29" s="102" t="str">
        <f>'اجمالي التكاليف خلال الفترة'!F8</f>
        <v>تكلفة متغيرة 3</v>
      </c>
      <c r="G29" s="278"/>
    </row>
    <row r="30" spans="2:7">
      <c r="B30" s="130" t="e">
        <f t="shared" si="1"/>
        <v>#DIV/0!</v>
      </c>
      <c r="C30" s="131" t="e">
        <f>'توزيع التكاليف'!D16/الرئيسية!$H$14</f>
        <v>#DIV/0!</v>
      </c>
      <c r="D30" s="101" t="e">
        <f t="shared" si="2"/>
        <v>#DIV/0!</v>
      </c>
      <c r="E30" s="102" t="s">
        <v>4</v>
      </c>
      <c r="F30" s="102" t="str">
        <f>'اجمالي التكاليف خلال الفترة'!F9</f>
        <v>تكلفة متغيرة 4</v>
      </c>
      <c r="G30" s="278"/>
    </row>
    <row r="31" spans="2:7">
      <c r="B31" s="130" t="e">
        <f t="shared" si="1"/>
        <v>#DIV/0!</v>
      </c>
      <c r="C31" s="131" t="e">
        <f>'توزيع التكاليف'!D17/الرئيسية!$H$14</f>
        <v>#DIV/0!</v>
      </c>
      <c r="D31" s="101" t="e">
        <f t="shared" si="2"/>
        <v>#DIV/0!</v>
      </c>
      <c r="E31" s="102" t="s">
        <v>4</v>
      </c>
      <c r="F31" s="102" t="str">
        <f>'اجمالي التكاليف خلال الفترة'!F10</f>
        <v>تكلفة متغيرة 5</v>
      </c>
      <c r="G31" s="279" t="s">
        <v>106</v>
      </c>
    </row>
    <row r="32" spans="2:7">
      <c r="B32" s="130" t="e">
        <f t="shared" si="1"/>
        <v>#DIV/0!</v>
      </c>
      <c r="C32" s="131" t="e">
        <f>'توزيع التكاليف'!D18/الرئيسية!$H$14</f>
        <v>#DIV/0!</v>
      </c>
      <c r="D32" s="101" t="e">
        <f t="shared" si="2"/>
        <v>#DIV/0!</v>
      </c>
      <c r="E32" s="75" t="s">
        <v>4</v>
      </c>
      <c r="F32" s="102" t="str">
        <f>'اجمالي التكاليف خلال الفترة'!F11</f>
        <v>تكلفة متغيرة 6</v>
      </c>
      <c r="G32" s="279"/>
    </row>
    <row r="33" spans="2:7">
      <c r="B33" s="130" t="e">
        <f t="shared" si="1"/>
        <v>#DIV/0!</v>
      </c>
      <c r="C33" s="131" t="e">
        <f>'توزيع التكاليف'!D19/الرئيسية!$H$14</f>
        <v>#DIV/0!</v>
      </c>
      <c r="D33" s="101" t="e">
        <f t="shared" si="2"/>
        <v>#DIV/0!</v>
      </c>
      <c r="E33" s="75" t="s">
        <v>4</v>
      </c>
      <c r="F33" s="102" t="str">
        <f>'اجمالي التكاليف خلال الفترة'!F12</f>
        <v>تكلفة متغيرة 7</v>
      </c>
      <c r="G33" s="279"/>
    </row>
    <row r="34" spans="2:7">
      <c r="B34" s="130" t="e">
        <f t="shared" si="1"/>
        <v>#DIV/0!</v>
      </c>
      <c r="C34" s="131" t="e">
        <f>'توزيع التكاليف'!D20/الرئيسية!$H$14</f>
        <v>#DIV/0!</v>
      </c>
      <c r="D34" s="101" t="e">
        <f t="shared" si="2"/>
        <v>#DIV/0!</v>
      </c>
      <c r="E34" s="75" t="s">
        <v>4</v>
      </c>
      <c r="F34" s="102" t="str">
        <f>'اجمالي التكاليف خلال الفترة'!F13</f>
        <v>تكلفة متغيرة 8</v>
      </c>
      <c r="G34" s="280" t="s">
        <v>107</v>
      </c>
    </row>
    <row r="35" spans="2:7">
      <c r="B35" s="130" t="e">
        <f t="shared" si="1"/>
        <v>#DIV/0!</v>
      </c>
      <c r="C35" s="131" t="e">
        <f>'توزيع التكاليف'!D21/الرئيسية!$H$14</f>
        <v>#DIV/0!</v>
      </c>
      <c r="D35" s="101" t="e">
        <f t="shared" si="2"/>
        <v>#DIV/0!</v>
      </c>
      <c r="E35" s="96" t="s">
        <v>4</v>
      </c>
      <c r="F35" s="102" t="str">
        <f>'اجمالي التكاليف خلال الفترة'!F14</f>
        <v>تكلفة متغيرة 9</v>
      </c>
      <c r="G35" s="280"/>
    </row>
    <row r="36" spans="2:7" ht="20.25">
      <c r="B36" s="130" t="e">
        <f t="shared" si="1"/>
        <v>#DIV/0!</v>
      </c>
      <c r="C36" s="131" t="e">
        <f>'توزيع التكاليف'!D22/الرئيسية!$H$14</f>
        <v>#DIV/0!</v>
      </c>
      <c r="D36" s="101" t="e">
        <f t="shared" si="2"/>
        <v>#DIV/0!</v>
      </c>
      <c r="E36" s="96" t="s">
        <v>4</v>
      </c>
      <c r="F36" s="102" t="str">
        <f>'اجمالي التكاليف خلال الفترة'!F15</f>
        <v>تكلفة متغيرة 10</v>
      </c>
      <c r="G36" s="99"/>
    </row>
    <row r="37" spans="2:7" ht="21" thickBot="1">
      <c r="B37" s="130" t="e">
        <f>D37*C37</f>
        <v>#DIV/0!</v>
      </c>
      <c r="C37" s="131" t="e">
        <f>'اهلاك خطوط الانتاج'!C2/F5*B5</f>
        <v>#DIV/0!</v>
      </c>
      <c r="D37" s="101" t="e">
        <f t="shared" si="2"/>
        <v>#DIV/0!</v>
      </c>
      <c r="E37" s="118" t="s">
        <v>4</v>
      </c>
      <c r="F37" s="102" t="str">
        <f>'اهلاك خطوط الانتاج'!$D$2</f>
        <v>اهلاك خط الانتاج</v>
      </c>
      <c r="G37" s="100"/>
    </row>
    <row r="38" spans="2:7" ht="21" thickBot="1">
      <c r="B38" s="132" t="e">
        <f>SUM(B27:B37)</f>
        <v>#DIV/0!</v>
      </c>
      <c r="C38" s="71" t="s">
        <v>90</v>
      </c>
      <c r="D38" s="72">
        <f>F5</f>
        <v>1</v>
      </c>
      <c r="E38" s="73" t="s">
        <v>91</v>
      </c>
      <c r="F38" s="82" t="s">
        <v>104</v>
      </c>
      <c r="G38" s="83"/>
    </row>
    <row r="39" spans="2:7" ht="15.75" thickBot="1"/>
    <row r="40" spans="2:7">
      <c r="B40" s="133" t="e">
        <f>D40*C40</f>
        <v>#DIV/0!</v>
      </c>
      <c r="C40" s="134" t="e">
        <f>'توزيع التكاليف'!D25/الرئيسية!$H$14</f>
        <v>#DIV/0!</v>
      </c>
      <c r="D40" s="107" t="e">
        <f>$B$5</f>
        <v>#DIV/0!</v>
      </c>
      <c r="E40" s="108" t="s">
        <v>4</v>
      </c>
      <c r="F40" s="108" t="str">
        <f>'اجمالي التكاليف خلال الفترة'!C6</f>
        <v>تكلفة ثابتة 1</v>
      </c>
      <c r="G40" s="271" t="s">
        <v>105</v>
      </c>
    </row>
    <row r="41" spans="2:7">
      <c r="B41" s="135" t="e">
        <f>D41*C41</f>
        <v>#DIV/0!</v>
      </c>
      <c r="C41" s="136" t="e">
        <f>'توزيع التكاليف'!D26/الرئيسية!$H$14</f>
        <v>#DIV/0!</v>
      </c>
      <c r="D41" s="109" t="e">
        <f>$B$5</f>
        <v>#DIV/0!</v>
      </c>
      <c r="E41" s="110" t="s">
        <v>4</v>
      </c>
      <c r="F41" s="110" t="str">
        <f>'اجمالي التكاليف خلال الفترة'!C7</f>
        <v>تكلفة ثابتة 2</v>
      </c>
      <c r="G41" s="272"/>
    </row>
    <row r="42" spans="2:7">
      <c r="B42" s="135" t="e">
        <f t="shared" ref="B42:B49" si="3">D42*C42</f>
        <v>#DIV/0!</v>
      </c>
      <c r="C42" s="136" t="e">
        <f>'توزيع التكاليف'!D27/الرئيسية!$H$14</f>
        <v>#DIV/0!</v>
      </c>
      <c r="D42" s="109" t="e">
        <f t="shared" ref="D42:D49" si="4">$B$5</f>
        <v>#DIV/0!</v>
      </c>
      <c r="E42" s="110" t="s">
        <v>4</v>
      </c>
      <c r="F42" s="110" t="str">
        <f>'اجمالي التكاليف خلال الفترة'!C8</f>
        <v>تكلفة ثابتة 3</v>
      </c>
      <c r="G42" s="272"/>
    </row>
    <row r="43" spans="2:7">
      <c r="B43" s="135" t="e">
        <f t="shared" si="3"/>
        <v>#DIV/0!</v>
      </c>
      <c r="C43" s="136" t="e">
        <f>'توزيع التكاليف'!D28/الرئيسية!$H$14</f>
        <v>#DIV/0!</v>
      </c>
      <c r="D43" s="109" t="e">
        <f t="shared" si="4"/>
        <v>#DIV/0!</v>
      </c>
      <c r="E43" s="110" t="s">
        <v>4</v>
      </c>
      <c r="F43" s="110" t="str">
        <f>'اجمالي التكاليف خلال الفترة'!C9</f>
        <v>تكلفة ثابتة 4</v>
      </c>
      <c r="G43" s="272"/>
    </row>
    <row r="44" spans="2:7">
      <c r="B44" s="135" t="e">
        <f t="shared" si="3"/>
        <v>#DIV/0!</v>
      </c>
      <c r="C44" s="136" t="e">
        <f>'توزيع التكاليف'!D29/الرئيسية!$H$14</f>
        <v>#DIV/0!</v>
      </c>
      <c r="D44" s="109" t="e">
        <f t="shared" si="4"/>
        <v>#DIV/0!</v>
      </c>
      <c r="E44" s="110" t="s">
        <v>4</v>
      </c>
      <c r="F44" s="110" t="str">
        <f>'اجمالي التكاليف خلال الفترة'!C10</f>
        <v>تكلفة ثابتة 5</v>
      </c>
      <c r="G44" s="273" t="s">
        <v>106</v>
      </c>
    </row>
    <row r="45" spans="2:7">
      <c r="B45" s="135" t="e">
        <f t="shared" si="3"/>
        <v>#DIV/0!</v>
      </c>
      <c r="C45" s="136" t="e">
        <f>'توزيع التكاليف'!D30/الرئيسية!$H$14</f>
        <v>#DIV/0!</v>
      </c>
      <c r="D45" s="109" t="e">
        <f t="shared" si="4"/>
        <v>#DIV/0!</v>
      </c>
      <c r="E45" s="111" t="s">
        <v>4</v>
      </c>
      <c r="F45" s="110" t="str">
        <f>'اجمالي التكاليف خلال الفترة'!C11</f>
        <v>تكلفة ثابتة 6</v>
      </c>
      <c r="G45" s="273"/>
    </row>
    <row r="46" spans="2:7">
      <c r="B46" s="135" t="e">
        <f t="shared" si="3"/>
        <v>#DIV/0!</v>
      </c>
      <c r="C46" s="136" t="e">
        <f>'توزيع التكاليف'!D31/الرئيسية!$H$14</f>
        <v>#DIV/0!</v>
      </c>
      <c r="D46" s="109" t="e">
        <f t="shared" si="4"/>
        <v>#DIV/0!</v>
      </c>
      <c r="E46" s="111" t="s">
        <v>4</v>
      </c>
      <c r="F46" s="110" t="str">
        <f>'اجمالي التكاليف خلال الفترة'!C12</f>
        <v>تكلفة ثابتة 7</v>
      </c>
      <c r="G46" s="273"/>
    </row>
    <row r="47" spans="2:7">
      <c r="B47" s="135" t="e">
        <f t="shared" si="3"/>
        <v>#DIV/0!</v>
      </c>
      <c r="C47" s="136" t="e">
        <f>'توزيع التكاليف'!D32/الرئيسية!$H$14</f>
        <v>#DIV/0!</v>
      </c>
      <c r="D47" s="109" t="e">
        <f t="shared" si="4"/>
        <v>#DIV/0!</v>
      </c>
      <c r="E47" s="111" t="s">
        <v>4</v>
      </c>
      <c r="F47" s="110" t="str">
        <f>'اجمالي التكاليف خلال الفترة'!C13</f>
        <v>تكلفة ثابتة 8</v>
      </c>
      <c r="G47" s="274" t="s">
        <v>108</v>
      </c>
    </row>
    <row r="48" spans="2:7">
      <c r="B48" s="135" t="e">
        <f t="shared" si="3"/>
        <v>#DIV/0!</v>
      </c>
      <c r="C48" s="136" t="e">
        <f>'توزيع التكاليف'!D33/الرئيسية!$H$14</f>
        <v>#DIV/0!</v>
      </c>
      <c r="D48" s="109" t="e">
        <f t="shared" si="4"/>
        <v>#DIV/0!</v>
      </c>
      <c r="E48" s="112" t="s">
        <v>4</v>
      </c>
      <c r="F48" s="110" t="str">
        <f>'اجمالي التكاليف خلال الفترة'!C14</f>
        <v>تكلفة ثابتة 9</v>
      </c>
      <c r="G48" s="274"/>
    </row>
    <row r="49" spans="2:7" ht="21" thickBot="1">
      <c r="B49" s="135" t="e">
        <f t="shared" si="3"/>
        <v>#DIV/0!</v>
      </c>
      <c r="C49" s="136" t="e">
        <f>'توزيع التكاليف'!D34/الرئيسية!$H$14</f>
        <v>#DIV/0!</v>
      </c>
      <c r="D49" s="109" t="e">
        <f t="shared" si="4"/>
        <v>#DIV/0!</v>
      </c>
      <c r="E49" s="113" t="s">
        <v>4</v>
      </c>
      <c r="F49" s="110" t="str">
        <f>'اجمالي التكاليف خلال الفترة'!C15</f>
        <v>تكلفة ثابتة 10</v>
      </c>
      <c r="G49" s="106"/>
    </row>
    <row r="50" spans="2:7" ht="21" thickBot="1">
      <c r="B50" s="137" t="e">
        <f>SUM(B40:B49)</f>
        <v>#DIV/0!</v>
      </c>
      <c r="C50" s="114" t="s">
        <v>90</v>
      </c>
      <c r="D50" s="115">
        <f>F5</f>
        <v>1</v>
      </c>
      <c r="E50" s="103" t="s">
        <v>91</v>
      </c>
      <c r="F50" s="104" t="s">
        <v>104</v>
      </c>
      <c r="G50" s="105"/>
    </row>
    <row r="53" spans="2:7">
      <c r="B53" s="304" t="s">
        <v>110</v>
      </c>
      <c r="C53" s="304"/>
      <c r="D53" s="304"/>
      <c r="E53" s="304"/>
      <c r="F53" s="304"/>
      <c r="G53" s="304"/>
    </row>
    <row r="54" spans="2:7">
      <c r="B54" s="305"/>
      <c r="C54" s="305"/>
      <c r="D54" s="305"/>
      <c r="E54" s="305"/>
      <c r="F54" s="305"/>
      <c r="G54" s="305"/>
    </row>
    <row r="55" spans="2:7" ht="18.75">
      <c r="B55" s="150" t="s">
        <v>116</v>
      </c>
      <c r="C55" s="148" t="s">
        <v>113</v>
      </c>
      <c r="D55" s="306" t="s">
        <v>112</v>
      </c>
      <c r="E55" s="306"/>
      <c r="F55" s="146" t="s">
        <v>102</v>
      </c>
      <c r="G55" s="145" t="s">
        <v>112</v>
      </c>
    </row>
    <row r="56" spans="2:7" ht="18.75">
      <c r="B56" s="150" t="s">
        <v>117</v>
      </c>
      <c r="C56" s="148" t="s">
        <v>114</v>
      </c>
      <c r="D56" s="306" t="s">
        <v>115</v>
      </c>
      <c r="E56" s="306"/>
      <c r="F56" s="146" t="s">
        <v>114</v>
      </c>
      <c r="G56" s="145" t="s">
        <v>111</v>
      </c>
    </row>
    <row r="57" spans="2:7" ht="15.75">
      <c r="B57" s="151" t="e">
        <f>G57/(F57-C57)</f>
        <v>#DIV/0!</v>
      </c>
      <c r="C57" s="149" t="e">
        <f>D57/F5</f>
        <v>#DIV/0!</v>
      </c>
      <c r="D57" s="303" t="e">
        <f>B38+B21+B24</f>
        <v>#DIV/0!</v>
      </c>
      <c r="E57" s="303"/>
      <c r="F57" s="147">
        <f>F8</f>
        <v>0</v>
      </c>
      <c r="G57" s="202" t="e">
        <f>'توزيع التكاليف'!D24+'توزيع التكاليف'!D10</f>
        <v>#DIV/0!</v>
      </c>
    </row>
  </sheetData>
  <mergeCells count="31">
    <mergeCell ref="B2:C3"/>
    <mergeCell ref="D2:E3"/>
    <mergeCell ref="F2:F3"/>
    <mergeCell ref="G2:G3"/>
    <mergeCell ref="B5:C6"/>
    <mergeCell ref="D5:E6"/>
    <mergeCell ref="F5:F6"/>
    <mergeCell ref="G5:G6"/>
    <mergeCell ref="G34:G35"/>
    <mergeCell ref="B8:C9"/>
    <mergeCell ref="D8:E9"/>
    <mergeCell ref="F8:F9"/>
    <mergeCell ref="G8:G9"/>
    <mergeCell ref="B11:C11"/>
    <mergeCell ref="B13:B14"/>
    <mergeCell ref="C13:C14"/>
    <mergeCell ref="D13:E13"/>
    <mergeCell ref="F13:F14"/>
    <mergeCell ref="G13:G14"/>
    <mergeCell ref="G16:G20"/>
    <mergeCell ref="F21:G21"/>
    <mergeCell ref="F25:G25"/>
    <mergeCell ref="G27:G30"/>
    <mergeCell ref="G31:G33"/>
    <mergeCell ref="D57:E57"/>
    <mergeCell ref="G40:G43"/>
    <mergeCell ref="G44:G46"/>
    <mergeCell ref="G47:G48"/>
    <mergeCell ref="B53:G54"/>
    <mergeCell ref="D55:E55"/>
    <mergeCell ref="D56:E5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1:AL57"/>
  <sheetViews>
    <sheetView workbookViewId="0">
      <pane xSplit="7" ySplit="15" topLeftCell="H16" activePane="bottomRight" state="frozen"/>
      <selection activeCell="K28" sqref="K28"/>
      <selection pane="topRight" activeCell="K28" sqref="K28"/>
      <selection pane="bottomLeft" activeCell="K28" sqref="K28"/>
      <selection pane="bottomRight" activeCell="I28" sqref="I28"/>
    </sheetView>
  </sheetViews>
  <sheetFormatPr defaultRowHeight="15"/>
  <cols>
    <col min="1" max="1" width="2.85546875" style="67" customWidth="1"/>
    <col min="2" max="2" width="22" style="67" bestFit="1" customWidth="1"/>
    <col min="3" max="3" width="17.85546875" style="67" bestFit="1" customWidth="1"/>
    <col min="4" max="4" width="12.42578125" style="67" customWidth="1"/>
    <col min="5" max="5" width="11" style="67" bestFit="1" customWidth="1"/>
    <col min="6" max="6" width="37.42578125" style="67" bestFit="1" customWidth="1"/>
    <col min="7" max="7" width="36.85546875" style="67" bestFit="1" customWidth="1"/>
    <col min="8" max="38" width="9.140625" style="81"/>
    <col min="39" max="16384" width="9.140625" style="67"/>
  </cols>
  <sheetData>
    <row r="1" spans="2:8" ht="8.25" customHeight="1"/>
    <row r="2" spans="2:8">
      <c r="B2" s="323" t="e">
        <f>F2/الرئيسية!H18</f>
        <v>#DIV/0!</v>
      </c>
      <c r="C2" s="323"/>
      <c r="D2" s="312" t="s">
        <v>101</v>
      </c>
      <c r="E2" s="312"/>
      <c r="F2" s="311">
        <f>الرئيسية!I18</f>
        <v>0</v>
      </c>
      <c r="G2" s="312" t="s">
        <v>12</v>
      </c>
    </row>
    <row r="3" spans="2:8">
      <c r="B3" s="323"/>
      <c r="C3" s="323"/>
      <c r="D3" s="312"/>
      <c r="E3" s="312"/>
      <c r="F3" s="311"/>
      <c r="G3" s="312"/>
    </row>
    <row r="4" spans="2:8" ht="5.25" customHeight="1" thickBot="1">
      <c r="B4" s="116"/>
      <c r="C4" s="116"/>
      <c r="D4" s="116"/>
      <c r="E4" s="116"/>
      <c r="F4" s="116"/>
      <c r="G4" s="116"/>
    </row>
    <row r="5" spans="2:8">
      <c r="B5" s="323" t="e">
        <f>F5/B2</f>
        <v>#DIV/0!</v>
      </c>
      <c r="C5" s="323"/>
      <c r="D5" s="312" t="s">
        <v>100</v>
      </c>
      <c r="E5" s="312"/>
      <c r="F5" s="292">
        <v>1</v>
      </c>
      <c r="G5" s="312" t="s">
        <v>99</v>
      </c>
    </row>
    <row r="6" spans="2:8" ht="15.75" thickBot="1">
      <c r="B6" s="323"/>
      <c r="C6" s="323"/>
      <c r="D6" s="312"/>
      <c r="E6" s="312"/>
      <c r="F6" s="293"/>
      <c r="G6" s="312"/>
    </row>
    <row r="7" spans="2:8" ht="4.5" customHeight="1" thickBot="1">
      <c r="B7" s="117"/>
      <c r="C7" s="117"/>
      <c r="D7" s="117"/>
      <c r="E7" s="117"/>
      <c r="F7" s="117"/>
      <c r="G7" s="117"/>
    </row>
    <row r="8" spans="2:8">
      <c r="B8" s="310" t="e">
        <f>B57</f>
        <v>#DIV/0!</v>
      </c>
      <c r="C8" s="311"/>
      <c r="D8" s="312" t="s">
        <v>103</v>
      </c>
      <c r="E8" s="312"/>
      <c r="F8" s="285"/>
      <c r="G8" s="312" t="s">
        <v>102</v>
      </c>
    </row>
    <row r="9" spans="2:8" ht="15.75" thickBot="1">
      <c r="B9" s="311"/>
      <c r="C9" s="311"/>
      <c r="D9" s="312"/>
      <c r="E9" s="312"/>
      <c r="F9" s="286"/>
      <c r="G9" s="312"/>
    </row>
    <row r="10" spans="2:8" ht="6" customHeight="1">
      <c r="B10" s="66"/>
      <c r="C10" s="66"/>
      <c r="D10" s="138"/>
      <c r="E10" s="138"/>
      <c r="F10" s="66"/>
      <c r="G10" s="66"/>
    </row>
    <row r="11" spans="2:8" ht="24" thickBot="1">
      <c r="B11" s="313" t="e">
        <f>B21+B25+B38+B50</f>
        <v>#DIV/0!</v>
      </c>
      <c r="C11" s="313"/>
      <c r="D11" s="143" t="s">
        <v>90</v>
      </c>
      <c r="E11" s="144">
        <f>F5</f>
        <v>1</v>
      </c>
      <c r="F11" s="142">
        <f>الرئيسية!J18</f>
        <v>0</v>
      </c>
      <c r="G11" s="207" t="s">
        <v>119</v>
      </c>
    </row>
    <row r="12" spans="2:8" ht="6" customHeight="1" thickBot="1">
      <c r="B12" s="139"/>
      <c r="C12" s="139"/>
      <c r="D12" s="140"/>
      <c r="E12" s="140"/>
      <c r="F12" s="141"/>
      <c r="G12" s="66"/>
    </row>
    <row r="13" spans="2:8" ht="18">
      <c r="B13" s="314" t="s">
        <v>81</v>
      </c>
      <c r="C13" s="316" t="s">
        <v>82</v>
      </c>
      <c r="D13" s="318" t="s">
        <v>83</v>
      </c>
      <c r="E13" s="314"/>
      <c r="F13" s="319" t="s">
        <v>18</v>
      </c>
      <c r="G13" s="321" t="s">
        <v>84</v>
      </c>
    </row>
    <row r="14" spans="2:8" ht="18.75" thickBot="1">
      <c r="B14" s="315"/>
      <c r="C14" s="317"/>
      <c r="D14" s="76" t="s">
        <v>85</v>
      </c>
      <c r="E14" s="77" t="s">
        <v>86</v>
      </c>
      <c r="F14" s="320"/>
      <c r="G14" s="322"/>
    </row>
    <row r="15" spans="2:8" ht="18.75" thickBot="1">
      <c r="B15" s="68"/>
      <c r="C15" s="68"/>
      <c r="D15" s="69"/>
      <c r="E15" s="68"/>
    </row>
    <row r="16" spans="2:8">
      <c r="B16" s="119">
        <f>C16*D16</f>
        <v>0</v>
      </c>
      <c r="C16" s="120">
        <f>'اجمالي التكاليف خلال الفترة'!H11</f>
        <v>0</v>
      </c>
      <c r="D16" s="152">
        <v>1</v>
      </c>
      <c r="E16" s="74" t="s">
        <v>87</v>
      </c>
      <c r="F16" s="74" t="str">
        <f>'اجمالي التكاليف خلال الفترة'!I11</f>
        <v>خام 1</v>
      </c>
      <c r="G16" s="287" t="s">
        <v>88</v>
      </c>
      <c r="H16" s="205"/>
    </row>
    <row r="17" spans="2:8">
      <c r="B17" s="119">
        <f>C17*D17</f>
        <v>0</v>
      </c>
      <c r="C17" s="121">
        <f>'اجمالي التكاليف خلال الفترة'!H12</f>
        <v>0</v>
      </c>
      <c r="D17" s="153">
        <v>1</v>
      </c>
      <c r="E17" s="90" t="s">
        <v>89</v>
      </c>
      <c r="F17" s="65" t="str">
        <f>'اجمالي التكاليف خلال الفترة'!I12</f>
        <v>خام 2</v>
      </c>
      <c r="G17" s="288"/>
      <c r="H17" s="205"/>
    </row>
    <row r="18" spans="2:8">
      <c r="B18" s="119">
        <f t="shared" ref="B18:B20" si="0">C18*D18</f>
        <v>0</v>
      </c>
      <c r="C18" s="121">
        <f>'اجمالي التكاليف خلال الفترة'!H13</f>
        <v>0</v>
      </c>
      <c r="D18" s="153">
        <v>1</v>
      </c>
      <c r="E18" s="90" t="s">
        <v>87</v>
      </c>
      <c r="F18" s="65" t="str">
        <f>'اجمالي التكاليف خلال الفترة'!I13</f>
        <v>خام 3</v>
      </c>
      <c r="G18" s="288"/>
      <c r="H18" s="205"/>
    </row>
    <row r="19" spans="2:8">
      <c r="B19" s="119">
        <f t="shared" si="0"/>
        <v>0</v>
      </c>
      <c r="C19" s="121">
        <f>'اجمالي التكاليف خلال الفترة'!H14</f>
        <v>0</v>
      </c>
      <c r="D19" s="153">
        <v>1</v>
      </c>
      <c r="E19" s="90" t="s">
        <v>89</v>
      </c>
      <c r="F19" s="65" t="str">
        <f>'اجمالي التكاليف خلال الفترة'!I14</f>
        <v>خام 4</v>
      </c>
      <c r="G19" s="288"/>
      <c r="H19" s="205"/>
    </row>
    <row r="20" spans="2:8" ht="15.75" thickBot="1">
      <c r="B20" s="119">
        <f t="shared" si="0"/>
        <v>0</v>
      </c>
      <c r="C20" s="121">
        <f>'اجمالي التكاليف خلال الفترة'!H15</f>
        <v>0</v>
      </c>
      <c r="D20" s="154">
        <v>1</v>
      </c>
      <c r="E20" s="93" t="s">
        <v>87</v>
      </c>
      <c r="F20" s="65" t="str">
        <f>'اجمالي التكاليف خلال الفترة'!I15</f>
        <v>خام 5</v>
      </c>
      <c r="G20" s="288"/>
      <c r="H20" s="205"/>
    </row>
    <row r="21" spans="2:8" ht="21" thickBot="1">
      <c r="B21" s="122">
        <f>SUM(B16:B20)*D21</f>
        <v>0</v>
      </c>
      <c r="C21" s="70" t="s">
        <v>90</v>
      </c>
      <c r="D21" s="95">
        <f>F5</f>
        <v>1</v>
      </c>
      <c r="E21" s="94" t="s">
        <v>93</v>
      </c>
      <c r="F21" s="307" t="s">
        <v>92</v>
      </c>
      <c r="G21" s="307"/>
      <c r="H21" s="205"/>
    </row>
    <row r="22" spans="2:8" ht="15.75" thickBot="1">
      <c r="H22" s="205"/>
    </row>
    <row r="23" spans="2:8" ht="20.25">
      <c r="B23" s="123" t="e">
        <f>D23*C23</f>
        <v>#DIV/0!</v>
      </c>
      <c r="C23" s="126" t="e">
        <f>'توزيع التكاليف'!E10/الرئيسية!$H$18</f>
        <v>#DIV/0!</v>
      </c>
      <c r="D23" s="91" t="e">
        <f>$B$5</f>
        <v>#DIV/0!</v>
      </c>
      <c r="E23" s="84" t="s">
        <v>4</v>
      </c>
      <c r="F23" s="85" t="s">
        <v>94</v>
      </c>
      <c r="G23" s="86" t="s">
        <v>46</v>
      </c>
      <c r="H23" s="205"/>
    </row>
    <row r="24" spans="2:8" ht="21" thickBot="1">
      <c r="B24" s="124" t="e">
        <f>D24*C24</f>
        <v>#DIV/0!</v>
      </c>
      <c r="C24" s="127" t="e">
        <f>'توزيع التكاليف'!E9/الرئيسية!$H$18</f>
        <v>#DIV/0!</v>
      </c>
      <c r="D24" s="92" t="e">
        <f>$B$5</f>
        <v>#DIV/0!</v>
      </c>
      <c r="E24" s="87" t="s">
        <v>4</v>
      </c>
      <c r="F24" s="88" t="s">
        <v>95</v>
      </c>
      <c r="G24" s="89" t="s">
        <v>96</v>
      </c>
      <c r="H24" s="205"/>
    </row>
    <row r="25" spans="2:8" ht="21" thickBot="1">
      <c r="B25" s="125" t="e">
        <f>SUM(B23:B24)</f>
        <v>#DIV/0!</v>
      </c>
      <c r="C25" s="79" t="s">
        <v>90</v>
      </c>
      <c r="D25" s="80">
        <f>F5</f>
        <v>1</v>
      </c>
      <c r="E25" s="78" t="s">
        <v>98</v>
      </c>
      <c r="F25" s="308" t="s">
        <v>97</v>
      </c>
      <c r="G25" s="309"/>
      <c r="H25" s="205"/>
    </row>
    <row r="26" spans="2:8" ht="15.75" thickBot="1"/>
    <row r="27" spans="2:8">
      <c r="B27" s="128" t="e">
        <f>D27*C27</f>
        <v>#DIV/0!</v>
      </c>
      <c r="C27" s="129" t="e">
        <f>'توزيع التكاليف'!E13/الرئيسية!$H$18</f>
        <v>#DIV/0!</v>
      </c>
      <c r="D27" s="97" t="e">
        <f>$B$5</f>
        <v>#DIV/0!</v>
      </c>
      <c r="E27" s="98" t="s">
        <v>4</v>
      </c>
      <c r="F27" s="98" t="str">
        <f>'اجمالي التكاليف خلال الفترة'!F6</f>
        <v>تكلفة متغيرة 1</v>
      </c>
      <c r="G27" s="277" t="s">
        <v>105</v>
      </c>
    </row>
    <row r="28" spans="2:8">
      <c r="B28" s="130" t="e">
        <f>D28*C28</f>
        <v>#DIV/0!</v>
      </c>
      <c r="C28" s="131" t="e">
        <f>'توزيع التكاليف'!E14/الرئيسية!$H$18</f>
        <v>#DIV/0!</v>
      </c>
      <c r="D28" s="101" t="e">
        <f>$B$5</f>
        <v>#DIV/0!</v>
      </c>
      <c r="E28" s="102" t="s">
        <v>4</v>
      </c>
      <c r="F28" s="102" t="str">
        <f>'اجمالي التكاليف خلال الفترة'!F7</f>
        <v>تكلفة متغيرة 2</v>
      </c>
      <c r="G28" s="278"/>
    </row>
    <row r="29" spans="2:8">
      <c r="B29" s="130" t="e">
        <f t="shared" ref="B29:B36" si="1">D29*C29</f>
        <v>#DIV/0!</v>
      </c>
      <c r="C29" s="131" t="e">
        <f>'توزيع التكاليف'!E15/الرئيسية!$H$18</f>
        <v>#DIV/0!</v>
      </c>
      <c r="D29" s="101" t="e">
        <f t="shared" ref="D29:D37" si="2">$B$5</f>
        <v>#DIV/0!</v>
      </c>
      <c r="E29" s="102" t="s">
        <v>4</v>
      </c>
      <c r="F29" s="102" t="str">
        <f>'اجمالي التكاليف خلال الفترة'!F8</f>
        <v>تكلفة متغيرة 3</v>
      </c>
      <c r="G29" s="278"/>
    </row>
    <row r="30" spans="2:8">
      <c r="B30" s="130" t="e">
        <f t="shared" si="1"/>
        <v>#DIV/0!</v>
      </c>
      <c r="C30" s="131" t="e">
        <f>'توزيع التكاليف'!E16/الرئيسية!$H$18</f>
        <v>#DIV/0!</v>
      </c>
      <c r="D30" s="101" t="e">
        <f t="shared" si="2"/>
        <v>#DIV/0!</v>
      </c>
      <c r="E30" s="102" t="s">
        <v>4</v>
      </c>
      <c r="F30" s="102" t="str">
        <f>'اجمالي التكاليف خلال الفترة'!F9</f>
        <v>تكلفة متغيرة 4</v>
      </c>
      <c r="G30" s="278"/>
    </row>
    <row r="31" spans="2:8">
      <c r="B31" s="130" t="e">
        <f t="shared" si="1"/>
        <v>#DIV/0!</v>
      </c>
      <c r="C31" s="131" t="e">
        <f>'توزيع التكاليف'!E17/الرئيسية!$H$18</f>
        <v>#DIV/0!</v>
      </c>
      <c r="D31" s="101" t="e">
        <f t="shared" si="2"/>
        <v>#DIV/0!</v>
      </c>
      <c r="E31" s="102" t="s">
        <v>4</v>
      </c>
      <c r="F31" s="102" t="str">
        <f>'اجمالي التكاليف خلال الفترة'!F10</f>
        <v>تكلفة متغيرة 5</v>
      </c>
      <c r="G31" s="279" t="s">
        <v>106</v>
      </c>
    </row>
    <row r="32" spans="2:8">
      <c r="B32" s="130" t="e">
        <f t="shared" si="1"/>
        <v>#DIV/0!</v>
      </c>
      <c r="C32" s="131" t="e">
        <f>'توزيع التكاليف'!E18/الرئيسية!$H$18</f>
        <v>#DIV/0!</v>
      </c>
      <c r="D32" s="101" t="e">
        <f t="shared" si="2"/>
        <v>#DIV/0!</v>
      </c>
      <c r="E32" s="75" t="s">
        <v>4</v>
      </c>
      <c r="F32" s="102" t="str">
        <f>'اجمالي التكاليف خلال الفترة'!F11</f>
        <v>تكلفة متغيرة 6</v>
      </c>
      <c r="G32" s="279"/>
    </row>
    <row r="33" spans="2:7">
      <c r="B33" s="130" t="e">
        <f t="shared" si="1"/>
        <v>#DIV/0!</v>
      </c>
      <c r="C33" s="131" t="e">
        <f>'توزيع التكاليف'!E19/الرئيسية!$H$18</f>
        <v>#DIV/0!</v>
      </c>
      <c r="D33" s="101" t="e">
        <f t="shared" si="2"/>
        <v>#DIV/0!</v>
      </c>
      <c r="E33" s="75" t="s">
        <v>4</v>
      </c>
      <c r="F33" s="102" t="str">
        <f>'اجمالي التكاليف خلال الفترة'!F12</f>
        <v>تكلفة متغيرة 7</v>
      </c>
      <c r="G33" s="279"/>
    </row>
    <row r="34" spans="2:7">
      <c r="B34" s="130" t="e">
        <f t="shared" si="1"/>
        <v>#DIV/0!</v>
      </c>
      <c r="C34" s="131" t="e">
        <f>'توزيع التكاليف'!E20/الرئيسية!$H$18</f>
        <v>#DIV/0!</v>
      </c>
      <c r="D34" s="101" t="e">
        <f t="shared" si="2"/>
        <v>#DIV/0!</v>
      </c>
      <c r="E34" s="75" t="s">
        <v>4</v>
      </c>
      <c r="F34" s="102" t="str">
        <f>'اجمالي التكاليف خلال الفترة'!F13</f>
        <v>تكلفة متغيرة 8</v>
      </c>
      <c r="G34" s="280" t="s">
        <v>107</v>
      </c>
    </row>
    <row r="35" spans="2:7">
      <c r="B35" s="130" t="e">
        <f t="shared" si="1"/>
        <v>#DIV/0!</v>
      </c>
      <c r="C35" s="131" t="e">
        <f>'توزيع التكاليف'!E21/الرئيسية!$H$18</f>
        <v>#DIV/0!</v>
      </c>
      <c r="D35" s="101" t="e">
        <f t="shared" si="2"/>
        <v>#DIV/0!</v>
      </c>
      <c r="E35" s="96" t="s">
        <v>4</v>
      </c>
      <c r="F35" s="102" t="str">
        <f>'اجمالي التكاليف خلال الفترة'!F14</f>
        <v>تكلفة متغيرة 9</v>
      </c>
      <c r="G35" s="280"/>
    </row>
    <row r="36" spans="2:7" ht="20.25">
      <c r="B36" s="130" t="e">
        <f t="shared" si="1"/>
        <v>#DIV/0!</v>
      </c>
      <c r="C36" s="131" t="e">
        <f>'توزيع التكاليف'!E22/الرئيسية!$H$18</f>
        <v>#DIV/0!</v>
      </c>
      <c r="D36" s="101" t="e">
        <f t="shared" si="2"/>
        <v>#DIV/0!</v>
      </c>
      <c r="E36" s="96" t="s">
        <v>4</v>
      </c>
      <c r="F36" s="102" t="str">
        <f>'اجمالي التكاليف خلال الفترة'!F15</f>
        <v>تكلفة متغيرة 10</v>
      </c>
      <c r="G36" s="99"/>
    </row>
    <row r="37" spans="2:7" ht="21" thickBot="1">
      <c r="B37" s="130" t="e">
        <f>D37*C37</f>
        <v>#DIV/0!</v>
      </c>
      <c r="C37" s="131" t="e">
        <f>'اهلاك خطوط الانتاج'!C2/F5*B5</f>
        <v>#DIV/0!</v>
      </c>
      <c r="D37" s="101" t="e">
        <f t="shared" si="2"/>
        <v>#DIV/0!</v>
      </c>
      <c r="E37" s="118" t="s">
        <v>4</v>
      </c>
      <c r="F37" s="102" t="str">
        <f>'اهلاك خطوط الانتاج'!$D$2</f>
        <v>اهلاك خط الانتاج</v>
      </c>
      <c r="G37" s="100"/>
    </row>
    <row r="38" spans="2:7" ht="21" thickBot="1">
      <c r="B38" s="132" t="e">
        <f>SUM(B27:B37)</f>
        <v>#DIV/0!</v>
      </c>
      <c r="C38" s="71" t="s">
        <v>90</v>
      </c>
      <c r="D38" s="72">
        <f>F5</f>
        <v>1</v>
      </c>
      <c r="E38" s="73" t="s">
        <v>91</v>
      </c>
      <c r="F38" s="82" t="s">
        <v>104</v>
      </c>
      <c r="G38" s="83"/>
    </row>
    <row r="39" spans="2:7" ht="15.75" thickBot="1"/>
    <row r="40" spans="2:7">
      <c r="B40" s="133" t="e">
        <f>D40*C40</f>
        <v>#DIV/0!</v>
      </c>
      <c r="C40" s="134" t="e">
        <f>'توزيع التكاليف'!E25/الرئيسية!$H$18</f>
        <v>#DIV/0!</v>
      </c>
      <c r="D40" s="107" t="e">
        <f>$B$5</f>
        <v>#DIV/0!</v>
      </c>
      <c r="E40" s="108" t="s">
        <v>4</v>
      </c>
      <c r="F40" s="108" t="str">
        <f>'اجمالي التكاليف خلال الفترة'!C6</f>
        <v>تكلفة ثابتة 1</v>
      </c>
      <c r="G40" s="271" t="s">
        <v>105</v>
      </c>
    </row>
    <row r="41" spans="2:7">
      <c r="B41" s="135" t="e">
        <f>D41*C41</f>
        <v>#DIV/0!</v>
      </c>
      <c r="C41" s="136" t="e">
        <f>'توزيع التكاليف'!E26/الرئيسية!$H$18</f>
        <v>#DIV/0!</v>
      </c>
      <c r="D41" s="109" t="e">
        <f>$B$5</f>
        <v>#DIV/0!</v>
      </c>
      <c r="E41" s="110" t="s">
        <v>4</v>
      </c>
      <c r="F41" s="110" t="str">
        <f>'اجمالي التكاليف خلال الفترة'!C7</f>
        <v>تكلفة ثابتة 2</v>
      </c>
      <c r="G41" s="272"/>
    </row>
    <row r="42" spans="2:7">
      <c r="B42" s="135" t="e">
        <f t="shared" ref="B42:B49" si="3">D42*C42</f>
        <v>#DIV/0!</v>
      </c>
      <c r="C42" s="136" t="e">
        <f>'توزيع التكاليف'!E27/الرئيسية!$H$18</f>
        <v>#DIV/0!</v>
      </c>
      <c r="D42" s="109" t="e">
        <f t="shared" ref="D42:D49" si="4">$B$5</f>
        <v>#DIV/0!</v>
      </c>
      <c r="E42" s="110" t="s">
        <v>4</v>
      </c>
      <c r="F42" s="110" t="str">
        <f>'اجمالي التكاليف خلال الفترة'!C8</f>
        <v>تكلفة ثابتة 3</v>
      </c>
      <c r="G42" s="272"/>
    </row>
    <row r="43" spans="2:7">
      <c r="B43" s="135" t="e">
        <f t="shared" si="3"/>
        <v>#DIV/0!</v>
      </c>
      <c r="C43" s="136" t="e">
        <f>'توزيع التكاليف'!E28/الرئيسية!$H$18</f>
        <v>#DIV/0!</v>
      </c>
      <c r="D43" s="109" t="e">
        <f t="shared" si="4"/>
        <v>#DIV/0!</v>
      </c>
      <c r="E43" s="110" t="s">
        <v>4</v>
      </c>
      <c r="F43" s="110" t="str">
        <f>'اجمالي التكاليف خلال الفترة'!C9</f>
        <v>تكلفة ثابتة 4</v>
      </c>
      <c r="G43" s="272"/>
    </row>
    <row r="44" spans="2:7">
      <c r="B44" s="135" t="e">
        <f t="shared" si="3"/>
        <v>#DIV/0!</v>
      </c>
      <c r="C44" s="136" t="e">
        <f>'توزيع التكاليف'!E29/الرئيسية!$H$18</f>
        <v>#DIV/0!</v>
      </c>
      <c r="D44" s="109" t="e">
        <f t="shared" si="4"/>
        <v>#DIV/0!</v>
      </c>
      <c r="E44" s="110" t="s">
        <v>4</v>
      </c>
      <c r="F44" s="110" t="str">
        <f>'اجمالي التكاليف خلال الفترة'!C10</f>
        <v>تكلفة ثابتة 5</v>
      </c>
      <c r="G44" s="273" t="s">
        <v>106</v>
      </c>
    </row>
    <row r="45" spans="2:7">
      <c r="B45" s="135" t="e">
        <f t="shared" si="3"/>
        <v>#DIV/0!</v>
      </c>
      <c r="C45" s="136" t="e">
        <f>'توزيع التكاليف'!E30/الرئيسية!$H$18</f>
        <v>#DIV/0!</v>
      </c>
      <c r="D45" s="109" t="e">
        <f t="shared" si="4"/>
        <v>#DIV/0!</v>
      </c>
      <c r="E45" s="111" t="s">
        <v>4</v>
      </c>
      <c r="F45" s="110" t="str">
        <f>'اجمالي التكاليف خلال الفترة'!C11</f>
        <v>تكلفة ثابتة 6</v>
      </c>
      <c r="G45" s="273"/>
    </row>
    <row r="46" spans="2:7">
      <c r="B46" s="135" t="e">
        <f t="shared" si="3"/>
        <v>#DIV/0!</v>
      </c>
      <c r="C46" s="136" t="e">
        <f>'توزيع التكاليف'!E31/الرئيسية!$H$18</f>
        <v>#DIV/0!</v>
      </c>
      <c r="D46" s="109" t="e">
        <f t="shared" si="4"/>
        <v>#DIV/0!</v>
      </c>
      <c r="E46" s="111" t="s">
        <v>4</v>
      </c>
      <c r="F46" s="110" t="str">
        <f>'اجمالي التكاليف خلال الفترة'!C12</f>
        <v>تكلفة ثابتة 7</v>
      </c>
      <c r="G46" s="273"/>
    </row>
    <row r="47" spans="2:7">
      <c r="B47" s="135" t="e">
        <f t="shared" si="3"/>
        <v>#DIV/0!</v>
      </c>
      <c r="C47" s="136" t="e">
        <f>'توزيع التكاليف'!E32/الرئيسية!$H$18</f>
        <v>#DIV/0!</v>
      </c>
      <c r="D47" s="109" t="e">
        <f t="shared" si="4"/>
        <v>#DIV/0!</v>
      </c>
      <c r="E47" s="111" t="s">
        <v>4</v>
      </c>
      <c r="F47" s="110" t="str">
        <f>'اجمالي التكاليف خلال الفترة'!C13</f>
        <v>تكلفة ثابتة 8</v>
      </c>
      <c r="G47" s="274" t="s">
        <v>108</v>
      </c>
    </row>
    <row r="48" spans="2:7">
      <c r="B48" s="135" t="e">
        <f t="shared" si="3"/>
        <v>#DIV/0!</v>
      </c>
      <c r="C48" s="136" t="e">
        <f>'توزيع التكاليف'!E33/الرئيسية!$H$18</f>
        <v>#DIV/0!</v>
      </c>
      <c r="D48" s="109" t="e">
        <f t="shared" si="4"/>
        <v>#DIV/0!</v>
      </c>
      <c r="E48" s="112" t="s">
        <v>4</v>
      </c>
      <c r="F48" s="110" t="str">
        <f>'اجمالي التكاليف خلال الفترة'!C14</f>
        <v>تكلفة ثابتة 9</v>
      </c>
      <c r="G48" s="274"/>
    </row>
    <row r="49" spans="2:7" ht="21" thickBot="1">
      <c r="B49" s="135" t="e">
        <f t="shared" si="3"/>
        <v>#DIV/0!</v>
      </c>
      <c r="C49" s="136" t="e">
        <f>'توزيع التكاليف'!E34/الرئيسية!$H$18</f>
        <v>#DIV/0!</v>
      </c>
      <c r="D49" s="109" t="e">
        <f t="shared" si="4"/>
        <v>#DIV/0!</v>
      </c>
      <c r="E49" s="113" t="s">
        <v>4</v>
      </c>
      <c r="F49" s="110" t="str">
        <f>'اجمالي التكاليف خلال الفترة'!C15</f>
        <v>تكلفة ثابتة 10</v>
      </c>
      <c r="G49" s="106"/>
    </row>
    <row r="50" spans="2:7" ht="21" thickBot="1">
      <c r="B50" s="137" t="e">
        <f>SUM(B40:B49)</f>
        <v>#DIV/0!</v>
      </c>
      <c r="C50" s="114" t="s">
        <v>90</v>
      </c>
      <c r="D50" s="115">
        <f>F5</f>
        <v>1</v>
      </c>
      <c r="E50" s="103" t="s">
        <v>91</v>
      </c>
      <c r="F50" s="104" t="s">
        <v>104</v>
      </c>
      <c r="G50" s="105"/>
    </row>
    <row r="53" spans="2:7">
      <c r="B53" s="304" t="s">
        <v>110</v>
      </c>
      <c r="C53" s="304"/>
      <c r="D53" s="304"/>
      <c r="E53" s="304"/>
      <c r="F53" s="304"/>
      <c r="G53" s="304"/>
    </row>
    <row r="54" spans="2:7">
      <c r="B54" s="305"/>
      <c r="C54" s="305"/>
      <c r="D54" s="305"/>
      <c r="E54" s="305"/>
      <c r="F54" s="305"/>
      <c r="G54" s="305"/>
    </row>
    <row r="55" spans="2:7" ht="18.75">
      <c r="B55" s="150" t="s">
        <v>116</v>
      </c>
      <c r="C55" s="148" t="s">
        <v>113</v>
      </c>
      <c r="D55" s="306" t="s">
        <v>112</v>
      </c>
      <c r="E55" s="306"/>
      <c r="F55" s="146" t="s">
        <v>102</v>
      </c>
      <c r="G55" s="145" t="s">
        <v>112</v>
      </c>
    </row>
    <row r="56" spans="2:7" ht="18.75">
      <c r="B56" s="150" t="s">
        <v>117</v>
      </c>
      <c r="C56" s="148" t="s">
        <v>114</v>
      </c>
      <c r="D56" s="306" t="s">
        <v>115</v>
      </c>
      <c r="E56" s="306"/>
      <c r="F56" s="146" t="s">
        <v>114</v>
      </c>
      <c r="G56" s="145" t="s">
        <v>111</v>
      </c>
    </row>
    <row r="57" spans="2:7" ht="15.75">
      <c r="B57" s="151" t="e">
        <f>G57/(F57-C57)</f>
        <v>#DIV/0!</v>
      </c>
      <c r="C57" s="149" t="e">
        <f>D57/F5</f>
        <v>#DIV/0!</v>
      </c>
      <c r="D57" s="303" t="e">
        <f>B38+B21+B24</f>
        <v>#DIV/0!</v>
      </c>
      <c r="E57" s="303"/>
      <c r="F57" s="147">
        <f>F8</f>
        <v>0</v>
      </c>
      <c r="G57" s="202" t="e">
        <f>'توزيع التكاليف'!E24+'توزيع التكاليف'!E10</f>
        <v>#DIV/0!</v>
      </c>
    </row>
  </sheetData>
  <mergeCells count="31">
    <mergeCell ref="B2:C3"/>
    <mergeCell ref="D2:E3"/>
    <mergeCell ref="F2:F3"/>
    <mergeCell ref="G2:G3"/>
    <mergeCell ref="B5:C6"/>
    <mergeCell ref="D5:E6"/>
    <mergeCell ref="F5:F6"/>
    <mergeCell ref="G5:G6"/>
    <mergeCell ref="G34:G35"/>
    <mergeCell ref="B8:C9"/>
    <mergeCell ref="D8:E9"/>
    <mergeCell ref="F8:F9"/>
    <mergeCell ref="G8:G9"/>
    <mergeCell ref="B11:C11"/>
    <mergeCell ref="B13:B14"/>
    <mergeCell ref="C13:C14"/>
    <mergeCell ref="D13:E13"/>
    <mergeCell ref="F13:F14"/>
    <mergeCell ref="G13:G14"/>
    <mergeCell ref="G16:G20"/>
    <mergeCell ref="F21:G21"/>
    <mergeCell ref="F25:G25"/>
    <mergeCell ref="G27:G30"/>
    <mergeCell ref="G31:G33"/>
    <mergeCell ref="D57:E57"/>
    <mergeCell ref="G40:G43"/>
    <mergeCell ref="G44:G46"/>
    <mergeCell ref="G47:G48"/>
    <mergeCell ref="B53:G54"/>
    <mergeCell ref="D55:E55"/>
    <mergeCell ref="D56:E5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B1:AL57"/>
  <sheetViews>
    <sheetView workbookViewId="0">
      <pane xSplit="7" ySplit="15" topLeftCell="H16" activePane="bottomRight" state="frozen"/>
      <selection activeCell="I28" sqref="I28"/>
      <selection pane="topRight" activeCell="I28" sqref="I28"/>
      <selection pane="bottomLeft" activeCell="I28" sqref="I28"/>
      <selection pane="bottomRight" activeCell="I28" sqref="I28"/>
    </sheetView>
  </sheetViews>
  <sheetFormatPr defaultRowHeight="15"/>
  <cols>
    <col min="1" max="1" width="2.85546875" style="67" customWidth="1"/>
    <col min="2" max="2" width="22" style="67" bestFit="1" customWidth="1"/>
    <col min="3" max="3" width="17.85546875" style="67" bestFit="1" customWidth="1"/>
    <col min="4" max="4" width="12.42578125" style="67" customWidth="1"/>
    <col min="5" max="5" width="11" style="67" bestFit="1" customWidth="1"/>
    <col min="6" max="6" width="37.42578125" style="67" bestFit="1" customWidth="1"/>
    <col min="7" max="7" width="36.85546875" style="67" bestFit="1" customWidth="1"/>
    <col min="8" max="38" width="9.140625" style="81"/>
    <col min="39" max="16384" width="9.140625" style="67"/>
  </cols>
  <sheetData>
    <row r="1" spans="2:8" ht="8.25" customHeight="1"/>
    <row r="2" spans="2:8">
      <c r="B2" s="323" t="e">
        <f>F2/الرئيسية!H22</f>
        <v>#DIV/0!</v>
      </c>
      <c r="C2" s="323"/>
      <c r="D2" s="312" t="s">
        <v>101</v>
      </c>
      <c r="E2" s="312"/>
      <c r="F2" s="311">
        <f>الرئيسية!I22</f>
        <v>0</v>
      </c>
      <c r="G2" s="312" t="s">
        <v>12</v>
      </c>
    </row>
    <row r="3" spans="2:8">
      <c r="B3" s="323"/>
      <c r="C3" s="323"/>
      <c r="D3" s="312"/>
      <c r="E3" s="312"/>
      <c r="F3" s="311"/>
      <c r="G3" s="312"/>
    </row>
    <row r="4" spans="2:8" ht="5.25" customHeight="1" thickBot="1">
      <c r="B4" s="116"/>
      <c r="C4" s="116"/>
      <c r="D4" s="116"/>
      <c r="E4" s="116"/>
      <c r="F4" s="116"/>
      <c r="G4" s="116"/>
    </row>
    <row r="5" spans="2:8">
      <c r="B5" s="323" t="e">
        <f>F5/B2</f>
        <v>#DIV/0!</v>
      </c>
      <c r="C5" s="323"/>
      <c r="D5" s="312" t="s">
        <v>100</v>
      </c>
      <c r="E5" s="312"/>
      <c r="F5" s="292">
        <v>1</v>
      </c>
      <c r="G5" s="312" t="s">
        <v>99</v>
      </c>
    </row>
    <row r="6" spans="2:8" ht="15.75" thickBot="1">
      <c r="B6" s="323"/>
      <c r="C6" s="323"/>
      <c r="D6" s="312"/>
      <c r="E6" s="312"/>
      <c r="F6" s="293"/>
      <c r="G6" s="312"/>
    </row>
    <row r="7" spans="2:8" ht="4.5" customHeight="1" thickBot="1">
      <c r="B7" s="117"/>
      <c r="C7" s="117"/>
      <c r="D7" s="117"/>
      <c r="E7" s="117"/>
      <c r="F7" s="117"/>
      <c r="G7" s="117"/>
    </row>
    <row r="8" spans="2:8">
      <c r="B8" s="310" t="e">
        <f>B57</f>
        <v>#DIV/0!</v>
      </c>
      <c r="C8" s="311"/>
      <c r="D8" s="312" t="s">
        <v>103</v>
      </c>
      <c r="E8" s="312"/>
      <c r="F8" s="285"/>
      <c r="G8" s="312" t="s">
        <v>102</v>
      </c>
    </row>
    <row r="9" spans="2:8" ht="15.75" thickBot="1">
      <c r="B9" s="311"/>
      <c r="C9" s="311"/>
      <c r="D9" s="312"/>
      <c r="E9" s="312"/>
      <c r="F9" s="286"/>
      <c r="G9" s="312"/>
    </row>
    <row r="10" spans="2:8" ht="6" customHeight="1">
      <c r="B10" s="66"/>
      <c r="C10" s="66"/>
      <c r="D10" s="138"/>
      <c r="E10" s="138"/>
      <c r="F10" s="66"/>
      <c r="G10" s="66"/>
    </row>
    <row r="11" spans="2:8" ht="24" thickBot="1">
      <c r="B11" s="313" t="e">
        <f>B21+B25+B38+B50</f>
        <v>#DIV/0!</v>
      </c>
      <c r="C11" s="313"/>
      <c r="D11" s="143" t="s">
        <v>90</v>
      </c>
      <c r="E11" s="144">
        <f>F5</f>
        <v>1</v>
      </c>
      <c r="F11" s="142">
        <f>الرئيسية!J22</f>
        <v>0</v>
      </c>
      <c r="G11" s="207" t="s">
        <v>119</v>
      </c>
    </row>
    <row r="12" spans="2:8" ht="6" customHeight="1" thickBot="1">
      <c r="B12" s="139"/>
      <c r="C12" s="139"/>
      <c r="D12" s="140"/>
      <c r="E12" s="140"/>
      <c r="F12" s="141"/>
      <c r="G12" s="66"/>
    </row>
    <row r="13" spans="2:8" ht="18">
      <c r="B13" s="314" t="s">
        <v>81</v>
      </c>
      <c r="C13" s="316" t="s">
        <v>82</v>
      </c>
      <c r="D13" s="318" t="s">
        <v>83</v>
      </c>
      <c r="E13" s="314"/>
      <c r="F13" s="319" t="s">
        <v>18</v>
      </c>
      <c r="G13" s="321" t="s">
        <v>84</v>
      </c>
    </row>
    <row r="14" spans="2:8" ht="18.75" thickBot="1">
      <c r="B14" s="315"/>
      <c r="C14" s="317"/>
      <c r="D14" s="76" t="s">
        <v>85</v>
      </c>
      <c r="E14" s="77" t="s">
        <v>86</v>
      </c>
      <c r="F14" s="320"/>
      <c r="G14" s="322"/>
    </row>
    <row r="15" spans="2:8" ht="18.75" thickBot="1">
      <c r="B15" s="68"/>
      <c r="C15" s="68"/>
      <c r="D15" s="69"/>
      <c r="E15" s="68"/>
    </row>
    <row r="16" spans="2:8">
      <c r="B16" s="119">
        <f>C16*D16</f>
        <v>0</v>
      </c>
      <c r="C16" s="120">
        <f>'اجمالي التكاليف خلال الفترة'!H11</f>
        <v>0</v>
      </c>
      <c r="D16" s="152">
        <v>1</v>
      </c>
      <c r="E16" s="74" t="s">
        <v>87</v>
      </c>
      <c r="F16" s="74" t="str">
        <f>'اجمالي التكاليف خلال الفترة'!I11</f>
        <v>خام 1</v>
      </c>
      <c r="G16" s="287" t="s">
        <v>88</v>
      </c>
      <c r="H16" s="205"/>
    </row>
    <row r="17" spans="2:7">
      <c r="B17" s="119">
        <f>C17*D17</f>
        <v>0</v>
      </c>
      <c r="C17" s="121">
        <f>'اجمالي التكاليف خلال الفترة'!H12</f>
        <v>0</v>
      </c>
      <c r="D17" s="153">
        <v>1</v>
      </c>
      <c r="E17" s="90" t="s">
        <v>89</v>
      </c>
      <c r="F17" s="65" t="str">
        <f>'اجمالي التكاليف خلال الفترة'!I12</f>
        <v>خام 2</v>
      </c>
      <c r="G17" s="288"/>
    </row>
    <row r="18" spans="2:7">
      <c r="B18" s="119">
        <f t="shared" ref="B18:B20" si="0">C18*D18</f>
        <v>0</v>
      </c>
      <c r="C18" s="121">
        <f>'اجمالي التكاليف خلال الفترة'!H13</f>
        <v>0</v>
      </c>
      <c r="D18" s="153">
        <v>1</v>
      </c>
      <c r="E18" s="90" t="s">
        <v>87</v>
      </c>
      <c r="F18" s="65" t="str">
        <f>'اجمالي التكاليف خلال الفترة'!I13</f>
        <v>خام 3</v>
      </c>
      <c r="G18" s="288"/>
    </row>
    <row r="19" spans="2:7">
      <c r="B19" s="119">
        <f t="shared" si="0"/>
        <v>0</v>
      </c>
      <c r="C19" s="121">
        <f>'اجمالي التكاليف خلال الفترة'!H14</f>
        <v>0</v>
      </c>
      <c r="D19" s="153">
        <v>1</v>
      </c>
      <c r="E19" s="90" t="s">
        <v>89</v>
      </c>
      <c r="F19" s="65" t="str">
        <f>'اجمالي التكاليف خلال الفترة'!I14</f>
        <v>خام 4</v>
      </c>
      <c r="G19" s="288"/>
    </row>
    <row r="20" spans="2:7" ht="15.75" thickBot="1">
      <c r="B20" s="119">
        <f t="shared" si="0"/>
        <v>0</v>
      </c>
      <c r="C20" s="121">
        <f>'اجمالي التكاليف خلال الفترة'!H15</f>
        <v>0</v>
      </c>
      <c r="D20" s="154">
        <v>1</v>
      </c>
      <c r="E20" s="93" t="s">
        <v>87</v>
      </c>
      <c r="F20" s="65" t="str">
        <f>'اجمالي التكاليف خلال الفترة'!I15</f>
        <v>خام 5</v>
      </c>
      <c r="G20" s="288"/>
    </row>
    <row r="21" spans="2:7" ht="21" thickBot="1">
      <c r="B21" s="122">
        <f>SUM(B16:B20)*D21</f>
        <v>0</v>
      </c>
      <c r="C21" s="70" t="s">
        <v>90</v>
      </c>
      <c r="D21" s="95">
        <f>F5</f>
        <v>1</v>
      </c>
      <c r="E21" s="94" t="s">
        <v>93</v>
      </c>
      <c r="F21" s="307" t="s">
        <v>92</v>
      </c>
      <c r="G21" s="307"/>
    </row>
    <row r="22" spans="2:7" ht="15.75" thickBot="1"/>
    <row r="23" spans="2:7" ht="20.25">
      <c r="B23" s="123" t="e">
        <f>D23*C23</f>
        <v>#DIV/0!</v>
      </c>
      <c r="C23" s="126" t="e">
        <f>'توزيع التكاليف'!F10/الرئيسية!$H$22</f>
        <v>#DIV/0!</v>
      </c>
      <c r="D23" s="91" t="e">
        <f>$B$5</f>
        <v>#DIV/0!</v>
      </c>
      <c r="E23" s="84" t="s">
        <v>4</v>
      </c>
      <c r="F23" s="85" t="s">
        <v>94</v>
      </c>
      <c r="G23" s="86" t="s">
        <v>46</v>
      </c>
    </row>
    <row r="24" spans="2:7" ht="21" thickBot="1">
      <c r="B24" s="124" t="e">
        <f>D24*C24</f>
        <v>#DIV/0!</v>
      </c>
      <c r="C24" s="127" t="e">
        <f>'توزيع التكاليف'!F9/الرئيسية!$H$22</f>
        <v>#DIV/0!</v>
      </c>
      <c r="D24" s="92" t="e">
        <f>$B$5</f>
        <v>#DIV/0!</v>
      </c>
      <c r="E24" s="87" t="s">
        <v>4</v>
      </c>
      <c r="F24" s="88" t="s">
        <v>95</v>
      </c>
      <c r="G24" s="89" t="s">
        <v>96</v>
      </c>
    </row>
    <row r="25" spans="2:7" ht="21" thickBot="1">
      <c r="B25" s="125" t="e">
        <f>SUM(B23:B24)</f>
        <v>#DIV/0!</v>
      </c>
      <c r="C25" s="79" t="s">
        <v>90</v>
      </c>
      <c r="D25" s="80">
        <f>F5</f>
        <v>1</v>
      </c>
      <c r="E25" s="78" t="s">
        <v>98</v>
      </c>
      <c r="F25" s="308" t="s">
        <v>97</v>
      </c>
      <c r="G25" s="309"/>
    </row>
    <row r="26" spans="2:7" ht="15.75" thickBot="1"/>
    <row r="27" spans="2:7">
      <c r="B27" s="128" t="e">
        <f>D27*C27</f>
        <v>#DIV/0!</v>
      </c>
      <c r="C27" s="129" t="e">
        <f>'توزيع التكاليف'!F13/الرئيسية!$H$22</f>
        <v>#DIV/0!</v>
      </c>
      <c r="D27" s="97" t="e">
        <f>$B$5</f>
        <v>#DIV/0!</v>
      </c>
      <c r="E27" s="98" t="s">
        <v>4</v>
      </c>
      <c r="F27" s="98" t="str">
        <f>'اجمالي التكاليف خلال الفترة'!F6</f>
        <v>تكلفة متغيرة 1</v>
      </c>
      <c r="G27" s="277" t="s">
        <v>105</v>
      </c>
    </row>
    <row r="28" spans="2:7">
      <c r="B28" s="130" t="e">
        <f>D28*C28</f>
        <v>#DIV/0!</v>
      </c>
      <c r="C28" s="131" t="e">
        <f>'توزيع التكاليف'!F14/الرئيسية!$H$22</f>
        <v>#DIV/0!</v>
      </c>
      <c r="D28" s="101" t="e">
        <f>$B$5</f>
        <v>#DIV/0!</v>
      </c>
      <c r="E28" s="102" t="s">
        <v>4</v>
      </c>
      <c r="F28" s="102" t="str">
        <f>'اجمالي التكاليف خلال الفترة'!F7</f>
        <v>تكلفة متغيرة 2</v>
      </c>
      <c r="G28" s="278"/>
    </row>
    <row r="29" spans="2:7">
      <c r="B29" s="130" t="e">
        <f t="shared" ref="B29:B36" si="1">D29*C29</f>
        <v>#DIV/0!</v>
      </c>
      <c r="C29" s="131" t="e">
        <f>'توزيع التكاليف'!F15/الرئيسية!$H$22</f>
        <v>#DIV/0!</v>
      </c>
      <c r="D29" s="101" t="e">
        <f t="shared" ref="D29:D37" si="2">$B$5</f>
        <v>#DIV/0!</v>
      </c>
      <c r="E29" s="102" t="s">
        <v>4</v>
      </c>
      <c r="F29" s="102" t="str">
        <f>'اجمالي التكاليف خلال الفترة'!F8</f>
        <v>تكلفة متغيرة 3</v>
      </c>
      <c r="G29" s="278"/>
    </row>
    <row r="30" spans="2:7">
      <c r="B30" s="130" t="e">
        <f t="shared" si="1"/>
        <v>#DIV/0!</v>
      </c>
      <c r="C30" s="131" t="e">
        <f>'توزيع التكاليف'!F16/الرئيسية!$H$22</f>
        <v>#DIV/0!</v>
      </c>
      <c r="D30" s="101" t="e">
        <f t="shared" si="2"/>
        <v>#DIV/0!</v>
      </c>
      <c r="E30" s="102" t="s">
        <v>4</v>
      </c>
      <c r="F30" s="102" t="str">
        <f>'اجمالي التكاليف خلال الفترة'!F9</f>
        <v>تكلفة متغيرة 4</v>
      </c>
      <c r="G30" s="278"/>
    </row>
    <row r="31" spans="2:7">
      <c r="B31" s="130" t="e">
        <f t="shared" si="1"/>
        <v>#DIV/0!</v>
      </c>
      <c r="C31" s="131" t="e">
        <f>'توزيع التكاليف'!F17/الرئيسية!$H$22</f>
        <v>#DIV/0!</v>
      </c>
      <c r="D31" s="101" t="e">
        <f t="shared" si="2"/>
        <v>#DIV/0!</v>
      </c>
      <c r="E31" s="102" t="s">
        <v>4</v>
      </c>
      <c r="F31" s="102" t="str">
        <f>'اجمالي التكاليف خلال الفترة'!F10</f>
        <v>تكلفة متغيرة 5</v>
      </c>
      <c r="G31" s="279" t="s">
        <v>106</v>
      </c>
    </row>
    <row r="32" spans="2:7">
      <c r="B32" s="130" t="e">
        <f t="shared" si="1"/>
        <v>#DIV/0!</v>
      </c>
      <c r="C32" s="131" t="e">
        <f>'توزيع التكاليف'!F18/الرئيسية!$H$22</f>
        <v>#DIV/0!</v>
      </c>
      <c r="D32" s="101" t="e">
        <f t="shared" si="2"/>
        <v>#DIV/0!</v>
      </c>
      <c r="E32" s="75" t="s">
        <v>4</v>
      </c>
      <c r="F32" s="102" t="str">
        <f>'اجمالي التكاليف خلال الفترة'!F11</f>
        <v>تكلفة متغيرة 6</v>
      </c>
      <c r="G32" s="279"/>
    </row>
    <row r="33" spans="2:7">
      <c r="B33" s="130" t="e">
        <f t="shared" si="1"/>
        <v>#DIV/0!</v>
      </c>
      <c r="C33" s="131" t="e">
        <f>'توزيع التكاليف'!F19/الرئيسية!$H$22</f>
        <v>#DIV/0!</v>
      </c>
      <c r="D33" s="101" t="e">
        <f t="shared" si="2"/>
        <v>#DIV/0!</v>
      </c>
      <c r="E33" s="75" t="s">
        <v>4</v>
      </c>
      <c r="F33" s="102" t="str">
        <f>'اجمالي التكاليف خلال الفترة'!F12</f>
        <v>تكلفة متغيرة 7</v>
      </c>
      <c r="G33" s="279"/>
    </row>
    <row r="34" spans="2:7">
      <c r="B34" s="130" t="e">
        <f t="shared" si="1"/>
        <v>#DIV/0!</v>
      </c>
      <c r="C34" s="131" t="e">
        <f>'توزيع التكاليف'!F20/الرئيسية!$H$22</f>
        <v>#DIV/0!</v>
      </c>
      <c r="D34" s="101" t="e">
        <f t="shared" si="2"/>
        <v>#DIV/0!</v>
      </c>
      <c r="E34" s="75" t="s">
        <v>4</v>
      </c>
      <c r="F34" s="102" t="str">
        <f>'اجمالي التكاليف خلال الفترة'!F13</f>
        <v>تكلفة متغيرة 8</v>
      </c>
      <c r="G34" s="280" t="s">
        <v>107</v>
      </c>
    </row>
    <row r="35" spans="2:7">
      <c r="B35" s="130" t="e">
        <f t="shared" si="1"/>
        <v>#DIV/0!</v>
      </c>
      <c r="C35" s="131" t="e">
        <f>'توزيع التكاليف'!F21/الرئيسية!$H$22</f>
        <v>#DIV/0!</v>
      </c>
      <c r="D35" s="101" t="e">
        <f t="shared" si="2"/>
        <v>#DIV/0!</v>
      </c>
      <c r="E35" s="96" t="s">
        <v>4</v>
      </c>
      <c r="F35" s="102" t="str">
        <f>'اجمالي التكاليف خلال الفترة'!F14</f>
        <v>تكلفة متغيرة 9</v>
      </c>
      <c r="G35" s="280"/>
    </row>
    <row r="36" spans="2:7" ht="20.25">
      <c r="B36" s="130" t="e">
        <f t="shared" si="1"/>
        <v>#DIV/0!</v>
      </c>
      <c r="C36" s="131" t="e">
        <f>'توزيع التكاليف'!F22/الرئيسية!$H$22</f>
        <v>#DIV/0!</v>
      </c>
      <c r="D36" s="101" t="e">
        <f t="shared" si="2"/>
        <v>#DIV/0!</v>
      </c>
      <c r="E36" s="96" t="s">
        <v>4</v>
      </c>
      <c r="F36" s="102" t="str">
        <f>'اجمالي التكاليف خلال الفترة'!F15</f>
        <v>تكلفة متغيرة 10</v>
      </c>
      <c r="G36" s="99"/>
    </row>
    <row r="37" spans="2:7" ht="21" thickBot="1">
      <c r="B37" s="130" t="e">
        <f>D37*C37</f>
        <v>#DIV/0!</v>
      </c>
      <c r="C37" s="131" t="e">
        <f>'اهلاك خطوط الانتاج'!C2/F5*B5</f>
        <v>#DIV/0!</v>
      </c>
      <c r="D37" s="101" t="e">
        <f t="shared" si="2"/>
        <v>#DIV/0!</v>
      </c>
      <c r="E37" s="118" t="s">
        <v>4</v>
      </c>
      <c r="F37" s="102" t="str">
        <f>'اهلاك خطوط الانتاج'!$D$2</f>
        <v>اهلاك خط الانتاج</v>
      </c>
      <c r="G37" s="100"/>
    </row>
    <row r="38" spans="2:7" ht="21" thickBot="1">
      <c r="B38" s="132" t="e">
        <f>SUM(B27:B37)</f>
        <v>#DIV/0!</v>
      </c>
      <c r="C38" s="71" t="s">
        <v>90</v>
      </c>
      <c r="D38" s="72">
        <f>F5</f>
        <v>1</v>
      </c>
      <c r="E38" s="73" t="s">
        <v>91</v>
      </c>
      <c r="F38" s="82" t="s">
        <v>104</v>
      </c>
      <c r="G38" s="83"/>
    </row>
    <row r="39" spans="2:7" ht="15.75" thickBot="1"/>
    <row r="40" spans="2:7">
      <c r="B40" s="133" t="e">
        <f>D40*C40</f>
        <v>#DIV/0!</v>
      </c>
      <c r="C40" s="134" t="e">
        <f>'توزيع التكاليف'!F25/الرئيسية!$H$22</f>
        <v>#DIV/0!</v>
      </c>
      <c r="D40" s="107" t="e">
        <f>$B$5</f>
        <v>#DIV/0!</v>
      </c>
      <c r="E40" s="108" t="s">
        <v>4</v>
      </c>
      <c r="F40" s="108" t="str">
        <f>'اجمالي التكاليف خلال الفترة'!C6</f>
        <v>تكلفة ثابتة 1</v>
      </c>
      <c r="G40" s="271" t="s">
        <v>105</v>
      </c>
    </row>
    <row r="41" spans="2:7">
      <c r="B41" s="135" t="e">
        <f>D41*C41</f>
        <v>#DIV/0!</v>
      </c>
      <c r="C41" s="136" t="e">
        <f>'توزيع التكاليف'!F26/الرئيسية!$H$22</f>
        <v>#DIV/0!</v>
      </c>
      <c r="D41" s="109" t="e">
        <f>$B$5</f>
        <v>#DIV/0!</v>
      </c>
      <c r="E41" s="110" t="s">
        <v>4</v>
      </c>
      <c r="F41" s="110" t="str">
        <f>'اجمالي التكاليف خلال الفترة'!C7</f>
        <v>تكلفة ثابتة 2</v>
      </c>
      <c r="G41" s="272"/>
    </row>
    <row r="42" spans="2:7">
      <c r="B42" s="135" t="e">
        <f t="shared" ref="B42:B49" si="3">D42*C42</f>
        <v>#DIV/0!</v>
      </c>
      <c r="C42" s="136" t="e">
        <f>'توزيع التكاليف'!F27/الرئيسية!$H$22</f>
        <v>#DIV/0!</v>
      </c>
      <c r="D42" s="109" t="e">
        <f t="shared" ref="D42:D49" si="4">$B$5</f>
        <v>#DIV/0!</v>
      </c>
      <c r="E42" s="110" t="s">
        <v>4</v>
      </c>
      <c r="F42" s="110" t="str">
        <f>'اجمالي التكاليف خلال الفترة'!C8</f>
        <v>تكلفة ثابتة 3</v>
      </c>
      <c r="G42" s="272"/>
    </row>
    <row r="43" spans="2:7">
      <c r="B43" s="135" t="e">
        <f t="shared" si="3"/>
        <v>#DIV/0!</v>
      </c>
      <c r="C43" s="136" t="e">
        <f>'توزيع التكاليف'!F28/الرئيسية!$H$22</f>
        <v>#DIV/0!</v>
      </c>
      <c r="D43" s="109" t="e">
        <f t="shared" si="4"/>
        <v>#DIV/0!</v>
      </c>
      <c r="E43" s="110" t="s">
        <v>4</v>
      </c>
      <c r="F43" s="110" t="str">
        <f>'اجمالي التكاليف خلال الفترة'!C9</f>
        <v>تكلفة ثابتة 4</v>
      </c>
      <c r="G43" s="272"/>
    </row>
    <row r="44" spans="2:7">
      <c r="B44" s="135" t="e">
        <f t="shared" si="3"/>
        <v>#DIV/0!</v>
      </c>
      <c r="C44" s="136" t="e">
        <f>'توزيع التكاليف'!F29/الرئيسية!$H$22</f>
        <v>#DIV/0!</v>
      </c>
      <c r="D44" s="109" t="e">
        <f t="shared" si="4"/>
        <v>#DIV/0!</v>
      </c>
      <c r="E44" s="110" t="s">
        <v>4</v>
      </c>
      <c r="F44" s="110" t="str">
        <f>'اجمالي التكاليف خلال الفترة'!C10</f>
        <v>تكلفة ثابتة 5</v>
      </c>
      <c r="G44" s="273" t="s">
        <v>106</v>
      </c>
    </row>
    <row r="45" spans="2:7">
      <c r="B45" s="135" t="e">
        <f t="shared" si="3"/>
        <v>#DIV/0!</v>
      </c>
      <c r="C45" s="136" t="e">
        <f>'توزيع التكاليف'!F30/الرئيسية!$H$22</f>
        <v>#DIV/0!</v>
      </c>
      <c r="D45" s="109" t="e">
        <f t="shared" si="4"/>
        <v>#DIV/0!</v>
      </c>
      <c r="E45" s="111" t="s">
        <v>4</v>
      </c>
      <c r="F45" s="110" t="str">
        <f>'اجمالي التكاليف خلال الفترة'!C11</f>
        <v>تكلفة ثابتة 6</v>
      </c>
      <c r="G45" s="273"/>
    </row>
    <row r="46" spans="2:7">
      <c r="B46" s="135" t="e">
        <f t="shared" si="3"/>
        <v>#DIV/0!</v>
      </c>
      <c r="C46" s="136" t="e">
        <f>'توزيع التكاليف'!F31/الرئيسية!$H$22</f>
        <v>#DIV/0!</v>
      </c>
      <c r="D46" s="109" t="e">
        <f t="shared" si="4"/>
        <v>#DIV/0!</v>
      </c>
      <c r="E46" s="111" t="s">
        <v>4</v>
      </c>
      <c r="F46" s="110" t="str">
        <f>'اجمالي التكاليف خلال الفترة'!C12</f>
        <v>تكلفة ثابتة 7</v>
      </c>
      <c r="G46" s="273"/>
    </row>
    <row r="47" spans="2:7">
      <c r="B47" s="135" t="e">
        <f t="shared" si="3"/>
        <v>#DIV/0!</v>
      </c>
      <c r="C47" s="136" t="e">
        <f>'توزيع التكاليف'!F32/الرئيسية!$H$22</f>
        <v>#DIV/0!</v>
      </c>
      <c r="D47" s="109" t="e">
        <f t="shared" si="4"/>
        <v>#DIV/0!</v>
      </c>
      <c r="E47" s="111" t="s">
        <v>4</v>
      </c>
      <c r="F47" s="110" t="str">
        <f>'اجمالي التكاليف خلال الفترة'!C13</f>
        <v>تكلفة ثابتة 8</v>
      </c>
      <c r="G47" s="274" t="s">
        <v>108</v>
      </c>
    </row>
    <row r="48" spans="2:7">
      <c r="B48" s="135" t="e">
        <f t="shared" si="3"/>
        <v>#DIV/0!</v>
      </c>
      <c r="C48" s="136" t="e">
        <f>'توزيع التكاليف'!F33/الرئيسية!$H$22</f>
        <v>#DIV/0!</v>
      </c>
      <c r="D48" s="109" t="e">
        <f t="shared" si="4"/>
        <v>#DIV/0!</v>
      </c>
      <c r="E48" s="112" t="s">
        <v>4</v>
      </c>
      <c r="F48" s="110" t="str">
        <f>'اجمالي التكاليف خلال الفترة'!C14</f>
        <v>تكلفة ثابتة 9</v>
      </c>
      <c r="G48" s="274"/>
    </row>
    <row r="49" spans="2:7" ht="21" thickBot="1">
      <c r="B49" s="135" t="e">
        <f t="shared" si="3"/>
        <v>#DIV/0!</v>
      </c>
      <c r="C49" s="136" t="e">
        <f>'توزيع التكاليف'!F34/الرئيسية!$H$22</f>
        <v>#DIV/0!</v>
      </c>
      <c r="D49" s="109" t="e">
        <f t="shared" si="4"/>
        <v>#DIV/0!</v>
      </c>
      <c r="E49" s="113" t="s">
        <v>4</v>
      </c>
      <c r="F49" s="110" t="str">
        <f>'اجمالي التكاليف خلال الفترة'!C15</f>
        <v>تكلفة ثابتة 10</v>
      </c>
      <c r="G49" s="106"/>
    </row>
    <row r="50" spans="2:7" ht="21" thickBot="1">
      <c r="B50" s="137" t="e">
        <f>SUM(B40:B49)</f>
        <v>#DIV/0!</v>
      </c>
      <c r="C50" s="114" t="s">
        <v>90</v>
      </c>
      <c r="D50" s="115">
        <f>F5</f>
        <v>1</v>
      </c>
      <c r="E50" s="103" t="s">
        <v>91</v>
      </c>
      <c r="F50" s="104" t="s">
        <v>104</v>
      </c>
      <c r="G50" s="105"/>
    </row>
    <row r="53" spans="2:7">
      <c r="B53" s="304" t="s">
        <v>110</v>
      </c>
      <c r="C53" s="304"/>
      <c r="D53" s="304"/>
      <c r="E53" s="304"/>
      <c r="F53" s="304"/>
      <c r="G53" s="304"/>
    </row>
    <row r="54" spans="2:7">
      <c r="B54" s="305"/>
      <c r="C54" s="305"/>
      <c r="D54" s="305"/>
      <c r="E54" s="305"/>
      <c r="F54" s="305"/>
      <c r="G54" s="305"/>
    </row>
    <row r="55" spans="2:7" ht="18.75">
      <c r="B55" s="150" t="s">
        <v>116</v>
      </c>
      <c r="C55" s="148" t="s">
        <v>113</v>
      </c>
      <c r="D55" s="306" t="s">
        <v>112</v>
      </c>
      <c r="E55" s="306"/>
      <c r="F55" s="146" t="s">
        <v>102</v>
      </c>
      <c r="G55" s="145" t="s">
        <v>112</v>
      </c>
    </row>
    <row r="56" spans="2:7" ht="18.75">
      <c r="B56" s="150" t="s">
        <v>117</v>
      </c>
      <c r="C56" s="148" t="s">
        <v>114</v>
      </c>
      <c r="D56" s="306" t="s">
        <v>115</v>
      </c>
      <c r="E56" s="306"/>
      <c r="F56" s="146" t="s">
        <v>114</v>
      </c>
      <c r="G56" s="145" t="s">
        <v>111</v>
      </c>
    </row>
    <row r="57" spans="2:7" ht="15.75">
      <c r="B57" s="151" t="e">
        <f>G57/(F57-C57)</f>
        <v>#DIV/0!</v>
      </c>
      <c r="C57" s="149" t="e">
        <f>D57/F5</f>
        <v>#DIV/0!</v>
      </c>
      <c r="D57" s="303" t="e">
        <f>B38+B21+B24</f>
        <v>#DIV/0!</v>
      </c>
      <c r="E57" s="303"/>
      <c r="F57" s="147">
        <f>F8</f>
        <v>0</v>
      </c>
      <c r="G57" s="202" t="e">
        <f>'توزيع التكاليف'!F24+'توزيع التكاليف'!F10</f>
        <v>#DIV/0!</v>
      </c>
    </row>
  </sheetData>
  <mergeCells count="31">
    <mergeCell ref="B2:C3"/>
    <mergeCell ref="D2:E3"/>
    <mergeCell ref="F2:F3"/>
    <mergeCell ref="G2:G3"/>
    <mergeCell ref="B5:C6"/>
    <mergeCell ref="D5:E6"/>
    <mergeCell ref="F5:F6"/>
    <mergeCell ref="G5:G6"/>
    <mergeCell ref="G34:G35"/>
    <mergeCell ref="B8:C9"/>
    <mergeCell ref="D8:E9"/>
    <mergeCell ref="F8:F9"/>
    <mergeCell ref="G8:G9"/>
    <mergeCell ref="B11:C11"/>
    <mergeCell ref="B13:B14"/>
    <mergeCell ref="C13:C14"/>
    <mergeCell ref="D13:E13"/>
    <mergeCell ref="F13:F14"/>
    <mergeCell ref="G13:G14"/>
    <mergeCell ref="G16:G20"/>
    <mergeCell ref="F21:G21"/>
    <mergeCell ref="F25:G25"/>
    <mergeCell ref="G27:G30"/>
    <mergeCell ref="G31:G33"/>
    <mergeCell ref="D57:E57"/>
    <mergeCell ref="G40:G43"/>
    <mergeCell ref="G44:G46"/>
    <mergeCell ref="G47:G48"/>
    <mergeCell ref="B53:G54"/>
    <mergeCell ref="D55:E55"/>
    <mergeCell ref="D56:E5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B1:AL57"/>
  <sheetViews>
    <sheetView workbookViewId="0">
      <pane xSplit="7" ySplit="15" topLeftCell="H31" activePane="bottomRight" state="frozen"/>
      <selection activeCell="I28" sqref="I28"/>
      <selection pane="topRight" activeCell="I28" sqref="I28"/>
      <selection pane="bottomLeft" activeCell="I28" sqref="I28"/>
      <selection pane="bottomRight" activeCell="I28" sqref="I28"/>
    </sheetView>
  </sheetViews>
  <sheetFormatPr defaultRowHeight="15"/>
  <cols>
    <col min="1" max="1" width="2.85546875" style="67" customWidth="1"/>
    <col min="2" max="2" width="22" style="67" bestFit="1" customWidth="1"/>
    <col min="3" max="3" width="17.85546875" style="67" bestFit="1" customWidth="1"/>
    <col min="4" max="4" width="12.42578125" style="67" customWidth="1"/>
    <col min="5" max="5" width="11" style="67" bestFit="1" customWidth="1"/>
    <col min="6" max="6" width="37.42578125" style="67" bestFit="1" customWidth="1"/>
    <col min="7" max="7" width="36.85546875" style="67" bestFit="1" customWidth="1"/>
    <col min="8" max="38" width="9.140625" style="81"/>
    <col min="39" max="16384" width="9.140625" style="67"/>
  </cols>
  <sheetData>
    <row r="1" spans="2:8" ht="8.25" customHeight="1"/>
    <row r="2" spans="2:8">
      <c r="B2" s="323" t="e">
        <f>F2/الرئيسية!H26</f>
        <v>#DIV/0!</v>
      </c>
      <c r="C2" s="323"/>
      <c r="D2" s="312" t="s">
        <v>101</v>
      </c>
      <c r="E2" s="312"/>
      <c r="F2" s="311">
        <f>الرئيسية!I26</f>
        <v>0</v>
      </c>
      <c r="G2" s="312" t="s">
        <v>12</v>
      </c>
    </row>
    <row r="3" spans="2:8">
      <c r="B3" s="323"/>
      <c r="C3" s="323"/>
      <c r="D3" s="312"/>
      <c r="E3" s="312"/>
      <c r="F3" s="311"/>
      <c r="G3" s="312"/>
    </row>
    <row r="4" spans="2:8" ht="5.25" customHeight="1" thickBot="1">
      <c r="B4" s="116"/>
      <c r="C4" s="116"/>
      <c r="D4" s="116"/>
      <c r="E4" s="116"/>
      <c r="F4" s="116"/>
      <c r="G4" s="116"/>
    </row>
    <row r="5" spans="2:8">
      <c r="B5" s="323" t="e">
        <f>F5/B2</f>
        <v>#DIV/0!</v>
      </c>
      <c r="C5" s="323"/>
      <c r="D5" s="312" t="s">
        <v>100</v>
      </c>
      <c r="E5" s="312"/>
      <c r="F5" s="292">
        <v>1</v>
      </c>
      <c r="G5" s="312" t="s">
        <v>99</v>
      </c>
    </row>
    <row r="6" spans="2:8" ht="15.75" thickBot="1">
      <c r="B6" s="323"/>
      <c r="C6" s="323"/>
      <c r="D6" s="312"/>
      <c r="E6" s="312"/>
      <c r="F6" s="293"/>
      <c r="G6" s="312"/>
    </row>
    <row r="7" spans="2:8" ht="4.5" customHeight="1" thickBot="1">
      <c r="B7" s="117"/>
      <c r="C7" s="117"/>
      <c r="D7" s="117"/>
      <c r="E7" s="117"/>
      <c r="F7" s="117"/>
      <c r="G7" s="117"/>
    </row>
    <row r="8" spans="2:8">
      <c r="B8" s="310" t="e">
        <f>B57</f>
        <v>#DIV/0!</v>
      </c>
      <c r="C8" s="311"/>
      <c r="D8" s="312" t="s">
        <v>103</v>
      </c>
      <c r="E8" s="312"/>
      <c r="F8" s="285"/>
      <c r="G8" s="312" t="s">
        <v>102</v>
      </c>
    </row>
    <row r="9" spans="2:8" ht="15.75" thickBot="1">
      <c r="B9" s="311"/>
      <c r="C9" s="311"/>
      <c r="D9" s="312"/>
      <c r="E9" s="312"/>
      <c r="F9" s="286"/>
      <c r="G9" s="312"/>
    </row>
    <row r="10" spans="2:8" ht="6" customHeight="1">
      <c r="B10" s="66"/>
      <c r="C10" s="66"/>
      <c r="D10" s="138"/>
      <c r="E10" s="138"/>
      <c r="F10" s="66"/>
      <c r="G10" s="66"/>
    </row>
    <row r="11" spans="2:8" ht="24" thickBot="1">
      <c r="B11" s="313" t="e">
        <f>B21+B25+B38+B50</f>
        <v>#DIV/0!</v>
      </c>
      <c r="C11" s="313"/>
      <c r="D11" s="143" t="s">
        <v>90</v>
      </c>
      <c r="E11" s="144">
        <f>F5</f>
        <v>1</v>
      </c>
      <c r="F11" s="142">
        <f>الرئيسية!J26</f>
        <v>0</v>
      </c>
      <c r="G11" s="207" t="s">
        <v>119</v>
      </c>
    </row>
    <row r="12" spans="2:8" ht="6" customHeight="1" thickBot="1">
      <c r="B12" s="139"/>
      <c r="C12" s="139"/>
      <c r="D12" s="140"/>
      <c r="E12" s="140"/>
      <c r="F12" s="141"/>
      <c r="G12" s="66"/>
    </row>
    <row r="13" spans="2:8" ht="18">
      <c r="B13" s="314" t="s">
        <v>81</v>
      </c>
      <c r="C13" s="316" t="s">
        <v>82</v>
      </c>
      <c r="D13" s="318" t="s">
        <v>83</v>
      </c>
      <c r="E13" s="314"/>
      <c r="F13" s="319" t="s">
        <v>18</v>
      </c>
      <c r="G13" s="321" t="s">
        <v>84</v>
      </c>
    </row>
    <row r="14" spans="2:8" ht="18.75" thickBot="1">
      <c r="B14" s="315"/>
      <c r="C14" s="317"/>
      <c r="D14" s="76" t="s">
        <v>85</v>
      </c>
      <c r="E14" s="77" t="s">
        <v>86</v>
      </c>
      <c r="F14" s="320"/>
      <c r="G14" s="322"/>
    </row>
    <row r="15" spans="2:8" ht="18.75" thickBot="1">
      <c r="B15" s="68"/>
      <c r="C15" s="68"/>
      <c r="D15" s="69"/>
      <c r="E15" s="68"/>
    </row>
    <row r="16" spans="2:8">
      <c r="B16" s="119">
        <f>C16*D16</f>
        <v>0</v>
      </c>
      <c r="C16" s="120">
        <f>'اجمالي التكاليف خلال الفترة'!H11</f>
        <v>0</v>
      </c>
      <c r="D16" s="152">
        <v>1</v>
      </c>
      <c r="E16" s="74" t="s">
        <v>87</v>
      </c>
      <c r="F16" s="74" t="str">
        <f>'اجمالي التكاليف خلال الفترة'!I11</f>
        <v>خام 1</v>
      </c>
      <c r="G16" s="287" t="s">
        <v>88</v>
      </c>
      <c r="H16" s="205"/>
    </row>
    <row r="17" spans="2:7">
      <c r="B17" s="119">
        <f>C17*D17</f>
        <v>0</v>
      </c>
      <c r="C17" s="121">
        <f>'اجمالي التكاليف خلال الفترة'!H12</f>
        <v>0</v>
      </c>
      <c r="D17" s="153">
        <v>1</v>
      </c>
      <c r="E17" s="90" t="s">
        <v>89</v>
      </c>
      <c r="F17" s="65" t="str">
        <f>'اجمالي التكاليف خلال الفترة'!I12</f>
        <v>خام 2</v>
      </c>
      <c r="G17" s="288"/>
    </row>
    <row r="18" spans="2:7">
      <c r="B18" s="119">
        <f t="shared" ref="B18:B20" si="0">C18*D18</f>
        <v>0</v>
      </c>
      <c r="C18" s="121">
        <f>'اجمالي التكاليف خلال الفترة'!H13</f>
        <v>0</v>
      </c>
      <c r="D18" s="153">
        <v>1</v>
      </c>
      <c r="E18" s="90" t="s">
        <v>87</v>
      </c>
      <c r="F18" s="65" t="str">
        <f>'اجمالي التكاليف خلال الفترة'!I13</f>
        <v>خام 3</v>
      </c>
      <c r="G18" s="288"/>
    </row>
    <row r="19" spans="2:7">
      <c r="B19" s="119">
        <f t="shared" si="0"/>
        <v>0</v>
      </c>
      <c r="C19" s="121">
        <f>'اجمالي التكاليف خلال الفترة'!H14</f>
        <v>0</v>
      </c>
      <c r="D19" s="153">
        <v>1</v>
      </c>
      <c r="E19" s="90" t="s">
        <v>89</v>
      </c>
      <c r="F19" s="65" t="str">
        <f>'اجمالي التكاليف خلال الفترة'!I14</f>
        <v>خام 4</v>
      </c>
      <c r="G19" s="288"/>
    </row>
    <row r="20" spans="2:7" ht="15.75" thickBot="1">
      <c r="B20" s="119">
        <f t="shared" si="0"/>
        <v>0</v>
      </c>
      <c r="C20" s="121">
        <f>'اجمالي التكاليف خلال الفترة'!H15</f>
        <v>0</v>
      </c>
      <c r="D20" s="154">
        <v>1</v>
      </c>
      <c r="E20" s="93" t="s">
        <v>87</v>
      </c>
      <c r="F20" s="65" t="str">
        <f>'اجمالي التكاليف خلال الفترة'!I15</f>
        <v>خام 5</v>
      </c>
      <c r="G20" s="288"/>
    </row>
    <row r="21" spans="2:7" ht="21" thickBot="1">
      <c r="B21" s="122">
        <f>SUM(B16:B20)*D21</f>
        <v>0</v>
      </c>
      <c r="C21" s="70" t="s">
        <v>90</v>
      </c>
      <c r="D21" s="95">
        <f>F5</f>
        <v>1</v>
      </c>
      <c r="E21" s="94" t="s">
        <v>93</v>
      </c>
      <c r="F21" s="307" t="s">
        <v>92</v>
      </c>
      <c r="G21" s="307"/>
    </row>
    <row r="22" spans="2:7" ht="15.75" thickBot="1"/>
    <row r="23" spans="2:7" ht="20.25">
      <c r="B23" s="123" t="e">
        <f>D23*C23</f>
        <v>#DIV/0!</v>
      </c>
      <c r="C23" s="126" t="e">
        <f>'توزيع التكاليف'!G10/الرئيسية!$H$26</f>
        <v>#DIV/0!</v>
      </c>
      <c r="D23" s="91" t="e">
        <f>$B$5</f>
        <v>#DIV/0!</v>
      </c>
      <c r="E23" s="84" t="s">
        <v>4</v>
      </c>
      <c r="F23" s="85" t="s">
        <v>94</v>
      </c>
      <c r="G23" s="86" t="s">
        <v>46</v>
      </c>
    </row>
    <row r="24" spans="2:7" ht="21" thickBot="1">
      <c r="B24" s="124" t="e">
        <f>D24*C24</f>
        <v>#DIV/0!</v>
      </c>
      <c r="C24" s="127" t="e">
        <f>'توزيع التكاليف'!G9/الرئيسية!$H$26</f>
        <v>#DIV/0!</v>
      </c>
      <c r="D24" s="92" t="e">
        <f>$B$5</f>
        <v>#DIV/0!</v>
      </c>
      <c r="E24" s="87" t="s">
        <v>4</v>
      </c>
      <c r="F24" s="88" t="s">
        <v>95</v>
      </c>
      <c r="G24" s="89" t="s">
        <v>96</v>
      </c>
    </row>
    <row r="25" spans="2:7" ht="21" thickBot="1">
      <c r="B25" s="125" t="e">
        <f>SUM(B23:B24)</f>
        <v>#DIV/0!</v>
      </c>
      <c r="C25" s="79" t="s">
        <v>90</v>
      </c>
      <c r="D25" s="80">
        <f>F5</f>
        <v>1</v>
      </c>
      <c r="E25" s="78" t="s">
        <v>98</v>
      </c>
      <c r="F25" s="308" t="s">
        <v>97</v>
      </c>
      <c r="G25" s="309"/>
    </row>
    <row r="26" spans="2:7" ht="15.75" thickBot="1"/>
    <row r="27" spans="2:7">
      <c r="B27" s="128" t="e">
        <f>D27*C27</f>
        <v>#DIV/0!</v>
      </c>
      <c r="C27" s="129" t="e">
        <f>'توزيع التكاليف'!G13/الرئيسية!$H$26</f>
        <v>#DIV/0!</v>
      </c>
      <c r="D27" s="97" t="e">
        <f>$B$5</f>
        <v>#DIV/0!</v>
      </c>
      <c r="E27" s="98" t="s">
        <v>4</v>
      </c>
      <c r="F27" s="98" t="str">
        <f>'اجمالي التكاليف خلال الفترة'!F6</f>
        <v>تكلفة متغيرة 1</v>
      </c>
      <c r="G27" s="277" t="s">
        <v>105</v>
      </c>
    </row>
    <row r="28" spans="2:7">
      <c r="B28" s="130" t="e">
        <f>D28*C28</f>
        <v>#DIV/0!</v>
      </c>
      <c r="C28" s="131" t="e">
        <f>'توزيع التكاليف'!G14/الرئيسية!$H$26</f>
        <v>#DIV/0!</v>
      </c>
      <c r="D28" s="101" t="e">
        <f>$B$5</f>
        <v>#DIV/0!</v>
      </c>
      <c r="E28" s="102" t="s">
        <v>4</v>
      </c>
      <c r="F28" s="102" t="str">
        <f>'اجمالي التكاليف خلال الفترة'!F7</f>
        <v>تكلفة متغيرة 2</v>
      </c>
      <c r="G28" s="278"/>
    </row>
    <row r="29" spans="2:7">
      <c r="B29" s="130" t="e">
        <f t="shared" ref="B29:B36" si="1">D29*C29</f>
        <v>#DIV/0!</v>
      </c>
      <c r="C29" s="131" t="e">
        <f>'توزيع التكاليف'!G15/الرئيسية!$H$26</f>
        <v>#DIV/0!</v>
      </c>
      <c r="D29" s="101" t="e">
        <f t="shared" ref="D29:D37" si="2">$B$5</f>
        <v>#DIV/0!</v>
      </c>
      <c r="E29" s="102" t="s">
        <v>4</v>
      </c>
      <c r="F29" s="102" t="str">
        <f>'اجمالي التكاليف خلال الفترة'!F8</f>
        <v>تكلفة متغيرة 3</v>
      </c>
      <c r="G29" s="278"/>
    </row>
    <row r="30" spans="2:7">
      <c r="B30" s="130" t="e">
        <f t="shared" si="1"/>
        <v>#DIV/0!</v>
      </c>
      <c r="C30" s="131" t="e">
        <f>'توزيع التكاليف'!G16/الرئيسية!$H$26</f>
        <v>#DIV/0!</v>
      </c>
      <c r="D30" s="101" t="e">
        <f t="shared" si="2"/>
        <v>#DIV/0!</v>
      </c>
      <c r="E30" s="102" t="s">
        <v>4</v>
      </c>
      <c r="F30" s="102" t="str">
        <f>'اجمالي التكاليف خلال الفترة'!F9</f>
        <v>تكلفة متغيرة 4</v>
      </c>
      <c r="G30" s="278"/>
    </row>
    <row r="31" spans="2:7">
      <c r="B31" s="130" t="e">
        <f t="shared" si="1"/>
        <v>#DIV/0!</v>
      </c>
      <c r="C31" s="131" t="e">
        <f>'توزيع التكاليف'!G17/الرئيسية!$H$26</f>
        <v>#DIV/0!</v>
      </c>
      <c r="D31" s="101" t="e">
        <f t="shared" si="2"/>
        <v>#DIV/0!</v>
      </c>
      <c r="E31" s="102" t="s">
        <v>4</v>
      </c>
      <c r="F31" s="102" t="str">
        <f>'اجمالي التكاليف خلال الفترة'!F10</f>
        <v>تكلفة متغيرة 5</v>
      </c>
      <c r="G31" s="279" t="s">
        <v>106</v>
      </c>
    </row>
    <row r="32" spans="2:7">
      <c r="B32" s="130" t="e">
        <f t="shared" si="1"/>
        <v>#DIV/0!</v>
      </c>
      <c r="C32" s="131" t="e">
        <f>'توزيع التكاليف'!G18/الرئيسية!$H$26</f>
        <v>#DIV/0!</v>
      </c>
      <c r="D32" s="101" t="e">
        <f t="shared" si="2"/>
        <v>#DIV/0!</v>
      </c>
      <c r="E32" s="75" t="s">
        <v>4</v>
      </c>
      <c r="F32" s="102" t="str">
        <f>'اجمالي التكاليف خلال الفترة'!F11</f>
        <v>تكلفة متغيرة 6</v>
      </c>
      <c r="G32" s="279"/>
    </row>
    <row r="33" spans="2:7">
      <c r="B33" s="130" t="e">
        <f t="shared" si="1"/>
        <v>#DIV/0!</v>
      </c>
      <c r="C33" s="131" t="e">
        <f>'توزيع التكاليف'!G19/الرئيسية!$H$26</f>
        <v>#DIV/0!</v>
      </c>
      <c r="D33" s="101" t="e">
        <f t="shared" si="2"/>
        <v>#DIV/0!</v>
      </c>
      <c r="E33" s="75" t="s">
        <v>4</v>
      </c>
      <c r="F33" s="102" t="str">
        <f>'اجمالي التكاليف خلال الفترة'!F12</f>
        <v>تكلفة متغيرة 7</v>
      </c>
      <c r="G33" s="279"/>
    </row>
    <row r="34" spans="2:7">
      <c r="B34" s="130" t="e">
        <f t="shared" si="1"/>
        <v>#DIV/0!</v>
      </c>
      <c r="C34" s="131" t="e">
        <f>'توزيع التكاليف'!G20/الرئيسية!$H$26</f>
        <v>#DIV/0!</v>
      </c>
      <c r="D34" s="101" t="e">
        <f t="shared" si="2"/>
        <v>#DIV/0!</v>
      </c>
      <c r="E34" s="75" t="s">
        <v>4</v>
      </c>
      <c r="F34" s="102" t="str">
        <f>'اجمالي التكاليف خلال الفترة'!F13</f>
        <v>تكلفة متغيرة 8</v>
      </c>
      <c r="G34" s="280" t="s">
        <v>107</v>
      </c>
    </row>
    <row r="35" spans="2:7">
      <c r="B35" s="130" t="e">
        <f t="shared" si="1"/>
        <v>#DIV/0!</v>
      </c>
      <c r="C35" s="131" t="e">
        <f>'توزيع التكاليف'!G21/الرئيسية!$H$26</f>
        <v>#DIV/0!</v>
      </c>
      <c r="D35" s="101" t="e">
        <f t="shared" si="2"/>
        <v>#DIV/0!</v>
      </c>
      <c r="E35" s="96" t="s">
        <v>4</v>
      </c>
      <c r="F35" s="102" t="str">
        <f>'اجمالي التكاليف خلال الفترة'!F14</f>
        <v>تكلفة متغيرة 9</v>
      </c>
      <c r="G35" s="280"/>
    </row>
    <row r="36" spans="2:7" ht="20.25">
      <c r="B36" s="130" t="e">
        <f t="shared" si="1"/>
        <v>#DIV/0!</v>
      </c>
      <c r="C36" s="131" t="e">
        <f>'توزيع التكاليف'!G22/الرئيسية!$H$26</f>
        <v>#DIV/0!</v>
      </c>
      <c r="D36" s="101" t="e">
        <f t="shared" si="2"/>
        <v>#DIV/0!</v>
      </c>
      <c r="E36" s="96" t="s">
        <v>4</v>
      </c>
      <c r="F36" s="102" t="str">
        <f>'اجمالي التكاليف خلال الفترة'!F15</f>
        <v>تكلفة متغيرة 10</v>
      </c>
      <c r="G36" s="99"/>
    </row>
    <row r="37" spans="2:7" ht="21" thickBot="1">
      <c r="B37" s="130" t="e">
        <f>D37*C37</f>
        <v>#DIV/0!</v>
      </c>
      <c r="C37" s="131" t="e">
        <f>'اهلاك خطوط الانتاج'!C2/F5*B5</f>
        <v>#DIV/0!</v>
      </c>
      <c r="D37" s="101" t="e">
        <f t="shared" si="2"/>
        <v>#DIV/0!</v>
      </c>
      <c r="E37" s="118" t="s">
        <v>4</v>
      </c>
      <c r="F37" s="102" t="str">
        <f>'اهلاك خطوط الانتاج'!$D$2</f>
        <v>اهلاك خط الانتاج</v>
      </c>
      <c r="G37" s="100"/>
    </row>
    <row r="38" spans="2:7" ht="21" thickBot="1">
      <c r="B38" s="132" t="e">
        <f>SUM(B27:B37)</f>
        <v>#DIV/0!</v>
      </c>
      <c r="C38" s="71" t="s">
        <v>90</v>
      </c>
      <c r="D38" s="72">
        <f>F5</f>
        <v>1</v>
      </c>
      <c r="E38" s="73" t="s">
        <v>91</v>
      </c>
      <c r="F38" s="82" t="s">
        <v>104</v>
      </c>
      <c r="G38" s="83"/>
    </row>
    <row r="39" spans="2:7" ht="15.75" thickBot="1"/>
    <row r="40" spans="2:7">
      <c r="B40" s="133" t="e">
        <f>D40*C40</f>
        <v>#DIV/0!</v>
      </c>
      <c r="C40" s="134" t="e">
        <f>'توزيع التكاليف'!G25/الرئيسية!$H$26</f>
        <v>#DIV/0!</v>
      </c>
      <c r="D40" s="107" t="e">
        <f>$B$5</f>
        <v>#DIV/0!</v>
      </c>
      <c r="E40" s="108" t="s">
        <v>4</v>
      </c>
      <c r="F40" s="108" t="str">
        <f>'اجمالي التكاليف خلال الفترة'!C6</f>
        <v>تكلفة ثابتة 1</v>
      </c>
      <c r="G40" s="271" t="s">
        <v>105</v>
      </c>
    </row>
    <row r="41" spans="2:7">
      <c r="B41" s="135" t="e">
        <f>D41*C41</f>
        <v>#DIV/0!</v>
      </c>
      <c r="C41" s="136" t="e">
        <f>'توزيع التكاليف'!G26/الرئيسية!$H$26</f>
        <v>#DIV/0!</v>
      </c>
      <c r="D41" s="109" t="e">
        <f>$B$5</f>
        <v>#DIV/0!</v>
      </c>
      <c r="E41" s="110" t="s">
        <v>4</v>
      </c>
      <c r="F41" s="110" t="str">
        <f>'اجمالي التكاليف خلال الفترة'!C7</f>
        <v>تكلفة ثابتة 2</v>
      </c>
      <c r="G41" s="272"/>
    </row>
    <row r="42" spans="2:7">
      <c r="B42" s="135" t="e">
        <f t="shared" ref="B42:B49" si="3">D42*C42</f>
        <v>#DIV/0!</v>
      </c>
      <c r="C42" s="136" t="e">
        <f>'توزيع التكاليف'!G27/الرئيسية!$H$26</f>
        <v>#DIV/0!</v>
      </c>
      <c r="D42" s="109" t="e">
        <f t="shared" ref="D42:D49" si="4">$B$5</f>
        <v>#DIV/0!</v>
      </c>
      <c r="E42" s="110" t="s">
        <v>4</v>
      </c>
      <c r="F42" s="110" t="str">
        <f>'اجمالي التكاليف خلال الفترة'!C8</f>
        <v>تكلفة ثابتة 3</v>
      </c>
      <c r="G42" s="272"/>
    </row>
    <row r="43" spans="2:7">
      <c r="B43" s="135" t="e">
        <f t="shared" si="3"/>
        <v>#DIV/0!</v>
      </c>
      <c r="C43" s="136" t="e">
        <f>'توزيع التكاليف'!G28/الرئيسية!$H$26</f>
        <v>#DIV/0!</v>
      </c>
      <c r="D43" s="109" t="e">
        <f t="shared" si="4"/>
        <v>#DIV/0!</v>
      </c>
      <c r="E43" s="110" t="s">
        <v>4</v>
      </c>
      <c r="F43" s="110" t="str">
        <f>'اجمالي التكاليف خلال الفترة'!C9</f>
        <v>تكلفة ثابتة 4</v>
      </c>
      <c r="G43" s="272"/>
    </row>
    <row r="44" spans="2:7">
      <c r="B44" s="135" t="e">
        <f t="shared" si="3"/>
        <v>#DIV/0!</v>
      </c>
      <c r="C44" s="136" t="e">
        <f>'توزيع التكاليف'!G29/الرئيسية!$H$26</f>
        <v>#DIV/0!</v>
      </c>
      <c r="D44" s="109" t="e">
        <f t="shared" si="4"/>
        <v>#DIV/0!</v>
      </c>
      <c r="E44" s="110" t="s">
        <v>4</v>
      </c>
      <c r="F44" s="110" t="str">
        <f>'اجمالي التكاليف خلال الفترة'!C10</f>
        <v>تكلفة ثابتة 5</v>
      </c>
      <c r="G44" s="273" t="s">
        <v>106</v>
      </c>
    </row>
    <row r="45" spans="2:7">
      <c r="B45" s="135" t="e">
        <f t="shared" si="3"/>
        <v>#DIV/0!</v>
      </c>
      <c r="C45" s="136" t="e">
        <f>'توزيع التكاليف'!G30/الرئيسية!$H$26</f>
        <v>#DIV/0!</v>
      </c>
      <c r="D45" s="109" t="e">
        <f t="shared" si="4"/>
        <v>#DIV/0!</v>
      </c>
      <c r="E45" s="111" t="s">
        <v>4</v>
      </c>
      <c r="F45" s="110" t="str">
        <f>'اجمالي التكاليف خلال الفترة'!C11</f>
        <v>تكلفة ثابتة 6</v>
      </c>
      <c r="G45" s="273"/>
    </row>
    <row r="46" spans="2:7">
      <c r="B46" s="135" t="e">
        <f t="shared" si="3"/>
        <v>#DIV/0!</v>
      </c>
      <c r="C46" s="136" t="e">
        <f>'توزيع التكاليف'!G31/الرئيسية!$H$26</f>
        <v>#DIV/0!</v>
      </c>
      <c r="D46" s="109" t="e">
        <f t="shared" si="4"/>
        <v>#DIV/0!</v>
      </c>
      <c r="E46" s="111" t="s">
        <v>4</v>
      </c>
      <c r="F46" s="110" t="str">
        <f>'اجمالي التكاليف خلال الفترة'!C12</f>
        <v>تكلفة ثابتة 7</v>
      </c>
      <c r="G46" s="273"/>
    </row>
    <row r="47" spans="2:7">
      <c r="B47" s="135" t="e">
        <f t="shared" si="3"/>
        <v>#DIV/0!</v>
      </c>
      <c r="C47" s="136" t="e">
        <f>'توزيع التكاليف'!G32/الرئيسية!$H$26</f>
        <v>#DIV/0!</v>
      </c>
      <c r="D47" s="109" t="e">
        <f t="shared" si="4"/>
        <v>#DIV/0!</v>
      </c>
      <c r="E47" s="111" t="s">
        <v>4</v>
      </c>
      <c r="F47" s="110" t="str">
        <f>'اجمالي التكاليف خلال الفترة'!C13</f>
        <v>تكلفة ثابتة 8</v>
      </c>
      <c r="G47" s="274" t="s">
        <v>108</v>
      </c>
    </row>
    <row r="48" spans="2:7">
      <c r="B48" s="135" t="e">
        <f t="shared" si="3"/>
        <v>#DIV/0!</v>
      </c>
      <c r="C48" s="136" t="e">
        <f>'توزيع التكاليف'!G33/الرئيسية!$H$26</f>
        <v>#DIV/0!</v>
      </c>
      <c r="D48" s="109" t="e">
        <f t="shared" si="4"/>
        <v>#DIV/0!</v>
      </c>
      <c r="E48" s="112" t="s">
        <v>4</v>
      </c>
      <c r="F48" s="110" t="str">
        <f>'اجمالي التكاليف خلال الفترة'!C14</f>
        <v>تكلفة ثابتة 9</v>
      </c>
      <c r="G48" s="274"/>
    </row>
    <row r="49" spans="2:7" ht="21" thickBot="1">
      <c r="B49" s="135" t="e">
        <f t="shared" si="3"/>
        <v>#DIV/0!</v>
      </c>
      <c r="C49" s="136" t="e">
        <f>'توزيع التكاليف'!G34/الرئيسية!$H$26</f>
        <v>#DIV/0!</v>
      </c>
      <c r="D49" s="109" t="e">
        <f t="shared" si="4"/>
        <v>#DIV/0!</v>
      </c>
      <c r="E49" s="113" t="s">
        <v>4</v>
      </c>
      <c r="F49" s="110" t="str">
        <f>'اجمالي التكاليف خلال الفترة'!C15</f>
        <v>تكلفة ثابتة 10</v>
      </c>
      <c r="G49" s="106"/>
    </row>
    <row r="50" spans="2:7" ht="21" thickBot="1">
      <c r="B50" s="137" t="e">
        <f>SUM(B40:B49)</f>
        <v>#DIV/0!</v>
      </c>
      <c r="C50" s="114" t="s">
        <v>90</v>
      </c>
      <c r="D50" s="115">
        <f>F5</f>
        <v>1</v>
      </c>
      <c r="E50" s="103" t="s">
        <v>91</v>
      </c>
      <c r="F50" s="104" t="s">
        <v>104</v>
      </c>
      <c r="G50" s="105"/>
    </row>
    <row r="53" spans="2:7">
      <c r="B53" s="304" t="s">
        <v>110</v>
      </c>
      <c r="C53" s="304"/>
      <c r="D53" s="304"/>
      <c r="E53" s="304"/>
      <c r="F53" s="304"/>
      <c r="G53" s="304"/>
    </row>
    <row r="54" spans="2:7">
      <c r="B54" s="305"/>
      <c r="C54" s="305"/>
      <c r="D54" s="305"/>
      <c r="E54" s="305"/>
      <c r="F54" s="305"/>
      <c r="G54" s="305"/>
    </row>
    <row r="55" spans="2:7" ht="18.75">
      <c r="B55" s="150" t="s">
        <v>116</v>
      </c>
      <c r="C55" s="148" t="s">
        <v>113</v>
      </c>
      <c r="D55" s="306" t="s">
        <v>112</v>
      </c>
      <c r="E55" s="306"/>
      <c r="F55" s="146" t="s">
        <v>102</v>
      </c>
      <c r="G55" s="145" t="s">
        <v>112</v>
      </c>
    </row>
    <row r="56" spans="2:7" ht="18.75">
      <c r="B56" s="150" t="s">
        <v>117</v>
      </c>
      <c r="C56" s="148" t="s">
        <v>114</v>
      </c>
      <c r="D56" s="306" t="s">
        <v>115</v>
      </c>
      <c r="E56" s="306"/>
      <c r="F56" s="146" t="s">
        <v>114</v>
      </c>
      <c r="G56" s="145" t="s">
        <v>111</v>
      </c>
    </row>
    <row r="57" spans="2:7" ht="15.75">
      <c r="B57" s="151" t="e">
        <f>G57/(F57-C57)</f>
        <v>#DIV/0!</v>
      </c>
      <c r="C57" s="149" t="e">
        <f>D57/F5</f>
        <v>#DIV/0!</v>
      </c>
      <c r="D57" s="303" t="e">
        <f>B38+B21+B24</f>
        <v>#DIV/0!</v>
      </c>
      <c r="E57" s="303"/>
      <c r="F57" s="147">
        <f>F8</f>
        <v>0</v>
      </c>
      <c r="G57" s="202" t="e">
        <f>'توزيع التكاليف'!G24+'توزيع التكاليف'!G10</f>
        <v>#DIV/0!</v>
      </c>
    </row>
  </sheetData>
  <mergeCells count="31">
    <mergeCell ref="B2:C3"/>
    <mergeCell ref="D2:E3"/>
    <mergeCell ref="F2:F3"/>
    <mergeCell ref="G2:G3"/>
    <mergeCell ref="B5:C6"/>
    <mergeCell ref="D5:E6"/>
    <mergeCell ref="F5:F6"/>
    <mergeCell ref="G5:G6"/>
    <mergeCell ref="G34:G35"/>
    <mergeCell ref="B8:C9"/>
    <mergeCell ref="D8:E9"/>
    <mergeCell ref="F8:F9"/>
    <mergeCell ref="G8:G9"/>
    <mergeCell ref="B11:C11"/>
    <mergeCell ref="B13:B14"/>
    <mergeCell ref="C13:C14"/>
    <mergeCell ref="D13:E13"/>
    <mergeCell ref="F13:F14"/>
    <mergeCell ref="G13:G14"/>
    <mergeCell ref="G16:G20"/>
    <mergeCell ref="F21:G21"/>
    <mergeCell ref="F25:G25"/>
    <mergeCell ref="G27:G30"/>
    <mergeCell ref="G31:G33"/>
    <mergeCell ref="D57:E57"/>
    <mergeCell ref="G40:G43"/>
    <mergeCell ref="G44:G46"/>
    <mergeCell ref="G47:G48"/>
    <mergeCell ref="B53:G54"/>
    <mergeCell ref="D55:E55"/>
    <mergeCell ref="D56:E5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B1:AL57"/>
  <sheetViews>
    <sheetView workbookViewId="0">
      <pane xSplit="7" ySplit="15" topLeftCell="H16" activePane="bottomRight" state="frozen"/>
      <selection activeCell="I28" sqref="I28"/>
      <selection pane="topRight" activeCell="I28" sqref="I28"/>
      <selection pane="bottomLeft" activeCell="I28" sqref="I28"/>
      <selection pane="bottomRight" activeCell="I28" sqref="I28"/>
    </sheetView>
  </sheetViews>
  <sheetFormatPr defaultRowHeight="15"/>
  <cols>
    <col min="1" max="1" width="2.85546875" style="67" customWidth="1"/>
    <col min="2" max="2" width="22" style="67" bestFit="1" customWidth="1"/>
    <col min="3" max="3" width="17.85546875" style="67" bestFit="1" customWidth="1"/>
    <col min="4" max="4" width="12.42578125" style="67" customWidth="1"/>
    <col min="5" max="5" width="11" style="67" bestFit="1" customWidth="1"/>
    <col min="6" max="6" width="37.42578125" style="67" bestFit="1" customWidth="1"/>
    <col min="7" max="7" width="36.85546875" style="67" bestFit="1" customWidth="1"/>
    <col min="8" max="38" width="9.140625" style="81"/>
    <col min="39" max="16384" width="9.140625" style="67"/>
  </cols>
  <sheetData>
    <row r="1" spans="2:8" ht="8.25" customHeight="1"/>
    <row r="2" spans="2:8">
      <c r="B2" s="323" t="e">
        <f>F2/الرئيسية!N10</f>
        <v>#DIV/0!</v>
      </c>
      <c r="C2" s="323"/>
      <c r="D2" s="312" t="s">
        <v>101</v>
      </c>
      <c r="E2" s="312"/>
      <c r="F2" s="311">
        <f>الرئيسية!O10</f>
        <v>0</v>
      </c>
      <c r="G2" s="312" t="s">
        <v>12</v>
      </c>
    </row>
    <row r="3" spans="2:8">
      <c r="B3" s="323"/>
      <c r="C3" s="323"/>
      <c r="D3" s="312"/>
      <c r="E3" s="312"/>
      <c r="F3" s="311"/>
      <c r="G3" s="312"/>
    </row>
    <row r="4" spans="2:8" ht="5.25" customHeight="1" thickBot="1">
      <c r="B4" s="116"/>
      <c r="C4" s="116"/>
      <c r="D4" s="116"/>
      <c r="E4" s="116"/>
      <c r="F4" s="116"/>
      <c r="G4" s="116"/>
    </row>
    <row r="5" spans="2:8">
      <c r="B5" s="323" t="e">
        <f>F5/B2</f>
        <v>#DIV/0!</v>
      </c>
      <c r="C5" s="323"/>
      <c r="D5" s="312" t="s">
        <v>100</v>
      </c>
      <c r="E5" s="312"/>
      <c r="F5" s="292">
        <v>1</v>
      </c>
      <c r="G5" s="312" t="s">
        <v>99</v>
      </c>
    </row>
    <row r="6" spans="2:8" ht="15.75" thickBot="1">
      <c r="B6" s="323"/>
      <c r="C6" s="323"/>
      <c r="D6" s="312"/>
      <c r="E6" s="312"/>
      <c r="F6" s="293"/>
      <c r="G6" s="312"/>
    </row>
    <row r="7" spans="2:8" ht="4.5" customHeight="1" thickBot="1">
      <c r="B7" s="117"/>
      <c r="C7" s="117"/>
      <c r="D7" s="117"/>
      <c r="E7" s="117"/>
      <c r="F7" s="117"/>
      <c r="G7" s="117"/>
    </row>
    <row r="8" spans="2:8">
      <c r="B8" s="310" t="e">
        <f>B57</f>
        <v>#DIV/0!</v>
      </c>
      <c r="C8" s="311"/>
      <c r="D8" s="312" t="s">
        <v>103</v>
      </c>
      <c r="E8" s="312"/>
      <c r="F8" s="285"/>
      <c r="G8" s="312" t="s">
        <v>102</v>
      </c>
    </row>
    <row r="9" spans="2:8" ht="15.75" thickBot="1">
      <c r="B9" s="311"/>
      <c r="C9" s="311"/>
      <c r="D9" s="312"/>
      <c r="E9" s="312"/>
      <c r="F9" s="286"/>
      <c r="G9" s="312"/>
    </row>
    <row r="10" spans="2:8" ht="6" customHeight="1">
      <c r="B10" s="66"/>
      <c r="C10" s="66"/>
      <c r="D10" s="138"/>
      <c r="E10" s="138"/>
      <c r="F10" s="66"/>
      <c r="G10" s="66"/>
    </row>
    <row r="11" spans="2:8" ht="24" thickBot="1">
      <c r="B11" s="313" t="e">
        <f>B21+B25+B38+B50</f>
        <v>#DIV/0!</v>
      </c>
      <c r="C11" s="313"/>
      <c r="D11" s="143" t="s">
        <v>90</v>
      </c>
      <c r="E11" s="144">
        <f>F5</f>
        <v>1</v>
      </c>
      <c r="F11" s="142">
        <f>الرئيسية!P10</f>
        <v>0</v>
      </c>
      <c r="G11" s="207" t="s">
        <v>119</v>
      </c>
    </row>
    <row r="12" spans="2:8" ht="6" customHeight="1" thickBot="1">
      <c r="B12" s="139"/>
      <c r="C12" s="139"/>
      <c r="D12" s="140"/>
      <c r="E12" s="140"/>
      <c r="F12" s="141"/>
      <c r="G12" s="66"/>
    </row>
    <row r="13" spans="2:8" ht="18">
      <c r="B13" s="314" t="s">
        <v>81</v>
      </c>
      <c r="C13" s="316" t="s">
        <v>82</v>
      </c>
      <c r="D13" s="318" t="s">
        <v>83</v>
      </c>
      <c r="E13" s="314"/>
      <c r="F13" s="319" t="s">
        <v>18</v>
      </c>
      <c r="G13" s="321" t="s">
        <v>84</v>
      </c>
    </row>
    <row r="14" spans="2:8" ht="18.75" thickBot="1">
      <c r="B14" s="315"/>
      <c r="C14" s="317"/>
      <c r="D14" s="76" t="s">
        <v>85</v>
      </c>
      <c r="E14" s="77" t="s">
        <v>86</v>
      </c>
      <c r="F14" s="320"/>
      <c r="G14" s="322"/>
    </row>
    <row r="15" spans="2:8" ht="18.75" thickBot="1">
      <c r="B15" s="68"/>
      <c r="C15" s="68"/>
      <c r="D15" s="69"/>
      <c r="E15" s="68"/>
    </row>
    <row r="16" spans="2:8">
      <c r="B16" s="119">
        <f>C16*D16</f>
        <v>0</v>
      </c>
      <c r="C16" s="120">
        <f>'اجمالي التكاليف خلال الفترة'!H11</f>
        <v>0</v>
      </c>
      <c r="D16" s="152">
        <v>1</v>
      </c>
      <c r="E16" s="74" t="s">
        <v>87</v>
      </c>
      <c r="F16" s="74" t="str">
        <f>'اجمالي التكاليف خلال الفترة'!I11</f>
        <v>خام 1</v>
      </c>
      <c r="G16" s="287" t="s">
        <v>88</v>
      </c>
      <c r="H16" s="205"/>
    </row>
    <row r="17" spans="2:7">
      <c r="B17" s="119">
        <f>C17*D17</f>
        <v>0</v>
      </c>
      <c r="C17" s="121">
        <f>'اجمالي التكاليف خلال الفترة'!H12</f>
        <v>0</v>
      </c>
      <c r="D17" s="153">
        <v>1</v>
      </c>
      <c r="E17" s="90" t="s">
        <v>89</v>
      </c>
      <c r="F17" s="65" t="str">
        <f>'اجمالي التكاليف خلال الفترة'!I12</f>
        <v>خام 2</v>
      </c>
      <c r="G17" s="288"/>
    </row>
    <row r="18" spans="2:7">
      <c r="B18" s="119">
        <f t="shared" ref="B18:B20" si="0">C18*D18</f>
        <v>0</v>
      </c>
      <c r="C18" s="121">
        <f>'اجمالي التكاليف خلال الفترة'!H13</f>
        <v>0</v>
      </c>
      <c r="D18" s="153">
        <v>1</v>
      </c>
      <c r="E18" s="90" t="s">
        <v>87</v>
      </c>
      <c r="F18" s="65" t="str">
        <f>'اجمالي التكاليف خلال الفترة'!I13</f>
        <v>خام 3</v>
      </c>
      <c r="G18" s="288"/>
    </row>
    <row r="19" spans="2:7">
      <c r="B19" s="119">
        <f t="shared" si="0"/>
        <v>0</v>
      </c>
      <c r="C19" s="121">
        <f>'اجمالي التكاليف خلال الفترة'!H14</f>
        <v>0</v>
      </c>
      <c r="D19" s="153">
        <v>1</v>
      </c>
      <c r="E19" s="90" t="s">
        <v>89</v>
      </c>
      <c r="F19" s="65" t="str">
        <f>'اجمالي التكاليف خلال الفترة'!I14</f>
        <v>خام 4</v>
      </c>
      <c r="G19" s="288"/>
    </row>
    <row r="20" spans="2:7" ht="15.75" thickBot="1">
      <c r="B20" s="119">
        <f t="shared" si="0"/>
        <v>0</v>
      </c>
      <c r="C20" s="121">
        <f>'اجمالي التكاليف خلال الفترة'!H15</f>
        <v>0</v>
      </c>
      <c r="D20" s="154">
        <v>1</v>
      </c>
      <c r="E20" s="93" t="s">
        <v>87</v>
      </c>
      <c r="F20" s="65" t="str">
        <f>'اجمالي التكاليف خلال الفترة'!I15</f>
        <v>خام 5</v>
      </c>
      <c r="G20" s="288"/>
    </row>
    <row r="21" spans="2:7" ht="21" thickBot="1">
      <c r="B21" s="122">
        <f>SUM(B16:B20)*D21</f>
        <v>0</v>
      </c>
      <c r="C21" s="70" t="s">
        <v>90</v>
      </c>
      <c r="D21" s="95">
        <f>F5</f>
        <v>1</v>
      </c>
      <c r="E21" s="94" t="s">
        <v>93</v>
      </c>
      <c r="F21" s="307" t="s">
        <v>92</v>
      </c>
      <c r="G21" s="307"/>
    </row>
    <row r="22" spans="2:7" ht="15.75" thickBot="1"/>
    <row r="23" spans="2:7" ht="20.25">
      <c r="B23" s="123" t="e">
        <f>D23*C23</f>
        <v>#DIV/0!</v>
      </c>
      <c r="C23" s="126" t="e">
        <f>'توزيع التكاليف'!H10/الرئيسية!$N$10</f>
        <v>#DIV/0!</v>
      </c>
      <c r="D23" s="91" t="e">
        <f>$B$5</f>
        <v>#DIV/0!</v>
      </c>
      <c r="E23" s="84" t="s">
        <v>4</v>
      </c>
      <c r="F23" s="85" t="s">
        <v>94</v>
      </c>
      <c r="G23" s="86" t="s">
        <v>46</v>
      </c>
    </row>
    <row r="24" spans="2:7" ht="21" thickBot="1">
      <c r="B24" s="124" t="e">
        <f>D24*C24</f>
        <v>#DIV/0!</v>
      </c>
      <c r="C24" s="127" t="e">
        <f>'توزيع التكاليف'!H9/الرئيسية!$N$10</f>
        <v>#DIV/0!</v>
      </c>
      <c r="D24" s="92" t="e">
        <f>$B$5</f>
        <v>#DIV/0!</v>
      </c>
      <c r="E24" s="87" t="s">
        <v>4</v>
      </c>
      <c r="F24" s="88" t="s">
        <v>95</v>
      </c>
      <c r="G24" s="89" t="s">
        <v>96</v>
      </c>
    </row>
    <row r="25" spans="2:7" ht="21" thickBot="1">
      <c r="B25" s="125" t="e">
        <f>SUM(B23:B24)</f>
        <v>#DIV/0!</v>
      </c>
      <c r="C25" s="79" t="s">
        <v>90</v>
      </c>
      <c r="D25" s="80">
        <f>F5</f>
        <v>1</v>
      </c>
      <c r="E25" s="78" t="s">
        <v>98</v>
      </c>
      <c r="F25" s="308" t="s">
        <v>97</v>
      </c>
      <c r="G25" s="309"/>
    </row>
    <row r="26" spans="2:7" ht="15.75" thickBot="1"/>
    <row r="27" spans="2:7">
      <c r="B27" s="128" t="e">
        <f>D27*C27</f>
        <v>#DIV/0!</v>
      </c>
      <c r="C27" s="129" t="e">
        <f>'توزيع التكاليف'!H13/الرئيسية!$N$10</f>
        <v>#DIV/0!</v>
      </c>
      <c r="D27" s="97" t="e">
        <f>$B$5</f>
        <v>#DIV/0!</v>
      </c>
      <c r="E27" s="98" t="s">
        <v>4</v>
      </c>
      <c r="F27" s="98" t="str">
        <f>'اجمالي التكاليف خلال الفترة'!F6</f>
        <v>تكلفة متغيرة 1</v>
      </c>
      <c r="G27" s="277" t="s">
        <v>105</v>
      </c>
    </row>
    <row r="28" spans="2:7">
      <c r="B28" s="130" t="e">
        <f>D28*C28</f>
        <v>#DIV/0!</v>
      </c>
      <c r="C28" s="131" t="e">
        <f>'توزيع التكاليف'!H14/الرئيسية!$N$10</f>
        <v>#DIV/0!</v>
      </c>
      <c r="D28" s="101" t="e">
        <f>$B$5</f>
        <v>#DIV/0!</v>
      </c>
      <c r="E28" s="102" t="s">
        <v>4</v>
      </c>
      <c r="F28" s="102" t="str">
        <f>'اجمالي التكاليف خلال الفترة'!F7</f>
        <v>تكلفة متغيرة 2</v>
      </c>
      <c r="G28" s="278"/>
    </row>
    <row r="29" spans="2:7">
      <c r="B29" s="130" t="e">
        <f t="shared" ref="B29:B36" si="1">D29*C29</f>
        <v>#DIV/0!</v>
      </c>
      <c r="C29" s="131" t="e">
        <f>'توزيع التكاليف'!H15/الرئيسية!$N$10</f>
        <v>#DIV/0!</v>
      </c>
      <c r="D29" s="101" t="e">
        <f t="shared" ref="D29:D37" si="2">$B$5</f>
        <v>#DIV/0!</v>
      </c>
      <c r="E29" s="102" t="s">
        <v>4</v>
      </c>
      <c r="F29" s="102" t="str">
        <f>'اجمالي التكاليف خلال الفترة'!F8</f>
        <v>تكلفة متغيرة 3</v>
      </c>
      <c r="G29" s="278"/>
    </row>
    <row r="30" spans="2:7">
      <c r="B30" s="130" t="e">
        <f t="shared" si="1"/>
        <v>#DIV/0!</v>
      </c>
      <c r="C30" s="131" t="e">
        <f>'توزيع التكاليف'!H16/الرئيسية!$N$10</f>
        <v>#DIV/0!</v>
      </c>
      <c r="D30" s="101" t="e">
        <f t="shared" si="2"/>
        <v>#DIV/0!</v>
      </c>
      <c r="E30" s="102" t="s">
        <v>4</v>
      </c>
      <c r="F30" s="102" t="str">
        <f>'اجمالي التكاليف خلال الفترة'!F9</f>
        <v>تكلفة متغيرة 4</v>
      </c>
      <c r="G30" s="278"/>
    </row>
    <row r="31" spans="2:7">
      <c r="B31" s="130" t="e">
        <f t="shared" si="1"/>
        <v>#DIV/0!</v>
      </c>
      <c r="C31" s="131" t="e">
        <f>'توزيع التكاليف'!H17/الرئيسية!$N$10</f>
        <v>#DIV/0!</v>
      </c>
      <c r="D31" s="101" t="e">
        <f t="shared" si="2"/>
        <v>#DIV/0!</v>
      </c>
      <c r="E31" s="102" t="s">
        <v>4</v>
      </c>
      <c r="F31" s="102" t="str">
        <f>'اجمالي التكاليف خلال الفترة'!F10</f>
        <v>تكلفة متغيرة 5</v>
      </c>
      <c r="G31" s="279" t="s">
        <v>106</v>
      </c>
    </row>
    <row r="32" spans="2:7">
      <c r="B32" s="130" t="e">
        <f t="shared" si="1"/>
        <v>#DIV/0!</v>
      </c>
      <c r="C32" s="131" t="e">
        <f>'توزيع التكاليف'!H18/الرئيسية!$N$10</f>
        <v>#DIV/0!</v>
      </c>
      <c r="D32" s="101" t="e">
        <f t="shared" si="2"/>
        <v>#DIV/0!</v>
      </c>
      <c r="E32" s="75" t="s">
        <v>4</v>
      </c>
      <c r="F32" s="102" t="str">
        <f>'اجمالي التكاليف خلال الفترة'!F11</f>
        <v>تكلفة متغيرة 6</v>
      </c>
      <c r="G32" s="279"/>
    </row>
    <row r="33" spans="2:7">
      <c r="B33" s="130" t="e">
        <f t="shared" si="1"/>
        <v>#DIV/0!</v>
      </c>
      <c r="C33" s="131" t="e">
        <f>'توزيع التكاليف'!H19/الرئيسية!$N$10</f>
        <v>#DIV/0!</v>
      </c>
      <c r="D33" s="101" t="e">
        <f t="shared" si="2"/>
        <v>#DIV/0!</v>
      </c>
      <c r="E33" s="75" t="s">
        <v>4</v>
      </c>
      <c r="F33" s="102" t="str">
        <f>'اجمالي التكاليف خلال الفترة'!F12</f>
        <v>تكلفة متغيرة 7</v>
      </c>
      <c r="G33" s="279"/>
    </row>
    <row r="34" spans="2:7">
      <c r="B34" s="130" t="e">
        <f t="shared" si="1"/>
        <v>#DIV/0!</v>
      </c>
      <c r="C34" s="131" t="e">
        <f>'توزيع التكاليف'!H20/الرئيسية!$N$10</f>
        <v>#DIV/0!</v>
      </c>
      <c r="D34" s="101" t="e">
        <f t="shared" si="2"/>
        <v>#DIV/0!</v>
      </c>
      <c r="E34" s="75" t="s">
        <v>4</v>
      </c>
      <c r="F34" s="102" t="str">
        <f>'اجمالي التكاليف خلال الفترة'!F13</f>
        <v>تكلفة متغيرة 8</v>
      </c>
      <c r="G34" s="280" t="s">
        <v>107</v>
      </c>
    </row>
    <row r="35" spans="2:7">
      <c r="B35" s="130" t="e">
        <f t="shared" si="1"/>
        <v>#DIV/0!</v>
      </c>
      <c r="C35" s="131" t="e">
        <f>'توزيع التكاليف'!H21/الرئيسية!$N$10</f>
        <v>#DIV/0!</v>
      </c>
      <c r="D35" s="101" t="e">
        <f t="shared" si="2"/>
        <v>#DIV/0!</v>
      </c>
      <c r="E35" s="96" t="s">
        <v>4</v>
      </c>
      <c r="F35" s="102" t="str">
        <f>'اجمالي التكاليف خلال الفترة'!F14</f>
        <v>تكلفة متغيرة 9</v>
      </c>
      <c r="G35" s="280"/>
    </row>
    <row r="36" spans="2:7" ht="20.25">
      <c r="B36" s="130" t="e">
        <f t="shared" si="1"/>
        <v>#DIV/0!</v>
      </c>
      <c r="C36" s="131" t="e">
        <f>'توزيع التكاليف'!H22/الرئيسية!$N$10</f>
        <v>#DIV/0!</v>
      </c>
      <c r="D36" s="101" t="e">
        <f t="shared" si="2"/>
        <v>#DIV/0!</v>
      </c>
      <c r="E36" s="96" t="s">
        <v>4</v>
      </c>
      <c r="F36" s="102" t="str">
        <f>'اجمالي التكاليف خلال الفترة'!F15</f>
        <v>تكلفة متغيرة 10</v>
      </c>
      <c r="G36" s="99"/>
    </row>
    <row r="37" spans="2:7" ht="21" thickBot="1">
      <c r="B37" s="130" t="e">
        <f>D37*C37</f>
        <v>#DIV/0!</v>
      </c>
      <c r="C37" s="131" t="e">
        <f>'اهلاك خطوط الانتاج'!C2/F5*B5</f>
        <v>#DIV/0!</v>
      </c>
      <c r="D37" s="101" t="e">
        <f t="shared" si="2"/>
        <v>#DIV/0!</v>
      </c>
      <c r="E37" s="118" t="s">
        <v>4</v>
      </c>
      <c r="F37" s="102" t="str">
        <f>'اهلاك خطوط الانتاج'!$D$2</f>
        <v>اهلاك خط الانتاج</v>
      </c>
      <c r="G37" s="100"/>
    </row>
    <row r="38" spans="2:7" ht="21" thickBot="1">
      <c r="B38" s="132" t="e">
        <f>SUM(B27:B37)</f>
        <v>#DIV/0!</v>
      </c>
      <c r="C38" s="71" t="s">
        <v>90</v>
      </c>
      <c r="D38" s="72">
        <f>F5</f>
        <v>1</v>
      </c>
      <c r="E38" s="73" t="s">
        <v>91</v>
      </c>
      <c r="F38" s="82" t="s">
        <v>104</v>
      </c>
      <c r="G38" s="83"/>
    </row>
    <row r="39" spans="2:7" ht="15.75" thickBot="1"/>
    <row r="40" spans="2:7">
      <c r="B40" s="133" t="e">
        <f>D40*C40</f>
        <v>#DIV/0!</v>
      </c>
      <c r="C40" s="134" t="e">
        <f>'توزيع التكاليف'!H25/الرئيسية!$N$10</f>
        <v>#DIV/0!</v>
      </c>
      <c r="D40" s="107" t="e">
        <f>$B$5</f>
        <v>#DIV/0!</v>
      </c>
      <c r="E40" s="108" t="s">
        <v>4</v>
      </c>
      <c r="F40" s="108" t="str">
        <f>'اجمالي التكاليف خلال الفترة'!C6</f>
        <v>تكلفة ثابتة 1</v>
      </c>
      <c r="G40" s="271" t="s">
        <v>105</v>
      </c>
    </row>
    <row r="41" spans="2:7">
      <c r="B41" s="135" t="e">
        <f>D41*C41</f>
        <v>#DIV/0!</v>
      </c>
      <c r="C41" s="136" t="e">
        <f>'توزيع التكاليف'!H26/الرئيسية!$N$10</f>
        <v>#DIV/0!</v>
      </c>
      <c r="D41" s="109" t="e">
        <f>$B$5</f>
        <v>#DIV/0!</v>
      </c>
      <c r="E41" s="110" t="s">
        <v>4</v>
      </c>
      <c r="F41" s="110" t="str">
        <f>'اجمالي التكاليف خلال الفترة'!C7</f>
        <v>تكلفة ثابتة 2</v>
      </c>
      <c r="G41" s="272"/>
    </row>
    <row r="42" spans="2:7">
      <c r="B42" s="135" t="e">
        <f t="shared" ref="B42:B49" si="3">D42*C42</f>
        <v>#DIV/0!</v>
      </c>
      <c r="C42" s="136" t="e">
        <f>'توزيع التكاليف'!H27/الرئيسية!$N$10</f>
        <v>#DIV/0!</v>
      </c>
      <c r="D42" s="109" t="e">
        <f t="shared" ref="D42:D49" si="4">$B$5</f>
        <v>#DIV/0!</v>
      </c>
      <c r="E42" s="110" t="s">
        <v>4</v>
      </c>
      <c r="F42" s="110" t="str">
        <f>'اجمالي التكاليف خلال الفترة'!C8</f>
        <v>تكلفة ثابتة 3</v>
      </c>
      <c r="G42" s="272"/>
    </row>
    <row r="43" spans="2:7">
      <c r="B43" s="135" t="e">
        <f t="shared" si="3"/>
        <v>#DIV/0!</v>
      </c>
      <c r="C43" s="136" t="e">
        <f>'توزيع التكاليف'!H28/الرئيسية!$N$10</f>
        <v>#DIV/0!</v>
      </c>
      <c r="D43" s="109" t="e">
        <f t="shared" si="4"/>
        <v>#DIV/0!</v>
      </c>
      <c r="E43" s="110" t="s">
        <v>4</v>
      </c>
      <c r="F43" s="110" t="str">
        <f>'اجمالي التكاليف خلال الفترة'!C9</f>
        <v>تكلفة ثابتة 4</v>
      </c>
      <c r="G43" s="272"/>
    </row>
    <row r="44" spans="2:7">
      <c r="B44" s="135" t="e">
        <f t="shared" si="3"/>
        <v>#DIV/0!</v>
      </c>
      <c r="C44" s="136" t="e">
        <f>'توزيع التكاليف'!H29/الرئيسية!$N$10</f>
        <v>#DIV/0!</v>
      </c>
      <c r="D44" s="109" t="e">
        <f t="shared" si="4"/>
        <v>#DIV/0!</v>
      </c>
      <c r="E44" s="110" t="s">
        <v>4</v>
      </c>
      <c r="F44" s="110" t="str">
        <f>'اجمالي التكاليف خلال الفترة'!C10</f>
        <v>تكلفة ثابتة 5</v>
      </c>
      <c r="G44" s="273" t="s">
        <v>106</v>
      </c>
    </row>
    <row r="45" spans="2:7">
      <c r="B45" s="135" t="e">
        <f t="shared" si="3"/>
        <v>#DIV/0!</v>
      </c>
      <c r="C45" s="136" t="e">
        <f>'توزيع التكاليف'!H30/الرئيسية!$N$10</f>
        <v>#DIV/0!</v>
      </c>
      <c r="D45" s="109" t="e">
        <f t="shared" si="4"/>
        <v>#DIV/0!</v>
      </c>
      <c r="E45" s="111" t="s">
        <v>4</v>
      </c>
      <c r="F45" s="110" t="str">
        <f>'اجمالي التكاليف خلال الفترة'!C11</f>
        <v>تكلفة ثابتة 6</v>
      </c>
      <c r="G45" s="273"/>
    </row>
    <row r="46" spans="2:7">
      <c r="B46" s="135" t="e">
        <f t="shared" si="3"/>
        <v>#DIV/0!</v>
      </c>
      <c r="C46" s="136" t="e">
        <f>'توزيع التكاليف'!H31/الرئيسية!$N$10</f>
        <v>#DIV/0!</v>
      </c>
      <c r="D46" s="109" t="e">
        <f t="shared" si="4"/>
        <v>#DIV/0!</v>
      </c>
      <c r="E46" s="111" t="s">
        <v>4</v>
      </c>
      <c r="F46" s="110" t="str">
        <f>'اجمالي التكاليف خلال الفترة'!C12</f>
        <v>تكلفة ثابتة 7</v>
      </c>
      <c r="G46" s="273"/>
    </row>
    <row r="47" spans="2:7">
      <c r="B47" s="135" t="e">
        <f t="shared" si="3"/>
        <v>#DIV/0!</v>
      </c>
      <c r="C47" s="136" t="e">
        <f>'توزيع التكاليف'!H32/الرئيسية!$N$10</f>
        <v>#DIV/0!</v>
      </c>
      <c r="D47" s="109" t="e">
        <f t="shared" si="4"/>
        <v>#DIV/0!</v>
      </c>
      <c r="E47" s="111" t="s">
        <v>4</v>
      </c>
      <c r="F47" s="110" t="str">
        <f>'اجمالي التكاليف خلال الفترة'!C13</f>
        <v>تكلفة ثابتة 8</v>
      </c>
      <c r="G47" s="274" t="s">
        <v>108</v>
      </c>
    </row>
    <row r="48" spans="2:7">
      <c r="B48" s="135" t="e">
        <f t="shared" si="3"/>
        <v>#DIV/0!</v>
      </c>
      <c r="C48" s="136" t="e">
        <f>'توزيع التكاليف'!H33/الرئيسية!$N$10</f>
        <v>#DIV/0!</v>
      </c>
      <c r="D48" s="109" t="e">
        <f t="shared" si="4"/>
        <v>#DIV/0!</v>
      </c>
      <c r="E48" s="112" t="s">
        <v>4</v>
      </c>
      <c r="F48" s="110" t="str">
        <f>'اجمالي التكاليف خلال الفترة'!C14</f>
        <v>تكلفة ثابتة 9</v>
      </c>
      <c r="G48" s="274"/>
    </row>
    <row r="49" spans="2:7" ht="21" thickBot="1">
      <c r="B49" s="135" t="e">
        <f t="shared" si="3"/>
        <v>#DIV/0!</v>
      </c>
      <c r="C49" s="136" t="e">
        <f>'توزيع التكاليف'!H34/الرئيسية!$N$10</f>
        <v>#DIV/0!</v>
      </c>
      <c r="D49" s="109" t="e">
        <f t="shared" si="4"/>
        <v>#DIV/0!</v>
      </c>
      <c r="E49" s="113" t="s">
        <v>4</v>
      </c>
      <c r="F49" s="110" t="str">
        <f>'اجمالي التكاليف خلال الفترة'!C15</f>
        <v>تكلفة ثابتة 10</v>
      </c>
      <c r="G49" s="106"/>
    </row>
    <row r="50" spans="2:7" ht="21" thickBot="1">
      <c r="B50" s="137" t="e">
        <f>SUM(B40:B49)</f>
        <v>#DIV/0!</v>
      </c>
      <c r="C50" s="114" t="s">
        <v>90</v>
      </c>
      <c r="D50" s="115">
        <f>F5</f>
        <v>1</v>
      </c>
      <c r="E50" s="103" t="s">
        <v>91</v>
      </c>
      <c r="F50" s="104" t="s">
        <v>104</v>
      </c>
      <c r="G50" s="105"/>
    </row>
    <row r="53" spans="2:7">
      <c r="B53" s="304" t="s">
        <v>110</v>
      </c>
      <c r="C53" s="304"/>
      <c r="D53" s="304"/>
      <c r="E53" s="304"/>
      <c r="F53" s="304"/>
      <c r="G53" s="304"/>
    </row>
    <row r="54" spans="2:7">
      <c r="B54" s="305"/>
      <c r="C54" s="305"/>
      <c r="D54" s="305"/>
      <c r="E54" s="305"/>
      <c r="F54" s="305"/>
      <c r="G54" s="305"/>
    </row>
    <row r="55" spans="2:7" ht="18.75">
      <c r="B55" s="150" t="s">
        <v>116</v>
      </c>
      <c r="C55" s="148" t="s">
        <v>113</v>
      </c>
      <c r="D55" s="306" t="s">
        <v>112</v>
      </c>
      <c r="E55" s="306"/>
      <c r="F55" s="146" t="s">
        <v>102</v>
      </c>
      <c r="G55" s="145" t="s">
        <v>112</v>
      </c>
    </row>
    <row r="56" spans="2:7" ht="18.75">
      <c r="B56" s="150" t="s">
        <v>117</v>
      </c>
      <c r="C56" s="148" t="s">
        <v>114</v>
      </c>
      <c r="D56" s="306" t="s">
        <v>115</v>
      </c>
      <c r="E56" s="306"/>
      <c r="F56" s="146" t="s">
        <v>114</v>
      </c>
      <c r="G56" s="145" t="s">
        <v>111</v>
      </c>
    </row>
    <row r="57" spans="2:7" ht="15.75">
      <c r="B57" s="151" t="e">
        <f>G57/(F57-C57)</f>
        <v>#DIV/0!</v>
      </c>
      <c r="C57" s="149" t="e">
        <f>D57/F5</f>
        <v>#DIV/0!</v>
      </c>
      <c r="D57" s="303" t="e">
        <f>B38+B21+B24</f>
        <v>#DIV/0!</v>
      </c>
      <c r="E57" s="303"/>
      <c r="F57" s="147">
        <f>F8</f>
        <v>0</v>
      </c>
      <c r="G57" s="202" t="e">
        <f>'توزيع التكاليف'!H24+'توزيع التكاليف'!H10</f>
        <v>#DIV/0!</v>
      </c>
    </row>
  </sheetData>
  <mergeCells count="31">
    <mergeCell ref="B2:C3"/>
    <mergeCell ref="D2:E3"/>
    <mergeCell ref="F2:F3"/>
    <mergeCell ref="G2:G3"/>
    <mergeCell ref="B5:C6"/>
    <mergeCell ref="D5:E6"/>
    <mergeCell ref="F5:F6"/>
    <mergeCell ref="G5:G6"/>
    <mergeCell ref="G34:G35"/>
    <mergeCell ref="B8:C9"/>
    <mergeCell ref="D8:E9"/>
    <mergeCell ref="F8:F9"/>
    <mergeCell ref="G8:G9"/>
    <mergeCell ref="B11:C11"/>
    <mergeCell ref="B13:B14"/>
    <mergeCell ref="C13:C14"/>
    <mergeCell ref="D13:E13"/>
    <mergeCell ref="F13:F14"/>
    <mergeCell ref="G13:G14"/>
    <mergeCell ref="G16:G20"/>
    <mergeCell ref="F21:G21"/>
    <mergeCell ref="F25:G25"/>
    <mergeCell ref="G27:G30"/>
    <mergeCell ref="G31:G33"/>
    <mergeCell ref="D57:E57"/>
    <mergeCell ref="G40:G43"/>
    <mergeCell ref="G44:G46"/>
    <mergeCell ref="G47:G48"/>
    <mergeCell ref="B53:G54"/>
    <mergeCell ref="D55:E55"/>
    <mergeCell ref="D56:E5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B1:AL57"/>
  <sheetViews>
    <sheetView workbookViewId="0">
      <pane xSplit="7" ySplit="15" topLeftCell="H49" activePane="bottomRight" state="frozen"/>
      <selection activeCell="I28" sqref="I28"/>
      <selection pane="topRight" activeCell="I28" sqref="I28"/>
      <selection pane="bottomLeft" activeCell="I28" sqref="I28"/>
      <selection pane="bottomRight" activeCell="I28" sqref="I28"/>
    </sheetView>
  </sheetViews>
  <sheetFormatPr defaultRowHeight="15"/>
  <cols>
    <col min="1" max="1" width="2.85546875" style="67" customWidth="1"/>
    <col min="2" max="2" width="22" style="67" bestFit="1" customWidth="1"/>
    <col min="3" max="3" width="17.85546875" style="67" bestFit="1" customWidth="1"/>
    <col min="4" max="4" width="12.42578125" style="67" customWidth="1"/>
    <col min="5" max="5" width="11" style="67" bestFit="1" customWidth="1"/>
    <col min="6" max="6" width="37.42578125" style="67" bestFit="1" customWidth="1"/>
    <col min="7" max="7" width="36.85546875" style="67" bestFit="1" customWidth="1"/>
    <col min="8" max="38" width="9.140625" style="81"/>
    <col min="39" max="16384" width="9.140625" style="67"/>
  </cols>
  <sheetData>
    <row r="1" spans="2:8" ht="8.25" customHeight="1"/>
    <row r="2" spans="2:8">
      <c r="B2" s="323" t="e">
        <f>F2/الرئيسية!N14</f>
        <v>#DIV/0!</v>
      </c>
      <c r="C2" s="323"/>
      <c r="D2" s="312" t="s">
        <v>101</v>
      </c>
      <c r="E2" s="312"/>
      <c r="F2" s="311">
        <f>الرئيسية!O14</f>
        <v>0</v>
      </c>
      <c r="G2" s="312" t="s">
        <v>12</v>
      </c>
    </row>
    <row r="3" spans="2:8">
      <c r="B3" s="323"/>
      <c r="C3" s="323"/>
      <c r="D3" s="312"/>
      <c r="E3" s="312"/>
      <c r="F3" s="311"/>
      <c r="G3" s="312"/>
    </row>
    <row r="4" spans="2:8" ht="5.25" customHeight="1" thickBot="1">
      <c r="B4" s="116"/>
      <c r="C4" s="116"/>
      <c r="D4" s="116"/>
      <c r="E4" s="116"/>
      <c r="F4" s="116"/>
      <c r="G4" s="116"/>
    </row>
    <row r="5" spans="2:8">
      <c r="B5" s="323" t="e">
        <f>F5/B2</f>
        <v>#DIV/0!</v>
      </c>
      <c r="C5" s="323"/>
      <c r="D5" s="312" t="s">
        <v>100</v>
      </c>
      <c r="E5" s="312"/>
      <c r="F5" s="292">
        <v>1</v>
      </c>
      <c r="G5" s="312" t="s">
        <v>99</v>
      </c>
    </row>
    <row r="6" spans="2:8" ht="15.75" thickBot="1">
      <c r="B6" s="323"/>
      <c r="C6" s="323"/>
      <c r="D6" s="312"/>
      <c r="E6" s="312"/>
      <c r="F6" s="293"/>
      <c r="G6" s="312"/>
    </row>
    <row r="7" spans="2:8" ht="4.5" customHeight="1" thickBot="1">
      <c r="B7" s="117"/>
      <c r="C7" s="117"/>
      <c r="D7" s="117"/>
      <c r="E7" s="117"/>
      <c r="F7" s="117"/>
      <c r="G7" s="117"/>
    </row>
    <row r="8" spans="2:8">
      <c r="B8" s="310" t="e">
        <f>B57</f>
        <v>#DIV/0!</v>
      </c>
      <c r="C8" s="311"/>
      <c r="D8" s="312" t="s">
        <v>103</v>
      </c>
      <c r="E8" s="312"/>
      <c r="F8" s="285"/>
      <c r="G8" s="312" t="s">
        <v>102</v>
      </c>
    </row>
    <row r="9" spans="2:8" ht="15.75" thickBot="1">
      <c r="B9" s="311"/>
      <c r="C9" s="311"/>
      <c r="D9" s="312"/>
      <c r="E9" s="312"/>
      <c r="F9" s="286"/>
      <c r="G9" s="312"/>
    </row>
    <row r="10" spans="2:8" ht="6" customHeight="1">
      <c r="B10" s="66"/>
      <c r="C10" s="66"/>
      <c r="D10" s="138"/>
      <c r="E10" s="138"/>
      <c r="F10" s="66"/>
      <c r="G10" s="66"/>
    </row>
    <row r="11" spans="2:8" ht="24" thickBot="1">
      <c r="B11" s="313" t="e">
        <f>B21+B25+B38+B50</f>
        <v>#DIV/0!</v>
      </c>
      <c r="C11" s="313"/>
      <c r="D11" s="143" t="s">
        <v>90</v>
      </c>
      <c r="E11" s="144">
        <f>F5</f>
        <v>1</v>
      </c>
      <c r="F11" s="142">
        <f>الرئيسية!P14</f>
        <v>0</v>
      </c>
      <c r="G11" s="207" t="s">
        <v>119</v>
      </c>
    </row>
    <row r="12" spans="2:8" ht="6" customHeight="1" thickBot="1">
      <c r="B12" s="139"/>
      <c r="C12" s="139"/>
      <c r="D12" s="140"/>
      <c r="E12" s="140"/>
      <c r="F12" s="141"/>
      <c r="G12" s="66"/>
    </row>
    <row r="13" spans="2:8" ht="18">
      <c r="B13" s="314" t="s">
        <v>81</v>
      </c>
      <c r="C13" s="316" t="s">
        <v>82</v>
      </c>
      <c r="D13" s="318" t="s">
        <v>83</v>
      </c>
      <c r="E13" s="314"/>
      <c r="F13" s="319" t="s">
        <v>18</v>
      </c>
      <c r="G13" s="321" t="s">
        <v>84</v>
      </c>
    </row>
    <row r="14" spans="2:8" ht="18.75" thickBot="1">
      <c r="B14" s="315"/>
      <c r="C14" s="317"/>
      <c r="D14" s="76" t="s">
        <v>85</v>
      </c>
      <c r="E14" s="77" t="s">
        <v>86</v>
      </c>
      <c r="F14" s="320"/>
      <c r="G14" s="322"/>
    </row>
    <row r="15" spans="2:8" ht="18.75" thickBot="1">
      <c r="B15" s="68"/>
      <c r="C15" s="68"/>
      <c r="D15" s="69"/>
      <c r="E15" s="68"/>
    </row>
    <row r="16" spans="2:8">
      <c r="B16" s="119">
        <f>C16*D16</f>
        <v>0</v>
      </c>
      <c r="C16" s="120">
        <f>'اجمالي التكاليف خلال الفترة'!H11</f>
        <v>0</v>
      </c>
      <c r="D16" s="152">
        <v>1</v>
      </c>
      <c r="E16" s="74" t="s">
        <v>87</v>
      </c>
      <c r="F16" s="74" t="str">
        <f>'اجمالي التكاليف خلال الفترة'!I11</f>
        <v>خام 1</v>
      </c>
      <c r="G16" s="287" t="s">
        <v>88</v>
      </c>
      <c r="H16" s="205"/>
    </row>
    <row r="17" spans="2:7">
      <c r="B17" s="119">
        <f>C17*D17</f>
        <v>0</v>
      </c>
      <c r="C17" s="121">
        <f>'اجمالي التكاليف خلال الفترة'!H12</f>
        <v>0</v>
      </c>
      <c r="D17" s="153">
        <v>1</v>
      </c>
      <c r="E17" s="90" t="s">
        <v>89</v>
      </c>
      <c r="F17" s="65" t="str">
        <f>'اجمالي التكاليف خلال الفترة'!I12</f>
        <v>خام 2</v>
      </c>
      <c r="G17" s="288"/>
    </row>
    <row r="18" spans="2:7">
      <c r="B18" s="119">
        <f t="shared" ref="B18:B20" si="0">C18*D18</f>
        <v>0</v>
      </c>
      <c r="C18" s="121">
        <f>'اجمالي التكاليف خلال الفترة'!H13</f>
        <v>0</v>
      </c>
      <c r="D18" s="153">
        <v>1</v>
      </c>
      <c r="E18" s="90" t="s">
        <v>87</v>
      </c>
      <c r="F18" s="65" t="str">
        <f>'اجمالي التكاليف خلال الفترة'!I13</f>
        <v>خام 3</v>
      </c>
      <c r="G18" s="288"/>
    </row>
    <row r="19" spans="2:7">
      <c r="B19" s="119">
        <f t="shared" si="0"/>
        <v>0</v>
      </c>
      <c r="C19" s="121">
        <f>'اجمالي التكاليف خلال الفترة'!H14</f>
        <v>0</v>
      </c>
      <c r="D19" s="153">
        <v>1</v>
      </c>
      <c r="E19" s="90" t="s">
        <v>89</v>
      </c>
      <c r="F19" s="65" t="str">
        <f>'اجمالي التكاليف خلال الفترة'!I14</f>
        <v>خام 4</v>
      </c>
      <c r="G19" s="288"/>
    </row>
    <row r="20" spans="2:7" ht="15.75" thickBot="1">
      <c r="B20" s="119">
        <f t="shared" si="0"/>
        <v>0</v>
      </c>
      <c r="C20" s="121">
        <f>'اجمالي التكاليف خلال الفترة'!H15</f>
        <v>0</v>
      </c>
      <c r="D20" s="154">
        <v>1</v>
      </c>
      <c r="E20" s="93" t="s">
        <v>87</v>
      </c>
      <c r="F20" s="65" t="str">
        <f>'اجمالي التكاليف خلال الفترة'!I15</f>
        <v>خام 5</v>
      </c>
      <c r="G20" s="288"/>
    </row>
    <row r="21" spans="2:7" ht="21" thickBot="1">
      <c r="B21" s="122">
        <f>SUM(B16:B20)*D21</f>
        <v>0</v>
      </c>
      <c r="C21" s="70" t="s">
        <v>90</v>
      </c>
      <c r="D21" s="95">
        <f>F5</f>
        <v>1</v>
      </c>
      <c r="E21" s="94" t="s">
        <v>93</v>
      </c>
      <c r="F21" s="307" t="s">
        <v>92</v>
      </c>
      <c r="G21" s="307"/>
    </row>
    <row r="22" spans="2:7" ht="15.75" thickBot="1"/>
    <row r="23" spans="2:7" ht="20.25">
      <c r="B23" s="123" t="e">
        <f>D23*C23</f>
        <v>#DIV/0!</v>
      </c>
      <c r="C23" s="126" t="e">
        <f>'توزيع التكاليف'!I10/الرئيسية!$N$14</f>
        <v>#DIV/0!</v>
      </c>
      <c r="D23" s="91" t="e">
        <f>$B$5</f>
        <v>#DIV/0!</v>
      </c>
      <c r="E23" s="84" t="s">
        <v>4</v>
      </c>
      <c r="F23" s="85" t="s">
        <v>94</v>
      </c>
      <c r="G23" s="86" t="s">
        <v>46</v>
      </c>
    </row>
    <row r="24" spans="2:7" ht="21" thickBot="1">
      <c r="B24" s="124" t="e">
        <f>D24*C24</f>
        <v>#DIV/0!</v>
      </c>
      <c r="C24" s="127" t="e">
        <f>'توزيع التكاليف'!I9/الرئيسية!$N$14</f>
        <v>#DIV/0!</v>
      </c>
      <c r="D24" s="92" t="e">
        <f>$B$5</f>
        <v>#DIV/0!</v>
      </c>
      <c r="E24" s="87" t="s">
        <v>4</v>
      </c>
      <c r="F24" s="88" t="s">
        <v>95</v>
      </c>
      <c r="G24" s="89" t="s">
        <v>96</v>
      </c>
    </row>
    <row r="25" spans="2:7" ht="21" thickBot="1">
      <c r="B25" s="125" t="e">
        <f>SUM(B23:B24)</f>
        <v>#DIV/0!</v>
      </c>
      <c r="C25" s="79" t="s">
        <v>90</v>
      </c>
      <c r="D25" s="80">
        <f>F5</f>
        <v>1</v>
      </c>
      <c r="E25" s="78" t="s">
        <v>98</v>
      </c>
      <c r="F25" s="308" t="s">
        <v>97</v>
      </c>
      <c r="G25" s="309"/>
    </row>
    <row r="26" spans="2:7" ht="15.75" thickBot="1"/>
    <row r="27" spans="2:7">
      <c r="B27" s="128" t="e">
        <f>D27*C27</f>
        <v>#DIV/0!</v>
      </c>
      <c r="C27" s="129" t="e">
        <f>'توزيع التكاليف'!I13/الرئيسية!$N$14</f>
        <v>#DIV/0!</v>
      </c>
      <c r="D27" s="97" t="e">
        <f>$B$5</f>
        <v>#DIV/0!</v>
      </c>
      <c r="E27" s="98" t="s">
        <v>4</v>
      </c>
      <c r="F27" s="98" t="str">
        <f>'اجمالي التكاليف خلال الفترة'!F6</f>
        <v>تكلفة متغيرة 1</v>
      </c>
      <c r="G27" s="277" t="s">
        <v>105</v>
      </c>
    </row>
    <row r="28" spans="2:7">
      <c r="B28" s="130" t="e">
        <f>D28*C28</f>
        <v>#DIV/0!</v>
      </c>
      <c r="C28" s="131" t="e">
        <f>'توزيع التكاليف'!I14/الرئيسية!$N$14</f>
        <v>#DIV/0!</v>
      </c>
      <c r="D28" s="101" t="e">
        <f>$B$5</f>
        <v>#DIV/0!</v>
      </c>
      <c r="E28" s="102" t="s">
        <v>4</v>
      </c>
      <c r="F28" s="102" t="str">
        <f>'اجمالي التكاليف خلال الفترة'!F7</f>
        <v>تكلفة متغيرة 2</v>
      </c>
      <c r="G28" s="278"/>
    </row>
    <row r="29" spans="2:7">
      <c r="B29" s="130" t="e">
        <f t="shared" ref="B29:B36" si="1">D29*C29</f>
        <v>#DIV/0!</v>
      </c>
      <c r="C29" s="131" t="e">
        <f>'توزيع التكاليف'!I15/الرئيسية!$N$14</f>
        <v>#DIV/0!</v>
      </c>
      <c r="D29" s="101" t="e">
        <f t="shared" ref="D29:D37" si="2">$B$5</f>
        <v>#DIV/0!</v>
      </c>
      <c r="E29" s="102" t="s">
        <v>4</v>
      </c>
      <c r="F29" s="102" t="str">
        <f>'اجمالي التكاليف خلال الفترة'!F8</f>
        <v>تكلفة متغيرة 3</v>
      </c>
      <c r="G29" s="278"/>
    </row>
    <row r="30" spans="2:7">
      <c r="B30" s="130" t="e">
        <f t="shared" si="1"/>
        <v>#DIV/0!</v>
      </c>
      <c r="C30" s="131" t="e">
        <f>'توزيع التكاليف'!I16/الرئيسية!$N$14</f>
        <v>#DIV/0!</v>
      </c>
      <c r="D30" s="101" t="e">
        <f t="shared" si="2"/>
        <v>#DIV/0!</v>
      </c>
      <c r="E30" s="102" t="s">
        <v>4</v>
      </c>
      <c r="F30" s="102" t="str">
        <f>'اجمالي التكاليف خلال الفترة'!F9</f>
        <v>تكلفة متغيرة 4</v>
      </c>
      <c r="G30" s="278"/>
    </row>
    <row r="31" spans="2:7">
      <c r="B31" s="130" t="e">
        <f t="shared" si="1"/>
        <v>#DIV/0!</v>
      </c>
      <c r="C31" s="131" t="e">
        <f>'توزيع التكاليف'!I17/الرئيسية!$N$14</f>
        <v>#DIV/0!</v>
      </c>
      <c r="D31" s="101" t="e">
        <f t="shared" si="2"/>
        <v>#DIV/0!</v>
      </c>
      <c r="E31" s="102" t="s">
        <v>4</v>
      </c>
      <c r="F31" s="102" t="str">
        <f>'اجمالي التكاليف خلال الفترة'!F10</f>
        <v>تكلفة متغيرة 5</v>
      </c>
      <c r="G31" s="279" t="s">
        <v>106</v>
      </c>
    </row>
    <row r="32" spans="2:7">
      <c r="B32" s="130" t="e">
        <f t="shared" si="1"/>
        <v>#DIV/0!</v>
      </c>
      <c r="C32" s="131" t="e">
        <f>'توزيع التكاليف'!I18/الرئيسية!$N$14</f>
        <v>#DIV/0!</v>
      </c>
      <c r="D32" s="101" t="e">
        <f t="shared" si="2"/>
        <v>#DIV/0!</v>
      </c>
      <c r="E32" s="75" t="s">
        <v>4</v>
      </c>
      <c r="F32" s="102" t="str">
        <f>'اجمالي التكاليف خلال الفترة'!F11</f>
        <v>تكلفة متغيرة 6</v>
      </c>
      <c r="G32" s="279"/>
    </row>
    <row r="33" spans="2:7">
      <c r="B33" s="130" t="e">
        <f t="shared" si="1"/>
        <v>#DIV/0!</v>
      </c>
      <c r="C33" s="131" t="e">
        <f>'توزيع التكاليف'!I19/الرئيسية!$N$14</f>
        <v>#DIV/0!</v>
      </c>
      <c r="D33" s="101" t="e">
        <f t="shared" si="2"/>
        <v>#DIV/0!</v>
      </c>
      <c r="E33" s="75" t="s">
        <v>4</v>
      </c>
      <c r="F33" s="102" t="str">
        <f>'اجمالي التكاليف خلال الفترة'!F12</f>
        <v>تكلفة متغيرة 7</v>
      </c>
      <c r="G33" s="279"/>
    </row>
    <row r="34" spans="2:7">
      <c r="B34" s="130" t="e">
        <f t="shared" si="1"/>
        <v>#DIV/0!</v>
      </c>
      <c r="C34" s="131" t="e">
        <f>'توزيع التكاليف'!I20/الرئيسية!$N$14</f>
        <v>#DIV/0!</v>
      </c>
      <c r="D34" s="101" t="e">
        <f t="shared" si="2"/>
        <v>#DIV/0!</v>
      </c>
      <c r="E34" s="75" t="s">
        <v>4</v>
      </c>
      <c r="F34" s="102" t="str">
        <f>'اجمالي التكاليف خلال الفترة'!F13</f>
        <v>تكلفة متغيرة 8</v>
      </c>
      <c r="G34" s="280" t="s">
        <v>107</v>
      </c>
    </row>
    <row r="35" spans="2:7">
      <c r="B35" s="130" t="e">
        <f t="shared" si="1"/>
        <v>#DIV/0!</v>
      </c>
      <c r="C35" s="131" t="e">
        <f>'توزيع التكاليف'!I21/الرئيسية!$N$14</f>
        <v>#DIV/0!</v>
      </c>
      <c r="D35" s="101" t="e">
        <f t="shared" si="2"/>
        <v>#DIV/0!</v>
      </c>
      <c r="E35" s="96" t="s">
        <v>4</v>
      </c>
      <c r="F35" s="102" t="str">
        <f>'اجمالي التكاليف خلال الفترة'!F14</f>
        <v>تكلفة متغيرة 9</v>
      </c>
      <c r="G35" s="280"/>
    </row>
    <row r="36" spans="2:7" ht="20.25">
      <c r="B36" s="130" t="e">
        <f t="shared" si="1"/>
        <v>#DIV/0!</v>
      </c>
      <c r="C36" s="131" t="e">
        <f>'توزيع التكاليف'!I22/الرئيسية!$N$14</f>
        <v>#DIV/0!</v>
      </c>
      <c r="D36" s="101" t="e">
        <f t="shared" si="2"/>
        <v>#DIV/0!</v>
      </c>
      <c r="E36" s="96" t="s">
        <v>4</v>
      </c>
      <c r="F36" s="102" t="str">
        <f>'اجمالي التكاليف خلال الفترة'!F15</f>
        <v>تكلفة متغيرة 10</v>
      </c>
      <c r="G36" s="99"/>
    </row>
    <row r="37" spans="2:7" ht="21" thickBot="1">
      <c r="B37" s="130" t="e">
        <f>D37*C37</f>
        <v>#DIV/0!</v>
      </c>
      <c r="C37" s="131" t="e">
        <f>'اهلاك خطوط الانتاج'!C2/F5*B5</f>
        <v>#DIV/0!</v>
      </c>
      <c r="D37" s="101" t="e">
        <f t="shared" si="2"/>
        <v>#DIV/0!</v>
      </c>
      <c r="E37" s="118" t="s">
        <v>4</v>
      </c>
      <c r="F37" s="102" t="str">
        <f>'اهلاك خطوط الانتاج'!$D$2</f>
        <v>اهلاك خط الانتاج</v>
      </c>
      <c r="G37" s="100"/>
    </row>
    <row r="38" spans="2:7" ht="21" thickBot="1">
      <c r="B38" s="132" t="e">
        <f>SUM(B27:B37)</f>
        <v>#DIV/0!</v>
      </c>
      <c r="C38" s="71" t="s">
        <v>90</v>
      </c>
      <c r="D38" s="72">
        <f>F5</f>
        <v>1</v>
      </c>
      <c r="E38" s="73" t="s">
        <v>91</v>
      </c>
      <c r="F38" s="82" t="s">
        <v>104</v>
      </c>
      <c r="G38" s="83"/>
    </row>
    <row r="39" spans="2:7" ht="15.75" thickBot="1"/>
    <row r="40" spans="2:7">
      <c r="B40" s="133" t="e">
        <f>D40*C40</f>
        <v>#DIV/0!</v>
      </c>
      <c r="C40" s="134" t="e">
        <f>'توزيع التكاليف'!I25/الرئيسية!$N$14</f>
        <v>#DIV/0!</v>
      </c>
      <c r="D40" s="107" t="e">
        <f>$B$5</f>
        <v>#DIV/0!</v>
      </c>
      <c r="E40" s="108" t="s">
        <v>4</v>
      </c>
      <c r="F40" s="108" t="str">
        <f>'اجمالي التكاليف خلال الفترة'!C6</f>
        <v>تكلفة ثابتة 1</v>
      </c>
      <c r="G40" s="271" t="s">
        <v>105</v>
      </c>
    </row>
    <row r="41" spans="2:7">
      <c r="B41" s="135" t="e">
        <f>D41*C41</f>
        <v>#DIV/0!</v>
      </c>
      <c r="C41" s="136" t="e">
        <f>'توزيع التكاليف'!I26/الرئيسية!$N$14</f>
        <v>#DIV/0!</v>
      </c>
      <c r="D41" s="109" t="e">
        <f>$B$5</f>
        <v>#DIV/0!</v>
      </c>
      <c r="E41" s="110" t="s">
        <v>4</v>
      </c>
      <c r="F41" s="110" t="str">
        <f>'اجمالي التكاليف خلال الفترة'!C7</f>
        <v>تكلفة ثابتة 2</v>
      </c>
      <c r="G41" s="272"/>
    </row>
    <row r="42" spans="2:7">
      <c r="B42" s="135" t="e">
        <f t="shared" ref="B42:B49" si="3">D42*C42</f>
        <v>#DIV/0!</v>
      </c>
      <c r="C42" s="136" t="e">
        <f>'توزيع التكاليف'!I27/الرئيسية!$N$14</f>
        <v>#DIV/0!</v>
      </c>
      <c r="D42" s="109" t="e">
        <f t="shared" ref="D42:D49" si="4">$B$5</f>
        <v>#DIV/0!</v>
      </c>
      <c r="E42" s="110" t="s">
        <v>4</v>
      </c>
      <c r="F42" s="110" t="str">
        <f>'اجمالي التكاليف خلال الفترة'!C8</f>
        <v>تكلفة ثابتة 3</v>
      </c>
      <c r="G42" s="272"/>
    </row>
    <row r="43" spans="2:7">
      <c r="B43" s="135" t="e">
        <f t="shared" si="3"/>
        <v>#DIV/0!</v>
      </c>
      <c r="C43" s="136" t="e">
        <f>'توزيع التكاليف'!I28/الرئيسية!$N$14</f>
        <v>#DIV/0!</v>
      </c>
      <c r="D43" s="109" t="e">
        <f t="shared" si="4"/>
        <v>#DIV/0!</v>
      </c>
      <c r="E43" s="110" t="s">
        <v>4</v>
      </c>
      <c r="F43" s="110" t="str">
        <f>'اجمالي التكاليف خلال الفترة'!C9</f>
        <v>تكلفة ثابتة 4</v>
      </c>
      <c r="G43" s="272"/>
    </row>
    <row r="44" spans="2:7">
      <c r="B44" s="135" t="e">
        <f t="shared" si="3"/>
        <v>#DIV/0!</v>
      </c>
      <c r="C44" s="136" t="e">
        <f>'توزيع التكاليف'!I29/الرئيسية!$N$14</f>
        <v>#DIV/0!</v>
      </c>
      <c r="D44" s="109" t="e">
        <f t="shared" si="4"/>
        <v>#DIV/0!</v>
      </c>
      <c r="E44" s="110" t="s">
        <v>4</v>
      </c>
      <c r="F44" s="110" t="str">
        <f>'اجمالي التكاليف خلال الفترة'!C10</f>
        <v>تكلفة ثابتة 5</v>
      </c>
      <c r="G44" s="273" t="s">
        <v>106</v>
      </c>
    </row>
    <row r="45" spans="2:7">
      <c r="B45" s="135" t="e">
        <f t="shared" si="3"/>
        <v>#DIV/0!</v>
      </c>
      <c r="C45" s="136" t="e">
        <f>'توزيع التكاليف'!I30/الرئيسية!$N$14</f>
        <v>#DIV/0!</v>
      </c>
      <c r="D45" s="109" t="e">
        <f t="shared" si="4"/>
        <v>#DIV/0!</v>
      </c>
      <c r="E45" s="111" t="s">
        <v>4</v>
      </c>
      <c r="F45" s="110" t="str">
        <f>'اجمالي التكاليف خلال الفترة'!C11</f>
        <v>تكلفة ثابتة 6</v>
      </c>
      <c r="G45" s="273"/>
    </row>
    <row r="46" spans="2:7">
      <c r="B46" s="135" t="e">
        <f t="shared" si="3"/>
        <v>#DIV/0!</v>
      </c>
      <c r="C46" s="136" t="e">
        <f>'توزيع التكاليف'!I31/الرئيسية!$N$14</f>
        <v>#DIV/0!</v>
      </c>
      <c r="D46" s="109" t="e">
        <f t="shared" si="4"/>
        <v>#DIV/0!</v>
      </c>
      <c r="E46" s="111" t="s">
        <v>4</v>
      </c>
      <c r="F46" s="110" t="str">
        <f>'اجمالي التكاليف خلال الفترة'!C12</f>
        <v>تكلفة ثابتة 7</v>
      </c>
      <c r="G46" s="273"/>
    </row>
    <row r="47" spans="2:7">
      <c r="B47" s="135" t="e">
        <f t="shared" si="3"/>
        <v>#DIV/0!</v>
      </c>
      <c r="C47" s="136" t="e">
        <f>'توزيع التكاليف'!I32/الرئيسية!$N$14</f>
        <v>#DIV/0!</v>
      </c>
      <c r="D47" s="109" t="e">
        <f t="shared" si="4"/>
        <v>#DIV/0!</v>
      </c>
      <c r="E47" s="111" t="s">
        <v>4</v>
      </c>
      <c r="F47" s="110" t="str">
        <f>'اجمالي التكاليف خلال الفترة'!C13</f>
        <v>تكلفة ثابتة 8</v>
      </c>
      <c r="G47" s="274" t="s">
        <v>108</v>
      </c>
    </row>
    <row r="48" spans="2:7">
      <c r="B48" s="135" t="e">
        <f t="shared" si="3"/>
        <v>#DIV/0!</v>
      </c>
      <c r="C48" s="136" t="e">
        <f>'توزيع التكاليف'!I33/الرئيسية!$N$14</f>
        <v>#DIV/0!</v>
      </c>
      <c r="D48" s="109" t="e">
        <f t="shared" si="4"/>
        <v>#DIV/0!</v>
      </c>
      <c r="E48" s="112" t="s">
        <v>4</v>
      </c>
      <c r="F48" s="110" t="str">
        <f>'اجمالي التكاليف خلال الفترة'!C14</f>
        <v>تكلفة ثابتة 9</v>
      </c>
      <c r="G48" s="274"/>
    </row>
    <row r="49" spans="2:7" ht="21" thickBot="1">
      <c r="B49" s="135" t="e">
        <f t="shared" si="3"/>
        <v>#DIV/0!</v>
      </c>
      <c r="C49" s="136" t="e">
        <f>'توزيع التكاليف'!I34/الرئيسية!$N$14</f>
        <v>#DIV/0!</v>
      </c>
      <c r="D49" s="109" t="e">
        <f t="shared" si="4"/>
        <v>#DIV/0!</v>
      </c>
      <c r="E49" s="113" t="s">
        <v>4</v>
      </c>
      <c r="F49" s="110" t="str">
        <f>'اجمالي التكاليف خلال الفترة'!C15</f>
        <v>تكلفة ثابتة 10</v>
      </c>
      <c r="G49" s="106"/>
    </row>
    <row r="50" spans="2:7" ht="21" thickBot="1">
      <c r="B50" s="137" t="e">
        <f>SUM(B40:B49)</f>
        <v>#DIV/0!</v>
      </c>
      <c r="C50" s="114" t="s">
        <v>90</v>
      </c>
      <c r="D50" s="115">
        <f>F5</f>
        <v>1</v>
      </c>
      <c r="E50" s="103" t="s">
        <v>91</v>
      </c>
      <c r="F50" s="104" t="s">
        <v>104</v>
      </c>
      <c r="G50" s="105"/>
    </row>
    <row r="53" spans="2:7">
      <c r="B53" s="304" t="s">
        <v>110</v>
      </c>
      <c r="C53" s="304"/>
      <c r="D53" s="304"/>
      <c r="E53" s="304"/>
      <c r="F53" s="304"/>
      <c r="G53" s="304"/>
    </row>
    <row r="54" spans="2:7">
      <c r="B54" s="305"/>
      <c r="C54" s="305"/>
      <c r="D54" s="305"/>
      <c r="E54" s="305"/>
      <c r="F54" s="305"/>
      <c r="G54" s="305"/>
    </row>
    <row r="55" spans="2:7" ht="18.75">
      <c r="B55" s="150" t="s">
        <v>116</v>
      </c>
      <c r="C55" s="148" t="s">
        <v>113</v>
      </c>
      <c r="D55" s="306" t="s">
        <v>112</v>
      </c>
      <c r="E55" s="306"/>
      <c r="F55" s="146" t="s">
        <v>102</v>
      </c>
      <c r="G55" s="145" t="s">
        <v>112</v>
      </c>
    </row>
    <row r="56" spans="2:7" ht="18.75">
      <c r="B56" s="150" t="s">
        <v>117</v>
      </c>
      <c r="C56" s="148" t="s">
        <v>114</v>
      </c>
      <c r="D56" s="306" t="s">
        <v>115</v>
      </c>
      <c r="E56" s="306"/>
      <c r="F56" s="146" t="s">
        <v>114</v>
      </c>
      <c r="G56" s="145" t="s">
        <v>111</v>
      </c>
    </row>
    <row r="57" spans="2:7" ht="15.75">
      <c r="B57" s="151" t="e">
        <f>G57/(F57-C57)</f>
        <v>#DIV/0!</v>
      </c>
      <c r="C57" s="149" t="e">
        <f>D57/F5</f>
        <v>#DIV/0!</v>
      </c>
      <c r="D57" s="303" t="e">
        <f>B38+B21+B24</f>
        <v>#DIV/0!</v>
      </c>
      <c r="E57" s="303"/>
      <c r="F57" s="147">
        <f>F8</f>
        <v>0</v>
      </c>
      <c r="G57" s="202" t="e">
        <f>'توزيع التكاليف'!I24+'توزيع التكاليف'!I10</f>
        <v>#DIV/0!</v>
      </c>
    </row>
  </sheetData>
  <mergeCells count="31">
    <mergeCell ref="B2:C3"/>
    <mergeCell ref="D2:E3"/>
    <mergeCell ref="F2:F3"/>
    <mergeCell ref="G2:G3"/>
    <mergeCell ref="B5:C6"/>
    <mergeCell ref="D5:E6"/>
    <mergeCell ref="F5:F6"/>
    <mergeCell ref="G5:G6"/>
    <mergeCell ref="G34:G35"/>
    <mergeCell ref="B8:C9"/>
    <mergeCell ref="D8:E9"/>
    <mergeCell ref="F8:F9"/>
    <mergeCell ref="G8:G9"/>
    <mergeCell ref="B11:C11"/>
    <mergeCell ref="B13:B14"/>
    <mergeCell ref="C13:C14"/>
    <mergeCell ref="D13:E13"/>
    <mergeCell ref="F13:F14"/>
    <mergeCell ref="G13:G14"/>
    <mergeCell ref="G16:G20"/>
    <mergeCell ref="F21:G21"/>
    <mergeCell ref="F25:G25"/>
    <mergeCell ref="G27:G30"/>
    <mergeCell ref="G31:G33"/>
    <mergeCell ref="D57:E57"/>
    <mergeCell ref="G40:G43"/>
    <mergeCell ref="G44:G46"/>
    <mergeCell ref="G47:G48"/>
    <mergeCell ref="B53:G54"/>
    <mergeCell ref="D55:E55"/>
    <mergeCell ref="D56:E5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B1:AL57"/>
  <sheetViews>
    <sheetView workbookViewId="0">
      <pane xSplit="7" ySplit="15" topLeftCell="H36" activePane="bottomRight" state="frozen"/>
      <selection activeCell="I28" sqref="I28"/>
      <selection pane="topRight" activeCell="I28" sqref="I28"/>
      <selection pane="bottomLeft" activeCell="I28" sqref="I28"/>
      <selection pane="bottomRight" activeCell="I28" sqref="I28"/>
    </sheetView>
  </sheetViews>
  <sheetFormatPr defaultRowHeight="15"/>
  <cols>
    <col min="1" max="1" width="2.85546875" style="67" customWidth="1"/>
    <col min="2" max="2" width="22" style="67" bestFit="1" customWidth="1"/>
    <col min="3" max="3" width="17.85546875" style="67" bestFit="1" customWidth="1"/>
    <col min="4" max="4" width="12.42578125" style="67" customWidth="1"/>
    <col min="5" max="5" width="11" style="67" bestFit="1" customWidth="1"/>
    <col min="6" max="6" width="37.42578125" style="67" bestFit="1" customWidth="1"/>
    <col min="7" max="7" width="36.85546875" style="67" bestFit="1" customWidth="1"/>
    <col min="8" max="38" width="9.140625" style="81"/>
    <col min="39" max="16384" width="9.140625" style="67"/>
  </cols>
  <sheetData>
    <row r="1" spans="2:8" ht="8.25" customHeight="1"/>
    <row r="2" spans="2:8">
      <c r="B2" s="323" t="e">
        <f>F2/الرئيسية!N18</f>
        <v>#DIV/0!</v>
      </c>
      <c r="C2" s="323"/>
      <c r="D2" s="312" t="s">
        <v>101</v>
      </c>
      <c r="E2" s="312"/>
      <c r="F2" s="311">
        <f>الرئيسية!O18</f>
        <v>0</v>
      </c>
      <c r="G2" s="312" t="s">
        <v>12</v>
      </c>
    </row>
    <row r="3" spans="2:8">
      <c r="B3" s="323"/>
      <c r="C3" s="323"/>
      <c r="D3" s="312"/>
      <c r="E3" s="312"/>
      <c r="F3" s="311"/>
      <c r="G3" s="312"/>
    </row>
    <row r="4" spans="2:8" ht="5.25" customHeight="1" thickBot="1">
      <c r="B4" s="116"/>
      <c r="C4" s="116"/>
      <c r="D4" s="116"/>
      <c r="E4" s="116"/>
      <c r="F4" s="116"/>
      <c r="G4" s="116"/>
    </row>
    <row r="5" spans="2:8">
      <c r="B5" s="323" t="e">
        <f>F5/B2</f>
        <v>#DIV/0!</v>
      </c>
      <c r="C5" s="323"/>
      <c r="D5" s="312" t="s">
        <v>100</v>
      </c>
      <c r="E5" s="312"/>
      <c r="F5" s="292">
        <v>1</v>
      </c>
      <c r="G5" s="312" t="s">
        <v>99</v>
      </c>
    </row>
    <row r="6" spans="2:8" ht="15.75" thickBot="1">
      <c r="B6" s="323"/>
      <c r="C6" s="323"/>
      <c r="D6" s="312"/>
      <c r="E6" s="312"/>
      <c r="F6" s="293"/>
      <c r="G6" s="312"/>
    </row>
    <row r="7" spans="2:8" ht="4.5" customHeight="1" thickBot="1">
      <c r="B7" s="117"/>
      <c r="C7" s="117"/>
      <c r="D7" s="117"/>
      <c r="E7" s="117"/>
      <c r="F7" s="117"/>
      <c r="G7" s="117"/>
    </row>
    <row r="8" spans="2:8">
      <c r="B8" s="310" t="e">
        <f>B57</f>
        <v>#DIV/0!</v>
      </c>
      <c r="C8" s="311"/>
      <c r="D8" s="312" t="s">
        <v>103</v>
      </c>
      <c r="E8" s="312"/>
      <c r="F8" s="285"/>
      <c r="G8" s="312" t="s">
        <v>102</v>
      </c>
    </row>
    <row r="9" spans="2:8" ht="15.75" thickBot="1">
      <c r="B9" s="311"/>
      <c r="C9" s="311"/>
      <c r="D9" s="312"/>
      <c r="E9" s="312"/>
      <c r="F9" s="286"/>
      <c r="G9" s="312"/>
    </row>
    <row r="10" spans="2:8" ht="6" customHeight="1">
      <c r="B10" s="66"/>
      <c r="C10" s="66"/>
      <c r="D10" s="138"/>
      <c r="E10" s="138"/>
      <c r="F10" s="66"/>
      <c r="G10" s="66"/>
    </row>
    <row r="11" spans="2:8" ht="24" thickBot="1">
      <c r="B11" s="313" t="e">
        <f>B21+B25+B38+B50</f>
        <v>#DIV/0!</v>
      </c>
      <c r="C11" s="313"/>
      <c r="D11" s="143" t="s">
        <v>90</v>
      </c>
      <c r="E11" s="144">
        <f>F5</f>
        <v>1</v>
      </c>
      <c r="F11" s="142">
        <f>الرئيسية!P18</f>
        <v>0</v>
      </c>
      <c r="G11" s="207" t="s">
        <v>119</v>
      </c>
    </row>
    <row r="12" spans="2:8" ht="6" customHeight="1" thickBot="1">
      <c r="B12" s="139"/>
      <c r="C12" s="139"/>
      <c r="D12" s="140"/>
      <c r="E12" s="140"/>
      <c r="F12" s="141"/>
      <c r="G12" s="66"/>
    </row>
    <row r="13" spans="2:8" ht="18">
      <c r="B13" s="314" t="s">
        <v>81</v>
      </c>
      <c r="C13" s="316" t="s">
        <v>82</v>
      </c>
      <c r="D13" s="318" t="s">
        <v>83</v>
      </c>
      <c r="E13" s="314"/>
      <c r="F13" s="319" t="s">
        <v>18</v>
      </c>
      <c r="G13" s="321" t="s">
        <v>84</v>
      </c>
    </row>
    <row r="14" spans="2:8" ht="18.75" thickBot="1">
      <c r="B14" s="315"/>
      <c r="C14" s="317"/>
      <c r="D14" s="76" t="s">
        <v>85</v>
      </c>
      <c r="E14" s="77" t="s">
        <v>86</v>
      </c>
      <c r="F14" s="320"/>
      <c r="G14" s="322"/>
    </row>
    <row r="15" spans="2:8" ht="18.75" thickBot="1">
      <c r="B15" s="68"/>
      <c r="C15" s="68"/>
      <c r="D15" s="69"/>
      <c r="E15" s="68"/>
    </row>
    <row r="16" spans="2:8">
      <c r="B16" s="119">
        <f>C16*D16</f>
        <v>0</v>
      </c>
      <c r="C16" s="120">
        <f>'اجمالي التكاليف خلال الفترة'!H11</f>
        <v>0</v>
      </c>
      <c r="D16" s="152">
        <v>1</v>
      </c>
      <c r="E16" s="74" t="s">
        <v>87</v>
      </c>
      <c r="F16" s="74" t="str">
        <f>'اجمالي التكاليف خلال الفترة'!I11</f>
        <v>خام 1</v>
      </c>
      <c r="G16" s="287" t="s">
        <v>88</v>
      </c>
      <c r="H16" s="205"/>
    </row>
    <row r="17" spans="2:7">
      <c r="B17" s="119">
        <f>C17*D17</f>
        <v>0</v>
      </c>
      <c r="C17" s="121">
        <f>'اجمالي التكاليف خلال الفترة'!H12</f>
        <v>0</v>
      </c>
      <c r="D17" s="153">
        <v>1</v>
      </c>
      <c r="E17" s="90" t="s">
        <v>89</v>
      </c>
      <c r="F17" s="65" t="str">
        <f>'اجمالي التكاليف خلال الفترة'!I12</f>
        <v>خام 2</v>
      </c>
      <c r="G17" s="288"/>
    </row>
    <row r="18" spans="2:7">
      <c r="B18" s="119">
        <f t="shared" ref="B18:B20" si="0">C18*D18</f>
        <v>0</v>
      </c>
      <c r="C18" s="121">
        <f>'اجمالي التكاليف خلال الفترة'!H13</f>
        <v>0</v>
      </c>
      <c r="D18" s="153">
        <v>1</v>
      </c>
      <c r="E18" s="90" t="s">
        <v>87</v>
      </c>
      <c r="F18" s="65" t="str">
        <f>'اجمالي التكاليف خلال الفترة'!I13</f>
        <v>خام 3</v>
      </c>
      <c r="G18" s="288"/>
    </row>
    <row r="19" spans="2:7">
      <c r="B19" s="119">
        <f t="shared" si="0"/>
        <v>0</v>
      </c>
      <c r="C19" s="121">
        <f>'اجمالي التكاليف خلال الفترة'!H14</f>
        <v>0</v>
      </c>
      <c r="D19" s="153">
        <v>1</v>
      </c>
      <c r="E19" s="90" t="s">
        <v>89</v>
      </c>
      <c r="F19" s="65" t="str">
        <f>'اجمالي التكاليف خلال الفترة'!I14</f>
        <v>خام 4</v>
      </c>
      <c r="G19" s="288"/>
    </row>
    <row r="20" spans="2:7" ht="15.75" thickBot="1">
      <c r="B20" s="119">
        <f t="shared" si="0"/>
        <v>0</v>
      </c>
      <c r="C20" s="121">
        <f>'اجمالي التكاليف خلال الفترة'!H15</f>
        <v>0</v>
      </c>
      <c r="D20" s="154">
        <v>1</v>
      </c>
      <c r="E20" s="93" t="s">
        <v>87</v>
      </c>
      <c r="F20" s="65" t="str">
        <f>'اجمالي التكاليف خلال الفترة'!I15</f>
        <v>خام 5</v>
      </c>
      <c r="G20" s="288"/>
    </row>
    <row r="21" spans="2:7" ht="21" thickBot="1">
      <c r="B21" s="122">
        <f>SUM(B16:B20)*D21</f>
        <v>0</v>
      </c>
      <c r="C21" s="70" t="s">
        <v>90</v>
      </c>
      <c r="D21" s="95">
        <f>F5</f>
        <v>1</v>
      </c>
      <c r="E21" s="94" t="s">
        <v>93</v>
      </c>
      <c r="F21" s="307" t="s">
        <v>92</v>
      </c>
      <c r="G21" s="307"/>
    </row>
    <row r="22" spans="2:7" ht="15.75" thickBot="1"/>
    <row r="23" spans="2:7" ht="20.25">
      <c r="B23" s="123" t="e">
        <f>D23*C23</f>
        <v>#DIV/0!</v>
      </c>
      <c r="C23" s="126" t="e">
        <f>'توزيع التكاليف'!J10/الرئيسية!$N$18</f>
        <v>#DIV/0!</v>
      </c>
      <c r="D23" s="91" t="e">
        <f>$B$5</f>
        <v>#DIV/0!</v>
      </c>
      <c r="E23" s="84" t="s">
        <v>4</v>
      </c>
      <c r="F23" s="85" t="s">
        <v>94</v>
      </c>
      <c r="G23" s="86" t="s">
        <v>46</v>
      </c>
    </row>
    <row r="24" spans="2:7" ht="21" thickBot="1">
      <c r="B24" s="124" t="e">
        <f>D24*C24</f>
        <v>#DIV/0!</v>
      </c>
      <c r="C24" s="127" t="e">
        <f>'توزيع التكاليف'!J9/الرئيسية!$N$18</f>
        <v>#DIV/0!</v>
      </c>
      <c r="D24" s="92" t="e">
        <f>$B$5</f>
        <v>#DIV/0!</v>
      </c>
      <c r="E24" s="87" t="s">
        <v>4</v>
      </c>
      <c r="F24" s="88" t="s">
        <v>95</v>
      </c>
      <c r="G24" s="89" t="s">
        <v>96</v>
      </c>
    </row>
    <row r="25" spans="2:7" ht="21" thickBot="1">
      <c r="B25" s="125" t="e">
        <f>SUM(B23:B24)</f>
        <v>#DIV/0!</v>
      </c>
      <c r="C25" s="79" t="s">
        <v>90</v>
      </c>
      <c r="D25" s="80">
        <f>F5</f>
        <v>1</v>
      </c>
      <c r="E25" s="78" t="s">
        <v>98</v>
      </c>
      <c r="F25" s="308" t="s">
        <v>97</v>
      </c>
      <c r="G25" s="309"/>
    </row>
    <row r="26" spans="2:7" ht="15.75" thickBot="1"/>
    <row r="27" spans="2:7">
      <c r="B27" s="128" t="e">
        <f>D27*C27</f>
        <v>#DIV/0!</v>
      </c>
      <c r="C27" s="129" t="e">
        <f>'توزيع التكاليف'!J13/الرئيسية!$N$18</f>
        <v>#DIV/0!</v>
      </c>
      <c r="D27" s="97" t="e">
        <f>$B$5</f>
        <v>#DIV/0!</v>
      </c>
      <c r="E27" s="98" t="s">
        <v>4</v>
      </c>
      <c r="F27" s="98" t="str">
        <f>'اجمالي التكاليف خلال الفترة'!F6</f>
        <v>تكلفة متغيرة 1</v>
      </c>
      <c r="G27" s="277" t="s">
        <v>105</v>
      </c>
    </row>
    <row r="28" spans="2:7">
      <c r="B28" s="130" t="e">
        <f>D28*C28</f>
        <v>#DIV/0!</v>
      </c>
      <c r="C28" s="131" t="e">
        <f>'توزيع التكاليف'!J14/الرئيسية!$N$18</f>
        <v>#DIV/0!</v>
      </c>
      <c r="D28" s="101" t="e">
        <f>$B$5</f>
        <v>#DIV/0!</v>
      </c>
      <c r="E28" s="102" t="s">
        <v>4</v>
      </c>
      <c r="F28" s="102" t="str">
        <f>'اجمالي التكاليف خلال الفترة'!F7</f>
        <v>تكلفة متغيرة 2</v>
      </c>
      <c r="G28" s="278"/>
    </row>
    <row r="29" spans="2:7">
      <c r="B29" s="130" t="e">
        <f t="shared" ref="B29:B36" si="1">D29*C29</f>
        <v>#DIV/0!</v>
      </c>
      <c r="C29" s="131" t="e">
        <f>'توزيع التكاليف'!J15/الرئيسية!$N$18</f>
        <v>#DIV/0!</v>
      </c>
      <c r="D29" s="101" t="e">
        <f t="shared" ref="D29:D37" si="2">$B$5</f>
        <v>#DIV/0!</v>
      </c>
      <c r="E29" s="102" t="s">
        <v>4</v>
      </c>
      <c r="F29" s="102" t="str">
        <f>'اجمالي التكاليف خلال الفترة'!F8</f>
        <v>تكلفة متغيرة 3</v>
      </c>
      <c r="G29" s="278"/>
    </row>
    <row r="30" spans="2:7">
      <c r="B30" s="130" t="e">
        <f t="shared" si="1"/>
        <v>#DIV/0!</v>
      </c>
      <c r="C30" s="131" t="e">
        <f>'توزيع التكاليف'!J16/الرئيسية!$N$18</f>
        <v>#DIV/0!</v>
      </c>
      <c r="D30" s="101" t="e">
        <f t="shared" si="2"/>
        <v>#DIV/0!</v>
      </c>
      <c r="E30" s="102" t="s">
        <v>4</v>
      </c>
      <c r="F30" s="102" t="str">
        <f>'اجمالي التكاليف خلال الفترة'!F9</f>
        <v>تكلفة متغيرة 4</v>
      </c>
      <c r="G30" s="278"/>
    </row>
    <row r="31" spans="2:7">
      <c r="B31" s="130" t="e">
        <f t="shared" si="1"/>
        <v>#DIV/0!</v>
      </c>
      <c r="C31" s="131" t="e">
        <f>'توزيع التكاليف'!J17/الرئيسية!$N$18</f>
        <v>#DIV/0!</v>
      </c>
      <c r="D31" s="101" t="e">
        <f t="shared" si="2"/>
        <v>#DIV/0!</v>
      </c>
      <c r="E31" s="102" t="s">
        <v>4</v>
      </c>
      <c r="F31" s="102" t="str">
        <f>'اجمالي التكاليف خلال الفترة'!F10</f>
        <v>تكلفة متغيرة 5</v>
      </c>
      <c r="G31" s="279" t="s">
        <v>106</v>
      </c>
    </row>
    <row r="32" spans="2:7">
      <c r="B32" s="130" t="e">
        <f t="shared" si="1"/>
        <v>#DIV/0!</v>
      </c>
      <c r="C32" s="131" t="e">
        <f>'توزيع التكاليف'!J18/الرئيسية!$N$18</f>
        <v>#DIV/0!</v>
      </c>
      <c r="D32" s="101" t="e">
        <f t="shared" si="2"/>
        <v>#DIV/0!</v>
      </c>
      <c r="E32" s="75" t="s">
        <v>4</v>
      </c>
      <c r="F32" s="102" t="str">
        <f>'اجمالي التكاليف خلال الفترة'!F11</f>
        <v>تكلفة متغيرة 6</v>
      </c>
      <c r="G32" s="279"/>
    </row>
    <row r="33" spans="2:7">
      <c r="B33" s="130" t="e">
        <f t="shared" si="1"/>
        <v>#DIV/0!</v>
      </c>
      <c r="C33" s="131" t="e">
        <f>'توزيع التكاليف'!J19/الرئيسية!$N$18</f>
        <v>#DIV/0!</v>
      </c>
      <c r="D33" s="101" t="e">
        <f t="shared" si="2"/>
        <v>#DIV/0!</v>
      </c>
      <c r="E33" s="75" t="s">
        <v>4</v>
      </c>
      <c r="F33" s="102" t="str">
        <f>'اجمالي التكاليف خلال الفترة'!F12</f>
        <v>تكلفة متغيرة 7</v>
      </c>
      <c r="G33" s="279"/>
    </row>
    <row r="34" spans="2:7">
      <c r="B34" s="130" t="e">
        <f t="shared" si="1"/>
        <v>#DIV/0!</v>
      </c>
      <c r="C34" s="131" t="e">
        <f>'توزيع التكاليف'!J20/الرئيسية!$N$18</f>
        <v>#DIV/0!</v>
      </c>
      <c r="D34" s="101" t="e">
        <f t="shared" si="2"/>
        <v>#DIV/0!</v>
      </c>
      <c r="E34" s="75" t="s">
        <v>4</v>
      </c>
      <c r="F34" s="102" t="str">
        <f>'اجمالي التكاليف خلال الفترة'!F13</f>
        <v>تكلفة متغيرة 8</v>
      </c>
      <c r="G34" s="280" t="s">
        <v>107</v>
      </c>
    </row>
    <row r="35" spans="2:7">
      <c r="B35" s="130" t="e">
        <f t="shared" si="1"/>
        <v>#DIV/0!</v>
      </c>
      <c r="C35" s="131" t="e">
        <f>'توزيع التكاليف'!J21/الرئيسية!$N$18</f>
        <v>#DIV/0!</v>
      </c>
      <c r="D35" s="101" t="e">
        <f t="shared" si="2"/>
        <v>#DIV/0!</v>
      </c>
      <c r="E35" s="96" t="s">
        <v>4</v>
      </c>
      <c r="F35" s="102" t="str">
        <f>'اجمالي التكاليف خلال الفترة'!F14</f>
        <v>تكلفة متغيرة 9</v>
      </c>
      <c r="G35" s="280"/>
    </row>
    <row r="36" spans="2:7" ht="20.25">
      <c r="B36" s="130" t="e">
        <f t="shared" si="1"/>
        <v>#DIV/0!</v>
      </c>
      <c r="C36" s="131" t="e">
        <f>'توزيع التكاليف'!J22/الرئيسية!$N$18</f>
        <v>#DIV/0!</v>
      </c>
      <c r="D36" s="101" t="e">
        <f t="shared" si="2"/>
        <v>#DIV/0!</v>
      </c>
      <c r="E36" s="96" t="s">
        <v>4</v>
      </c>
      <c r="F36" s="102" t="str">
        <f>'اجمالي التكاليف خلال الفترة'!F15</f>
        <v>تكلفة متغيرة 10</v>
      </c>
      <c r="G36" s="99"/>
    </row>
    <row r="37" spans="2:7" ht="21" thickBot="1">
      <c r="B37" s="130" t="e">
        <f>D37*C37</f>
        <v>#DIV/0!</v>
      </c>
      <c r="C37" s="131" t="e">
        <f>'اهلاك خطوط الانتاج'!C2/F5*B5</f>
        <v>#DIV/0!</v>
      </c>
      <c r="D37" s="101" t="e">
        <f t="shared" si="2"/>
        <v>#DIV/0!</v>
      </c>
      <c r="E37" s="118" t="s">
        <v>4</v>
      </c>
      <c r="F37" s="102" t="str">
        <f>'اهلاك خطوط الانتاج'!$D$2</f>
        <v>اهلاك خط الانتاج</v>
      </c>
      <c r="G37" s="100"/>
    </row>
    <row r="38" spans="2:7" ht="21" thickBot="1">
      <c r="B38" s="132" t="e">
        <f>SUM(B27:B37)</f>
        <v>#DIV/0!</v>
      </c>
      <c r="C38" s="71" t="s">
        <v>90</v>
      </c>
      <c r="D38" s="72">
        <f>F5</f>
        <v>1</v>
      </c>
      <c r="E38" s="73" t="s">
        <v>91</v>
      </c>
      <c r="F38" s="82" t="s">
        <v>104</v>
      </c>
      <c r="G38" s="83"/>
    </row>
    <row r="39" spans="2:7" ht="15.75" thickBot="1"/>
    <row r="40" spans="2:7">
      <c r="B40" s="133" t="e">
        <f>D40*C40</f>
        <v>#DIV/0!</v>
      </c>
      <c r="C40" s="134" t="e">
        <f>'توزيع التكاليف'!J25/الرئيسية!$N$18</f>
        <v>#DIV/0!</v>
      </c>
      <c r="D40" s="107" t="e">
        <f>$B$5</f>
        <v>#DIV/0!</v>
      </c>
      <c r="E40" s="108" t="s">
        <v>4</v>
      </c>
      <c r="F40" s="108" t="str">
        <f>'اجمالي التكاليف خلال الفترة'!C6</f>
        <v>تكلفة ثابتة 1</v>
      </c>
      <c r="G40" s="271" t="s">
        <v>105</v>
      </c>
    </row>
    <row r="41" spans="2:7">
      <c r="B41" s="135" t="e">
        <f>D41*C41</f>
        <v>#DIV/0!</v>
      </c>
      <c r="C41" s="136" t="e">
        <f>'توزيع التكاليف'!J26/الرئيسية!$N$18</f>
        <v>#DIV/0!</v>
      </c>
      <c r="D41" s="109" t="e">
        <f>$B$5</f>
        <v>#DIV/0!</v>
      </c>
      <c r="E41" s="110" t="s">
        <v>4</v>
      </c>
      <c r="F41" s="110" t="str">
        <f>'اجمالي التكاليف خلال الفترة'!C7</f>
        <v>تكلفة ثابتة 2</v>
      </c>
      <c r="G41" s="272"/>
    </row>
    <row r="42" spans="2:7">
      <c r="B42" s="135" t="e">
        <f t="shared" ref="B42:B49" si="3">D42*C42</f>
        <v>#DIV/0!</v>
      </c>
      <c r="C42" s="136" t="e">
        <f>'توزيع التكاليف'!J27/الرئيسية!$N$18</f>
        <v>#DIV/0!</v>
      </c>
      <c r="D42" s="109" t="e">
        <f t="shared" ref="D42:D49" si="4">$B$5</f>
        <v>#DIV/0!</v>
      </c>
      <c r="E42" s="110" t="s">
        <v>4</v>
      </c>
      <c r="F42" s="110" t="str">
        <f>'اجمالي التكاليف خلال الفترة'!C8</f>
        <v>تكلفة ثابتة 3</v>
      </c>
      <c r="G42" s="272"/>
    </row>
    <row r="43" spans="2:7">
      <c r="B43" s="135" t="e">
        <f t="shared" si="3"/>
        <v>#DIV/0!</v>
      </c>
      <c r="C43" s="136" t="e">
        <f>'توزيع التكاليف'!J28/الرئيسية!$N$18</f>
        <v>#DIV/0!</v>
      </c>
      <c r="D43" s="109" t="e">
        <f t="shared" si="4"/>
        <v>#DIV/0!</v>
      </c>
      <c r="E43" s="110" t="s">
        <v>4</v>
      </c>
      <c r="F43" s="110" t="str">
        <f>'اجمالي التكاليف خلال الفترة'!C9</f>
        <v>تكلفة ثابتة 4</v>
      </c>
      <c r="G43" s="272"/>
    </row>
    <row r="44" spans="2:7">
      <c r="B44" s="135" t="e">
        <f t="shared" si="3"/>
        <v>#DIV/0!</v>
      </c>
      <c r="C44" s="136" t="e">
        <f>'توزيع التكاليف'!J29/الرئيسية!$N$18</f>
        <v>#DIV/0!</v>
      </c>
      <c r="D44" s="109" t="e">
        <f t="shared" si="4"/>
        <v>#DIV/0!</v>
      </c>
      <c r="E44" s="110" t="s">
        <v>4</v>
      </c>
      <c r="F44" s="110" t="str">
        <f>'اجمالي التكاليف خلال الفترة'!C10</f>
        <v>تكلفة ثابتة 5</v>
      </c>
      <c r="G44" s="273" t="s">
        <v>106</v>
      </c>
    </row>
    <row r="45" spans="2:7">
      <c r="B45" s="135" t="e">
        <f t="shared" si="3"/>
        <v>#DIV/0!</v>
      </c>
      <c r="C45" s="136" t="e">
        <f>'توزيع التكاليف'!J30/الرئيسية!$N$18</f>
        <v>#DIV/0!</v>
      </c>
      <c r="D45" s="109" t="e">
        <f t="shared" si="4"/>
        <v>#DIV/0!</v>
      </c>
      <c r="E45" s="111" t="s">
        <v>4</v>
      </c>
      <c r="F45" s="110" t="str">
        <f>'اجمالي التكاليف خلال الفترة'!C11</f>
        <v>تكلفة ثابتة 6</v>
      </c>
      <c r="G45" s="273"/>
    </row>
    <row r="46" spans="2:7">
      <c r="B46" s="135" t="e">
        <f t="shared" si="3"/>
        <v>#DIV/0!</v>
      </c>
      <c r="C46" s="136" t="e">
        <f>'توزيع التكاليف'!J31/الرئيسية!$N$18</f>
        <v>#DIV/0!</v>
      </c>
      <c r="D46" s="109" t="e">
        <f t="shared" si="4"/>
        <v>#DIV/0!</v>
      </c>
      <c r="E46" s="111" t="s">
        <v>4</v>
      </c>
      <c r="F46" s="110" t="str">
        <f>'اجمالي التكاليف خلال الفترة'!C12</f>
        <v>تكلفة ثابتة 7</v>
      </c>
      <c r="G46" s="273"/>
    </row>
    <row r="47" spans="2:7">
      <c r="B47" s="135" t="e">
        <f t="shared" si="3"/>
        <v>#DIV/0!</v>
      </c>
      <c r="C47" s="136" t="e">
        <f>'توزيع التكاليف'!J32/الرئيسية!$N$18</f>
        <v>#DIV/0!</v>
      </c>
      <c r="D47" s="109" t="e">
        <f t="shared" si="4"/>
        <v>#DIV/0!</v>
      </c>
      <c r="E47" s="111" t="s">
        <v>4</v>
      </c>
      <c r="F47" s="110" t="str">
        <f>'اجمالي التكاليف خلال الفترة'!C13</f>
        <v>تكلفة ثابتة 8</v>
      </c>
      <c r="G47" s="274" t="s">
        <v>108</v>
      </c>
    </row>
    <row r="48" spans="2:7">
      <c r="B48" s="135" t="e">
        <f t="shared" si="3"/>
        <v>#DIV/0!</v>
      </c>
      <c r="C48" s="136" t="e">
        <f>'توزيع التكاليف'!J33/الرئيسية!$N$18</f>
        <v>#DIV/0!</v>
      </c>
      <c r="D48" s="109" t="e">
        <f t="shared" si="4"/>
        <v>#DIV/0!</v>
      </c>
      <c r="E48" s="112" t="s">
        <v>4</v>
      </c>
      <c r="F48" s="110" t="str">
        <f>'اجمالي التكاليف خلال الفترة'!C14</f>
        <v>تكلفة ثابتة 9</v>
      </c>
      <c r="G48" s="274"/>
    </row>
    <row r="49" spans="2:7" ht="21" thickBot="1">
      <c r="B49" s="135" t="e">
        <f t="shared" si="3"/>
        <v>#DIV/0!</v>
      </c>
      <c r="C49" s="136" t="e">
        <f>'توزيع التكاليف'!J34/الرئيسية!$N$18</f>
        <v>#DIV/0!</v>
      </c>
      <c r="D49" s="109" t="e">
        <f t="shared" si="4"/>
        <v>#DIV/0!</v>
      </c>
      <c r="E49" s="113" t="s">
        <v>4</v>
      </c>
      <c r="F49" s="110" t="str">
        <f>'اجمالي التكاليف خلال الفترة'!C15</f>
        <v>تكلفة ثابتة 10</v>
      </c>
      <c r="G49" s="106"/>
    </row>
    <row r="50" spans="2:7" ht="21" thickBot="1">
      <c r="B50" s="137" t="e">
        <f>SUM(B40:B49)</f>
        <v>#DIV/0!</v>
      </c>
      <c r="C50" s="114" t="s">
        <v>90</v>
      </c>
      <c r="D50" s="115">
        <f>F5</f>
        <v>1</v>
      </c>
      <c r="E50" s="103" t="s">
        <v>91</v>
      </c>
      <c r="F50" s="104" t="s">
        <v>104</v>
      </c>
      <c r="G50" s="105"/>
    </row>
    <row r="53" spans="2:7">
      <c r="B53" s="304" t="s">
        <v>110</v>
      </c>
      <c r="C53" s="304"/>
      <c r="D53" s="304"/>
      <c r="E53" s="304"/>
      <c r="F53" s="304"/>
      <c r="G53" s="304"/>
    </row>
    <row r="54" spans="2:7">
      <c r="B54" s="305"/>
      <c r="C54" s="305"/>
      <c r="D54" s="305"/>
      <c r="E54" s="305"/>
      <c r="F54" s="305"/>
      <c r="G54" s="305"/>
    </row>
    <row r="55" spans="2:7" ht="18.75">
      <c r="B55" s="150" t="s">
        <v>116</v>
      </c>
      <c r="C55" s="148" t="s">
        <v>113</v>
      </c>
      <c r="D55" s="306" t="s">
        <v>112</v>
      </c>
      <c r="E55" s="306"/>
      <c r="F55" s="146" t="s">
        <v>102</v>
      </c>
      <c r="G55" s="145" t="s">
        <v>112</v>
      </c>
    </row>
    <row r="56" spans="2:7" ht="18.75">
      <c r="B56" s="150" t="s">
        <v>117</v>
      </c>
      <c r="C56" s="148" t="s">
        <v>114</v>
      </c>
      <c r="D56" s="306" t="s">
        <v>115</v>
      </c>
      <c r="E56" s="306"/>
      <c r="F56" s="146" t="s">
        <v>114</v>
      </c>
      <c r="G56" s="145" t="s">
        <v>111</v>
      </c>
    </row>
    <row r="57" spans="2:7" ht="15.75">
      <c r="B57" s="151" t="e">
        <f>G57/(F57-C57)</f>
        <v>#DIV/0!</v>
      </c>
      <c r="C57" s="149" t="e">
        <f>D57/F5</f>
        <v>#DIV/0!</v>
      </c>
      <c r="D57" s="303" t="e">
        <f>B38+B21+B24</f>
        <v>#DIV/0!</v>
      </c>
      <c r="E57" s="303"/>
      <c r="F57" s="147">
        <f>F8</f>
        <v>0</v>
      </c>
      <c r="G57" s="202" t="e">
        <f>'توزيع التكاليف'!J24+'توزيع التكاليف'!J10</f>
        <v>#DIV/0!</v>
      </c>
    </row>
  </sheetData>
  <mergeCells count="31">
    <mergeCell ref="B2:C3"/>
    <mergeCell ref="D2:E3"/>
    <mergeCell ref="F2:F3"/>
    <mergeCell ref="G2:G3"/>
    <mergeCell ref="B5:C6"/>
    <mergeCell ref="D5:E6"/>
    <mergeCell ref="F5:F6"/>
    <mergeCell ref="G5:G6"/>
    <mergeCell ref="G34:G35"/>
    <mergeCell ref="B8:C9"/>
    <mergeCell ref="D8:E9"/>
    <mergeCell ref="F8:F9"/>
    <mergeCell ref="G8:G9"/>
    <mergeCell ref="B11:C11"/>
    <mergeCell ref="B13:B14"/>
    <mergeCell ref="C13:C14"/>
    <mergeCell ref="D13:E13"/>
    <mergeCell ref="F13:F14"/>
    <mergeCell ref="G13:G14"/>
    <mergeCell ref="G16:G20"/>
    <mergeCell ref="F21:G21"/>
    <mergeCell ref="F25:G25"/>
    <mergeCell ref="G27:G30"/>
    <mergeCell ref="G31:G33"/>
    <mergeCell ref="D57:E57"/>
    <mergeCell ref="G40:G43"/>
    <mergeCell ref="G44:G46"/>
    <mergeCell ref="G47:G48"/>
    <mergeCell ref="B53:G54"/>
    <mergeCell ref="D55:E55"/>
    <mergeCell ref="D56:E5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B1:AL57"/>
  <sheetViews>
    <sheetView workbookViewId="0">
      <pane xSplit="7" ySplit="15" topLeftCell="H33" activePane="bottomRight" state="frozen"/>
      <selection activeCell="I28" sqref="I28"/>
      <selection pane="topRight" activeCell="I28" sqref="I28"/>
      <selection pane="bottomLeft" activeCell="I28" sqref="I28"/>
      <selection pane="bottomRight" activeCell="I28" sqref="I28"/>
    </sheetView>
  </sheetViews>
  <sheetFormatPr defaultRowHeight="15"/>
  <cols>
    <col min="1" max="1" width="2.85546875" style="67" customWidth="1"/>
    <col min="2" max="2" width="22" style="67" bestFit="1" customWidth="1"/>
    <col min="3" max="3" width="17.85546875" style="67" bestFit="1" customWidth="1"/>
    <col min="4" max="4" width="12.42578125" style="67" customWidth="1"/>
    <col min="5" max="5" width="11" style="67" bestFit="1" customWidth="1"/>
    <col min="6" max="6" width="37.42578125" style="67" bestFit="1" customWidth="1"/>
    <col min="7" max="7" width="36.85546875" style="67" bestFit="1" customWidth="1"/>
    <col min="8" max="38" width="9.140625" style="81"/>
    <col min="39" max="16384" width="9.140625" style="67"/>
  </cols>
  <sheetData>
    <row r="1" spans="2:7" ht="8.25" customHeight="1"/>
    <row r="2" spans="2:7">
      <c r="B2" s="323" t="e">
        <f>F2/الرئيسية!N22</f>
        <v>#DIV/0!</v>
      </c>
      <c r="C2" s="323"/>
      <c r="D2" s="312" t="s">
        <v>101</v>
      </c>
      <c r="E2" s="312"/>
      <c r="F2" s="311">
        <f>الرئيسية!O22</f>
        <v>0</v>
      </c>
      <c r="G2" s="312" t="s">
        <v>12</v>
      </c>
    </row>
    <row r="3" spans="2:7">
      <c r="B3" s="323"/>
      <c r="C3" s="323"/>
      <c r="D3" s="312"/>
      <c r="E3" s="312"/>
      <c r="F3" s="311"/>
      <c r="G3" s="312"/>
    </row>
    <row r="4" spans="2:7" ht="5.25" customHeight="1" thickBot="1">
      <c r="B4" s="116"/>
      <c r="C4" s="116"/>
      <c r="D4" s="116"/>
      <c r="E4" s="116"/>
      <c r="F4" s="116"/>
      <c r="G4" s="116"/>
    </row>
    <row r="5" spans="2:7">
      <c r="B5" s="323" t="e">
        <f>F5/B2</f>
        <v>#DIV/0!</v>
      </c>
      <c r="C5" s="323"/>
      <c r="D5" s="312" t="s">
        <v>100</v>
      </c>
      <c r="E5" s="312"/>
      <c r="F5" s="326">
        <v>1</v>
      </c>
      <c r="G5" s="312" t="s">
        <v>99</v>
      </c>
    </row>
    <row r="6" spans="2:7" ht="15.75" thickBot="1">
      <c r="B6" s="323"/>
      <c r="C6" s="323"/>
      <c r="D6" s="312"/>
      <c r="E6" s="312"/>
      <c r="F6" s="327"/>
      <c r="G6" s="312"/>
    </row>
    <row r="7" spans="2:7" ht="4.5" customHeight="1" thickBot="1">
      <c r="B7" s="117"/>
      <c r="C7" s="117"/>
      <c r="D7" s="117"/>
      <c r="E7" s="117"/>
      <c r="F7" s="117"/>
      <c r="G7" s="117"/>
    </row>
    <row r="8" spans="2:7">
      <c r="B8" s="310" t="e">
        <f>B57</f>
        <v>#DIV/0!</v>
      </c>
      <c r="C8" s="311"/>
      <c r="D8" s="312" t="s">
        <v>103</v>
      </c>
      <c r="E8" s="312"/>
      <c r="F8" s="324"/>
      <c r="G8" s="312" t="s">
        <v>102</v>
      </c>
    </row>
    <row r="9" spans="2:7" ht="15.75" thickBot="1">
      <c r="B9" s="311"/>
      <c r="C9" s="311"/>
      <c r="D9" s="312"/>
      <c r="E9" s="312"/>
      <c r="F9" s="325"/>
      <c r="G9" s="312"/>
    </row>
    <row r="10" spans="2:7" ht="6" customHeight="1">
      <c r="B10" s="66"/>
      <c r="C10" s="66"/>
      <c r="D10" s="138"/>
      <c r="E10" s="138"/>
      <c r="F10" s="66"/>
      <c r="G10" s="66"/>
    </row>
    <row r="11" spans="2:7" ht="24" thickBot="1">
      <c r="B11" s="313" t="e">
        <f>B21+B25+B38+B50</f>
        <v>#DIV/0!</v>
      </c>
      <c r="C11" s="313"/>
      <c r="D11" s="143" t="s">
        <v>90</v>
      </c>
      <c r="E11" s="144">
        <f>F5</f>
        <v>1</v>
      </c>
      <c r="F11" s="142">
        <f>الرئيسية!P22</f>
        <v>0</v>
      </c>
      <c r="G11" s="207" t="s">
        <v>119</v>
      </c>
    </row>
    <row r="12" spans="2:7" ht="6" customHeight="1" thickBot="1">
      <c r="B12" s="139"/>
      <c r="C12" s="139"/>
      <c r="D12" s="140"/>
      <c r="E12" s="140"/>
      <c r="F12" s="141"/>
      <c r="G12" s="66"/>
    </row>
    <row r="13" spans="2:7" ht="18">
      <c r="B13" s="314" t="s">
        <v>81</v>
      </c>
      <c r="C13" s="316" t="s">
        <v>82</v>
      </c>
      <c r="D13" s="318" t="s">
        <v>83</v>
      </c>
      <c r="E13" s="314"/>
      <c r="F13" s="319" t="s">
        <v>18</v>
      </c>
      <c r="G13" s="321" t="s">
        <v>84</v>
      </c>
    </row>
    <row r="14" spans="2:7" ht="18.75" thickBot="1">
      <c r="B14" s="315"/>
      <c r="C14" s="317"/>
      <c r="D14" s="76" t="s">
        <v>85</v>
      </c>
      <c r="E14" s="77" t="s">
        <v>86</v>
      </c>
      <c r="F14" s="320"/>
      <c r="G14" s="322"/>
    </row>
    <row r="15" spans="2:7" ht="18.75" thickBot="1">
      <c r="B15" s="68"/>
      <c r="C15" s="68"/>
      <c r="D15" s="69"/>
      <c r="E15" s="68"/>
    </row>
    <row r="16" spans="2:7">
      <c r="B16" s="119">
        <f>C16*D16</f>
        <v>0</v>
      </c>
      <c r="C16" s="120">
        <f>'اجمالي التكاليف خلال الفترة'!H11</f>
        <v>0</v>
      </c>
      <c r="D16" s="74">
        <v>1</v>
      </c>
      <c r="E16" s="74" t="s">
        <v>87</v>
      </c>
      <c r="F16" s="74" t="str">
        <f>'اجمالي التكاليف خلال الفترة'!I11</f>
        <v>خام 1</v>
      </c>
      <c r="G16" s="287" t="s">
        <v>88</v>
      </c>
    </row>
    <row r="17" spans="2:7">
      <c r="B17" s="119">
        <f>C17*D17</f>
        <v>0</v>
      </c>
      <c r="C17" s="121">
        <f>'اجمالي التكاليف خلال الفترة'!H12</f>
        <v>0</v>
      </c>
      <c r="D17" s="90">
        <v>1</v>
      </c>
      <c r="E17" s="90" t="s">
        <v>89</v>
      </c>
      <c r="F17" s="65" t="str">
        <f>'اجمالي التكاليف خلال الفترة'!I12</f>
        <v>خام 2</v>
      </c>
      <c r="G17" s="288"/>
    </row>
    <row r="18" spans="2:7">
      <c r="B18" s="119">
        <f t="shared" ref="B18:B20" si="0">C18*D18</f>
        <v>0</v>
      </c>
      <c r="C18" s="121">
        <f>'اجمالي التكاليف خلال الفترة'!H13</f>
        <v>0</v>
      </c>
      <c r="D18" s="90">
        <v>1</v>
      </c>
      <c r="E18" s="90" t="s">
        <v>87</v>
      </c>
      <c r="F18" s="65" t="str">
        <f>'اجمالي التكاليف خلال الفترة'!I13</f>
        <v>خام 3</v>
      </c>
      <c r="G18" s="288"/>
    </row>
    <row r="19" spans="2:7">
      <c r="B19" s="119">
        <f t="shared" si="0"/>
        <v>0</v>
      </c>
      <c r="C19" s="121">
        <f>'اجمالي التكاليف خلال الفترة'!H14</f>
        <v>0</v>
      </c>
      <c r="D19" s="90">
        <v>1</v>
      </c>
      <c r="E19" s="90" t="s">
        <v>89</v>
      </c>
      <c r="F19" s="65" t="str">
        <f>'اجمالي التكاليف خلال الفترة'!I14</f>
        <v>خام 4</v>
      </c>
      <c r="G19" s="288"/>
    </row>
    <row r="20" spans="2:7" ht="15.75" thickBot="1">
      <c r="B20" s="119">
        <f t="shared" si="0"/>
        <v>0</v>
      </c>
      <c r="C20" s="121">
        <f>'اجمالي التكاليف خلال الفترة'!H15</f>
        <v>0</v>
      </c>
      <c r="D20" s="93">
        <v>1</v>
      </c>
      <c r="E20" s="93" t="s">
        <v>87</v>
      </c>
      <c r="F20" s="65" t="str">
        <f>'اجمالي التكاليف خلال الفترة'!I15</f>
        <v>خام 5</v>
      </c>
      <c r="G20" s="288"/>
    </row>
    <row r="21" spans="2:7" ht="21" thickBot="1">
      <c r="B21" s="122">
        <f>SUM(B16:B20)*D21</f>
        <v>0</v>
      </c>
      <c r="C21" s="70" t="s">
        <v>90</v>
      </c>
      <c r="D21" s="95">
        <f>F5</f>
        <v>1</v>
      </c>
      <c r="E21" s="94" t="s">
        <v>93</v>
      </c>
      <c r="F21" s="307" t="s">
        <v>92</v>
      </c>
      <c r="G21" s="307"/>
    </row>
    <row r="22" spans="2:7" ht="15.75" thickBot="1"/>
    <row r="23" spans="2:7" ht="20.25">
      <c r="B23" s="123" t="e">
        <f>D23*C23</f>
        <v>#DIV/0!</v>
      </c>
      <c r="C23" s="126" t="e">
        <f>'توزيع التكاليف'!K10/الرئيسية!$N$22</f>
        <v>#DIV/0!</v>
      </c>
      <c r="D23" s="91" t="e">
        <f>$B$5</f>
        <v>#DIV/0!</v>
      </c>
      <c r="E23" s="84" t="s">
        <v>4</v>
      </c>
      <c r="F23" s="85" t="s">
        <v>94</v>
      </c>
      <c r="G23" s="86" t="s">
        <v>46</v>
      </c>
    </row>
    <row r="24" spans="2:7" ht="21" thickBot="1">
      <c r="B24" s="124" t="e">
        <f>D24*C24</f>
        <v>#DIV/0!</v>
      </c>
      <c r="C24" s="127" t="e">
        <f>'توزيع التكاليف'!K9/الرئيسية!$N$22</f>
        <v>#DIV/0!</v>
      </c>
      <c r="D24" s="92" t="e">
        <f>$B$5</f>
        <v>#DIV/0!</v>
      </c>
      <c r="E24" s="87" t="s">
        <v>4</v>
      </c>
      <c r="F24" s="88" t="s">
        <v>95</v>
      </c>
      <c r="G24" s="89" t="s">
        <v>96</v>
      </c>
    </row>
    <row r="25" spans="2:7" ht="21" thickBot="1">
      <c r="B25" s="125" t="e">
        <f>SUM(B23:B24)</f>
        <v>#DIV/0!</v>
      </c>
      <c r="C25" s="79" t="s">
        <v>90</v>
      </c>
      <c r="D25" s="80">
        <f>F5</f>
        <v>1</v>
      </c>
      <c r="E25" s="78" t="s">
        <v>98</v>
      </c>
      <c r="F25" s="308" t="s">
        <v>97</v>
      </c>
      <c r="G25" s="309"/>
    </row>
    <row r="26" spans="2:7" ht="15.75" thickBot="1"/>
    <row r="27" spans="2:7">
      <c r="B27" s="128" t="e">
        <f>D27*C27</f>
        <v>#DIV/0!</v>
      </c>
      <c r="C27" s="129" t="e">
        <f>'توزيع التكاليف'!K13/الرئيسية!$N$22</f>
        <v>#DIV/0!</v>
      </c>
      <c r="D27" s="97" t="e">
        <f>$B$5</f>
        <v>#DIV/0!</v>
      </c>
      <c r="E27" s="98" t="s">
        <v>4</v>
      </c>
      <c r="F27" s="98" t="str">
        <f>'اجمالي التكاليف خلال الفترة'!F6</f>
        <v>تكلفة متغيرة 1</v>
      </c>
      <c r="G27" s="277" t="s">
        <v>105</v>
      </c>
    </row>
    <row r="28" spans="2:7">
      <c r="B28" s="130" t="e">
        <f>D28*C28</f>
        <v>#DIV/0!</v>
      </c>
      <c r="C28" s="131" t="e">
        <f>'توزيع التكاليف'!K14/الرئيسية!$N$22</f>
        <v>#DIV/0!</v>
      </c>
      <c r="D28" s="101" t="e">
        <f>$B$5</f>
        <v>#DIV/0!</v>
      </c>
      <c r="E28" s="102" t="s">
        <v>4</v>
      </c>
      <c r="F28" s="102" t="str">
        <f>'اجمالي التكاليف خلال الفترة'!F7</f>
        <v>تكلفة متغيرة 2</v>
      </c>
      <c r="G28" s="278"/>
    </row>
    <row r="29" spans="2:7">
      <c r="B29" s="130" t="e">
        <f t="shared" ref="B29:B36" si="1">D29*C29</f>
        <v>#DIV/0!</v>
      </c>
      <c r="C29" s="131" t="e">
        <f>'توزيع التكاليف'!K15/الرئيسية!$N$22</f>
        <v>#DIV/0!</v>
      </c>
      <c r="D29" s="101" t="e">
        <f t="shared" ref="D29:D37" si="2">$B$5</f>
        <v>#DIV/0!</v>
      </c>
      <c r="E29" s="102" t="s">
        <v>4</v>
      </c>
      <c r="F29" s="102" t="str">
        <f>'اجمالي التكاليف خلال الفترة'!F8</f>
        <v>تكلفة متغيرة 3</v>
      </c>
      <c r="G29" s="278"/>
    </row>
    <row r="30" spans="2:7">
      <c r="B30" s="130" t="e">
        <f t="shared" si="1"/>
        <v>#DIV/0!</v>
      </c>
      <c r="C30" s="131" t="e">
        <f>'توزيع التكاليف'!K16/الرئيسية!$N$22</f>
        <v>#DIV/0!</v>
      </c>
      <c r="D30" s="101" t="e">
        <f t="shared" si="2"/>
        <v>#DIV/0!</v>
      </c>
      <c r="E30" s="102" t="s">
        <v>4</v>
      </c>
      <c r="F30" s="102" t="str">
        <f>'اجمالي التكاليف خلال الفترة'!F9</f>
        <v>تكلفة متغيرة 4</v>
      </c>
      <c r="G30" s="278"/>
    </row>
    <row r="31" spans="2:7">
      <c r="B31" s="130" t="e">
        <f t="shared" si="1"/>
        <v>#DIV/0!</v>
      </c>
      <c r="C31" s="131" t="e">
        <f>'توزيع التكاليف'!K17/الرئيسية!$N$22</f>
        <v>#DIV/0!</v>
      </c>
      <c r="D31" s="101" t="e">
        <f t="shared" si="2"/>
        <v>#DIV/0!</v>
      </c>
      <c r="E31" s="102" t="s">
        <v>4</v>
      </c>
      <c r="F31" s="102" t="str">
        <f>'اجمالي التكاليف خلال الفترة'!F10</f>
        <v>تكلفة متغيرة 5</v>
      </c>
      <c r="G31" s="279" t="s">
        <v>106</v>
      </c>
    </row>
    <row r="32" spans="2:7">
      <c r="B32" s="130" t="e">
        <f t="shared" si="1"/>
        <v>#DIV/0!</v>
      </c>
      <c r="C32" s="131" t="e">
        <f>'توزيع التكاليف'!K18/الرئيسية!$N$22</f>
        <v>#DIV/0!</v>
      </c>
      <c r="D32" s="101" t="e">
        <f t="shared" si="2"/>
        <v>#DIV/0!</v>
      </c>
      <c r="E32" s="75" t="s">
        <v>4</v>
      </c>
      <c r="F32" s="102" t="str">
        <f>'اجمالي التكاليف خلال الفترة'!F11</f>
        <v>تكلفة متغيرة 6</v>
      </c>
      <c r="G32" s="279"/>
    </row>
    <row r="33" spans="2:7">
      <c r="B33" s="130" t="e">
        <f t="shared" si="1"/>
        <v>#DIV/0!</v>
      </c>
      <c r="C33" s="131" t="e">
        <f>'توزيع التكاليف'!K19/الرئيسية!$N$22</f>
        <v>#DIV/0!</v>
      </c>
      <c r="D33" s="101" t="e">
        <f t="shared" si="2"/>
        <v>#DIV/0!</v>
      </c>
      <c r="E33" s="75" t="s">
        <v>4</v>
      </c>
      <c r="F33" s="102" t="str">
        <f>'اجمالي التكاليف خلال الفترة'!F12</f>
        <v>تكلفة متغيرة 7</v>
      </c>
      <c r="G33" s="279"/>
    </row>
    <row r="34" spans="2:7">
      <c r="B34" s="130" t="e">
        <f t="shared" si="1"/>
        <v>#DIV/0!</v>
      </c>
      <c r="C34" s="131" t="e">
        <f>'توزيع التكاليف'!K20/الرئيسية!$N$22</f>
        <v>#DIV/0!</v>
      </c>
      <c r="D34" s="101" t="e">
        <f t="shared" si="2"/>
        <v>#DIV/0!</v>
      </c>
      <c r="E34" s="75" t="s">
        <v>4</v>
      </c>
      <c r="F34" s="102" t="str">
        <f>'اجمالي التكاليف خلال الفترة'!F13</f>
        <v>تكلفة متغيرة 8</v>
      </c>
      <c r="G34" s="280" t="s">
        <v>107</v>
      </c>
    </row>
    <row r="35" spans="2:7">
      <c r="B35" s="130" t="e">
        <f t="shared" si="1"/>
        <v>#DIV/0!</v>
      </c>
      <c r="C35" s="131" t="e">
        <f>'توزيع التكاليف'!K21/الرئيسية!$N$22</f>
        <v>#DIV/0!</v>
      </c>
      <c r="D35" s="101" t="e">
        <f t="shared" si="2"/>
        <v>#DIV/0!</v>
      </c>
      <c r="E35" s="96" t="s">
        <v>4</v>
      </c>
      <c r="F35" s="102" t="str">
        <f>'اجمالي التكاليف خلال الفترة'!F14</f>
        <v>تكلفة متغيرة 9</v>
      </c>
      <c r="G35" s="280"/>
    </row>
    <row r="36" spans="2:7" ht="20.25">
      <c r="B36" s="130" t="e">
        <f t="shared" si="1"/>
        <v>#DIV/0!</v>
      </c>
      <c r="C36" s="131" t="e">
        <f>'توزيع التكاليف'!K22/الرئيسية!$N$22</f>
        <v>#DIV/0!</v>
      </c>
      <c r="D36" s="101" t="e">
        <f t="shared" si="2"/>
        <v>#DIV/0!</v>
      </c>
      <c r="E36" s="96" t="s">
        <v>4</v>
      </c>
      <c r="F36" s="102" t="str">
        <f>'اجمالي التكاليف خلال الفترة'!F15</f>
        <v>تكلفة متغيرة 10</v>
      </c>
      <c r="G36" s="99"/>
    </row>
    <row r="37" spans="2:7" ht="21" thickBot="1">
      <c r="B37" s="130" t="e">
        <f>D37*C37</f>
        <v>#DIV/0!</v>
      </c>
      <c r="C37" s="131" t="e">
        <f>'اهلاك خطوط الانتاج'!C2/F5*B5</f>
        <v>#DIV/0!</v>
      </c>
      <c r="D37" s="101" t="e">
        <f t="shared" si="2"/>
        <v>#DIV/0!</v>
      </c>
      <c r="E37" s="118" t="s">
        <v>4</v>
      </c>
      <c r="F37" s="102" t="str">
        <f>'اهلاك خطوط الانتاج'!$D$2</f>
        <v>اهلاك خط الانتاج</v>
      </c>
      <c r="G37" s="100"/>
    </row>
    <row r="38" spans="2:7" ht="21" thickBot="1">
      <c r="B38" s="132" t="e">
        <f>SUM(B27:B37)</f>
        <v>#DIV/0!</v>
      </c>
      <c r="C38" s="71" t="s">
        <v>90</v>
      </c>
      <c r="D38" s="72">
        <f>F5</f>
        <v>1</v>
      </c>
      <c r="E38" s="73" t="s">
        <v>91</v>
      </c>
      <c r="F38" s="82" t="s">
        <v>104</v>
      </c>
      <c r="G38" s="83"/>
    </row>
    <row r="39" spans="2:7" ht="15.75" thickBot="1"/>
    <row r="40" spans="2:7">
      <c r="B40" s="133" t="e">
        <f>D40*C40</f>
        <v>#DIV/0!</v>
      </c>
      <c r="C40" s="134" t="e">
        <f>'توزيع التكاليف'!K25/الرئيسية!$N$22</f>
        <v>#DIV/0!</v>
      </c>
      <c r="D40" s="107" t="e">
        <f>$B$5</f>
        <v>#DIV/0!</v>
      </c>
      <c r="E40" s="108" t="s">
        <v>4</v>
      </c>
      <c r="F40" s="108" t="str">
        <f>'اجمالي التكاليف خلال الفترة'!C6</f>
        <v>تكلفة ثابتة 1</v>
      </c>
      <c r="G40" s="271" t="s">
        <v>105</v>
      </c>
    </row>
    <row r="41" spans="2:7">
      <c r="B41" s="135" t="e">
        <f>D41*C41</f>
        <v>#DIV/0!</v>
      </c>
      <c r="C41" s="136" t="e">
        <f>'توزيع التكاليف'!K26/الرئيسية!$N$22</f>
        <v>#DIV/0!</v>
      </c>
      <c r="D41" s="109" t="e">
        <f>$B$5</f>
        <v>#DIV/0!</v>
      </c>
      <c r="E41" s="110" t="s">
        <v>4</v>
      </c>
      <c r="F41" s="110" t="str">
        <f>'اجمالي التكاليف خلال الفترة'!C7</f>
        <v>تكلفة ثابتة 2</v>
      </c>
      <c r="G41" s="272"/>
    </row>
    <row r="42" spans="2:7">
      <c r="B42" s="135" t="e">
        <f t="shared" ref="B42:B49" si="3">D42*C42</f>
        <v>#DIV/0!</v>
      </c>
      <c r="C42" s="136" t="e">
        <f>'توزيع التكاليف'!K27/الرئيسية!$N$22</f>
        <v>#DIV/0!</v>
      </c>
      <c r="D42" s="109" t="e">
        <f t="shared" ref="D42:D49" si="4">$B$5</f>
        <v>#DIV/0!</v>
      </c>
      <c r="E42" s="110" t="s">
        <v>4</v>
      </c>
      <c r="F42" s="110" t="str">
        <f>'اجمالي التكاليف خلال الفترة'!C8</f>
        <v>تكلفة ثابتة 3</v>
      </c>
      <c r="G42" s="272"/>
    </row>
    <row r="43" spans="2:7">
      <c r="B43" s="135" t="e">
        <f t="shared" si="3"/>
        <v>#DIV/0!</v>
      </c>
      <c r="C43" s="136" t="e">
        <f>'توزيع التكاليف'!K28/الرئيسية!$N$22</f>
        <v>#DIV/0!</v>
      </c>
      <c r="D43" s="109" t="e">
        <f t="shared" si="4"/>
        <v>#DIV/0!</v>
      </c>
      <c r="E43" s="110" t="s">
        <v>4</v>
      </c>
      <c r="F43" s="110" t="str">
        <f>'اجمالي التكاليف خلال الفترة'!C9</f>
        <v>تكلفة ثابتة 4</v>
      </c>
      <c r="G43" s="272"/>
    </row>
    <row r="44" spans="2:7">
      <c r="B44" s="135" t="e">
        <f t="shared" si="3"/>
        <v>#DIV/0!</v>
      </c>
      <c r="C44" s="136" t="e">
        <f>'توزيع التكاليف'!K29/الرئيسية!$N$22</f>
        <v>#DIV/0!</v>
      </c>
      <c r="D44" s="109" t="e">
        <f t="shared" si="4"/>
        <v>#DIV/0!</v>
      </c>
      <c r="E44" s="110" t="s">
        <v>4</v>
      </c>
      <c r="F44" s="110" t="str">
        <f>'اجمالي التكاليف خلال الفترة'!C10</f>
        <v>تكلفة ثابتة 5</v>
      </c>
      <c r="G44" s="273" t="s">
        <v>106</v>
      </c>
    </row>
    <row r="45" spans="2:7">
      <c r="B45" s="135" t="e">
        <f t="shared" si="3"/>
        <v>#DIV/0!</v>
      </c>
      <c r="C45" s="136" t="e">
        <f>'توزيع التكاليف'!K30/الرئيسية!$N$22</f>
        <v>#DIV/0!</v>
      </c>
      <c r="D45" s="109" t="e">
        <f t="shared" si="4"/>
        <v>#DIV/0!</v>
      </c>
      <c r="E45" s="111" t="s">
        <v>4</v>
      </c>
      <c r="F45" s="110" t="str">
        <f>'اجمالي التكاليف خلال الفترة'!C11</f>
        <v>تكلفة ثابتة 6</v>
      </c>
      <c r="G45" s="273"/>
    </row>
    <row r="46" spans="2:7">
      <c r="B46" s="135" t="e">
        <f t="shared" si="3"/>
        <v>#DIV/0!</v>
      </c>
      <c r="C46" s="136" t="e">
        <f>'توزيع التكاليف'!K31/الرئيسية!$N$22</f>
        <v>#DIV/0!</v>
      </c>
      <c r="D46" s="109" t="e">
        <f t="shared" si="4"/>
        <v>#DIV/0!</v>
      </c>
      <c r="E46" s="111" t="s">
        <v>4</v>
      </c>
      <c r="F46" s="110" t="str">
        <f>'اجمالي التكاليف خلال الفترة'!C12</f>
        <v>تكلفة ثابتة 7</v>
      </c>
      <c r="G46" s="273"/>
    </row>
    <row r="47" spans="2:7">
      <c r="B47" s="135" t="e">
        <f t="shared" si="3"/>
        <v>#DIV/0!</v>
      </c>
      <c r="C47" s="136" t="e">
        <f>'توزيع التكاليف'!K32/الرئيسية!$N$22</f>
        <v>#DIV/0!</v>
      </c>
      <c r="D47" s="109" t="e">
        <f t="shared" si="4"/>
        <v>#DIV/0!</v>
      </c>
      <c r="E47" s="111" t="s">
        <v>4</v>
      </c>
      <c r="F47" s="110" t="str">
        <f>'اجمالي التكاليف خلال الفترة'!C13</f>
        <v>تكلفة ثابتة 8</v>
      </c>
      <c r="G47" s="274" t="s">
        <v>108</v>
      </c>
    </row>
    <row r="48" spans="2:7">
      <c r="B48" s="135" t="e">
        <f t="shared" si="3"/>
        <v>#DIV/0!</v>
      </c>
      <c r="C48" s="136" t="e">
        <f>'توزيع التكاليف'!K33/الرئيسية!$N$22</f>
        <v>#DIV/0!</v>
      </c>
      <c r="D48" s="109" t="e">
        <f t="shared" si="4"/>
        <v>#DIV/0!</v>
      </c>
      <c r="E48" s="112" t="s">
        <v>4</v>
      </c>
      <c r="F48" s="110" t="str">
        <f>'اجمالي التكاليف خلال الفترة'!C14</f>
        <v>تكلفة ثابتة 9</v>
      </c>
      <c r="G48" s="274"/>
    </row>
    <row r="49" spans="2:7" ht="21" thickBot="1">
      <c r="B49" s="135" t="e">
        <f t="shared" si="3"/>
        <v>#DIV/0!</v>
      </c>
      <c r="C49" s="136" t="e">
        <f>'توزيع التكاليف'!K34/الرئيسية!$N$22</f>
        <v>#DIV/0!</v>
      </c>
      <c r="D49" s="109" t="e">
        <f t="shared" si="4"/>
        <v>#DIV/0!</v>
      </c>
      <c r="E49" s="113" t="s">
        <v>4</v>
      </c>
      <c r="F49" s="110" t="str">
        <f>'اجمالي التكاليف خلال الفترة'!C15</f>
        <v>تكلفة ثابتة 10</v>
      </c>
      <c r="G49" s="106"/>
    </row>
    <row r="50" spans="2:7" ht="21" thickBot="1">
      <c r="B50" s="137" t="e">
        <f>SUM(B40:B49)</f>
        <v>#DIV/0!</v>
      </c>
      <c r="C50" s="114" t="s">
        <v>90</v>
      </c>
      <c r="D50" s="115">
        <f>F5</f>
        <v>1</v>
      </c>
      <c r="E50" s="103" t="s">
        <v>91</v>
      </c>
      <c r="F50" s="104" t="s">
        <v>104</v>
      </c>
      <c r="G50" s="105"/>
    </row>
    <row r="53" spans="2:7">
      <c r="B53" s="304" t="s">
        <v>110</v>
      </c>
      <c r="C53" s="304"/>
      <c r="D53" s="304"/>
      <c r="E53" s="304"/>
      <c r="F53" s="304"/>
      <c r="G53" s="304"/>
    </row>
    <row r="54" spans="2:7">
      <c r="B54" s="305"/>
      <c r="C54" s="305"/>
      <c r="D54" s="305"/>
      <c r="E54" s="305"/>
      <c r="F54" s="305"/>
      <c r="G54" s="305"/>
    </row>
    <row r="55" spans="2:7" ht="18.75">
      <c r="B55" s="150" t="s">
        <v>116</v>
      </c>
      <c r="C55" s="148" t="s">
        <v>113</v>
      </c>
      <c r="D55" s="306" t="s">
        <v>112</v>
      </c>
      <c r="E55" s="306"/>
      <c r="F55" s="146" t="s">
        <v>102</v>
      </c>
      <c r="G55" s="145" t="s">
        <v>112</v>
      </c>
    </row>
    <row r="56" spans="2:7" ht="18.75">
      <c r="B56" s="150" t="s">
        <v>117</v>
      </c>
      <c r="C56" s="148" t="s">
        <v>114</v>
      </c>
      <c r="D56" s="306" t="s">
        <v>115</v>
      </c>
      <c r="E56" s="306"/>
      <c r="F56" s="146" t="s">
        <v>114</v>
      </c>
      <c r="G56" s="145" t="s">
        <v>111</v>
      </c>
    </row>
    <row r="57" spans="2:7" ht="15.75">
      <c r="B57" s="151" t="e">
        <f>G57/(F57-C57)</f>
        <v>#DIV/0!</v>
      </c>
      <c r="C57" s="149" t="e">
        <f>D57/F5</f>
        <v>#DIV/0!</v>
      </c>
      <c r="D57" s="303" t="e">
        <f>B38+B21+B24</f>
        <v>#DIV/0!</v>
      </c>
      <c r="E57" s="303"/>
      <c r="F57" s="147">
        <f>F8</f>
        <v>0</v>
      </c>
      <c r="G57" s="202" t="e">
        <f>'توزيع التكاليف'!K24+'توزيع التكاليف'!K10</f>
        <v>#DIV/0!</v>
      </c>
    </row>
  </sheetData>
  <mergeCells count="31">
    <mergeCell ref="B2:C3"/>
    <mergeCell ref="D2:E3"/>
    <mergeCell ref="F2:F3"/>
    <mergeCell ref="G2:G3"/>
    <mergeCell ref="B5:C6"/>
    <mergeCell ref="D5:E6"/>
    <mergeCell ref="F5:F6"/>
    <mergeCell ref="G5:G6"/>
    <mergeCell ref="G34:G35"/>
    <mergeCell ref="B8:C9"/>
    <mergeCell ref="D8:E9"/>
    <mergeCell ref="F8:F9"/>
    <mergeCell ref="G8:G9"/>
    <mergeCell ref="B11:C11"/>
    <mergeCell ref="B13:B14"/>
    <mergeCell ref="C13:C14"/>
    <mergeCell ref="D13:E13"/>
    <mergeCell ref="F13:F14"/>
    <mergeCell ref="G13:G14"/>
    <mergeCell ref="G16:G20"/>
    <mergeCell ref="F21:G21"/>
    <mergeCell ref="F25:G25"/>
    <mergeCell ref="G27:G30"/>
    <mergeCell ref="G31:G33"/>
    <mergeCell ref="D57:E57"/>
    <mergeCell ref="G40:G43"/>
    <mergeCell ref="G44:G46"/>
    <mergeCell ref="G47:G48"/>
    <mergeCell ref="B53:G54"/>
    <mergeCell ref="D55:E55"/>
    <mergeCell ref="D56:E5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B1:AL57"/>
  <sheetViews>
    <sheetView workbookViewId="0">
      <pane xSplit="7" ySplit="15" topLeftCell="H16" activePane="bottomRight" state="frozen"/>
      <selection activeCell="I28" sqref="I28"/>
      <selection pane="topRight" activeCell="I28" sqref="I28"/>
      <selection pane="bottomLeft" activeCell="I28" sqref="I28"/>
      <selection pane="bottomRight" activeCell="I28" sqref="I28"/>
    </sheetView>
  </sheetViews>
  <sheetFormatPr defaultRowHeight="15"/>
  <cols>
    <col min="1" max="1" width="2.85546875" style="67" customWidth="1"/>
    <col min="2" max="2" width="22" style="67" bestFit="1" customWidth="1"/>
    <col min="3" max="3" width="17.85546875" style="67" bestFit="1" customWidth="1"/>
    <col min="4" max="4" width="12.42578125" style="67" customWidth="1"/>
    <col min="5" max="5" width="11" style="67" bestFit="1" customWidth="1"/>
    <col min="6" max="6" width="37.42578125" style="67" bestFit="1" customWidth="1"/>
    <col min="7" max="7" width="36.85546875" style="67" bestFit="1" customWidth="1"/>
    <col min="8" max="38" width="9.140625" style="81"/>
    <col min="39" max="16384" width="9.140625" style="67"/>
  </cols>
  <sheetData>
    <row r="1" spans="2:8" ht="8.25" customHeight="1"/>
    <row r="2" spans="2:8">
      <c r="B2" s="323" t="e">
        <f>F2/الرئيسية!N26</f>
        <v>#DIV/0!</v>
      </c>
      <c r="C2" s="323"/>
      <c r="D2" s="312" t="s">
        <v>101</v>
      </c>
      <c r="E2" s="312"/>
      <c r="F2" s="311">
        <f>الرئيسية!O26</f>
        <v>0</v>
      </c>
      <c r="G2" s="312" t="s">
        <v>12</v>
      </c>
    </row>
    <row r="3" spans="2:8">
      <c r="B3" s="323"/>
      <c r="C3" s="323"/>
      <c r="D3" s="312"/>
      <c r="E3" s="312"/>
      <c r="F3" s="311"/>
      <c r="G3" s="312"/>
    </row>
    <row r="4" spans="2:8" ht="5.25" customHeight="1" thickBot="1">
      <c r="B4" s="116"/>
      <c r="C4" s="116"/>
      <c r="D4" s="116"/>
      <c r="E4" s="116"/>
      <c r="F4" s="116"/>
      <c r="G4" s="116"/>
    </row>
    <row r="5" spans="2:8">
      <c r="B5" s="323" t="e">
        <f>F5/B2</f>
        <v>#DIV/0!</v>
      </c>
      <c r="C5" s="323"/>
      <c r="D5" s="312" t="s">
        <v>100</v>
      </c>
      <c r="E5" s="312"/>
      <c r="F5" s="292">
        <v>1</v>
      </c>
      <c r="G5" s="312" t="s">
        <v>99</v>
      </c>
    </row>
    <row r="6" spans="2:8" ht="15.75" thickBot="1">
      <c r="B6" s="323"/>
      <c r="C6" s="323"/>
      <c r="D6" s="312"/>
      <c r="E6" s="312"/>
      <c r="F6" s="293"/>
      <c r="G6" s="312"/>
    </row>
    <row r="7" spans="2:8" ht="4.5" customHeight="1" thickBot="1">
      <c r="B7" s="117"/>
      <c r="C7" s="117"/>
      <c r="D7" s="117"/>
      <c r="E7" s="117"/>
      <c r="F7" s="117"/>
      <c r="G7" s="117"/>
    </row>
    <row r="8" spans="2:8">
      <c r="B8" s="310" t="e">
        <f>B57</f>
        <v>#DIV/0!</v>
      </c>
      <c r="C8" s="311"/>
      <c r="D8" s="312" t="s">
        <v>103</v>
      </c>
      <c r="E8" s="312"/>
      <c r="F8" s="285"/>
      <c r="G8" s="312" t="s">
        <v>102</v>
      </c>
    </row>
    <row r="9" spans="2:8" ht="15.75" thickBot="1">
      <c r="B9" s="311"/>
      <c r="C9" s="311"/>
      <c r="D9" s="312"/>
      <c r="E9" s="312"/>
      <c r="F9" s="286"/>
      <c r="G9" s="312"/>
    </row>
    <row r="10" spans="2:8" ht="6" customHeight="1">
      <c r="B10" s="66"/>
      <c r="C10" s="66"/>
      <c r="D10" s="138"/>
      <c r="E10" s="138"/>
      <c r="F10" s="66"/>
      <c r="G10" s="66"/>
    </row>
    <row r="11" spans="2:8" ht="24" thickBot="1">
      <c r="B11" s="313" t="e">
        <f>B21+B25+B38+B50</f>
        <v>#DIV/0!</v>
      </c>
      <c r="C11" s="313"/>
      <c r="D11" s="143" t="s">
        <v>90</v>
      </c>
      <c r="E11" s="144">
        <f>F5</f>
        <v>1</v>
      </c>
      <c r="F11" s="142">
        <f>الرئيسية!P26</f>
        <v>0</v>
      </c>
      <c r="G11" s="207" t="s">
        <v>119</v>
      </c>
    </row>
    <row r="12" spans="2:8" ht="6" customHeight="1" thickBot="1">
      <c r="B12" s="139"/>
      <c r="C12" s="139"/>
      <c r="D12" s="140"/>
      <c r="E12" s="140"/>
      <c r="F12" s="141"/>
      <c r="G12" s="66"/>
    </row>
    <row r="13" spans="2:8" ht="18">
      <c r="B13" s="314" t="s">
        <v>81</v>
      </c>
      <c r="C13" s="316" t="s">
        <v>82</v>
      </c>
      <c r="D13" s="318" t="s">
        <v>83</v>
      </c>
      <c r="E13" s="314"/>
      <c r="F13" s="319" t="s">
        <v>18</v>
      </c>
      <c r="G13" s="321" t="s">
        <v>84</v>
      </c>
    </row>
    <row r="14" spans="2:8" ht="18.75" thickBot="1">
      <c r="B14" s="315"/>
      <c r="C14" s="317"/>
      <c r="D14" s="76" t="s">
        <v>85</v>
      </c>
      <c r="E14" s="77" t="s">
        <v>86</v>
      </c>
      <c r="F14" s="320"/>
      <c r="G14" s="322"/>
    </row>
    <row r="15" spans="2:8" ht="18.75" thickBot="1">
      <c r="B15" s="68"/>
      <c r="C15" s="68"/>
      <c r="D15" s="69"/>
      <c r="E15" s="68"/>
    </row>
    <row r="16" spans="2:8">
      <c r="B16" s="119">
        <f>C16*D16</f>
        <v>0</v>
      </c>
      <c r="C16" s="120">
        <f>'اجمالي التكاليف خلال الفترة'!H11</f>
        <v>0</v>
      </c>
      <c r="D16" s="152">
        <v>1</v>
      </c>
      <c r="E16" s="74" t="s">
        <v>87</v>
      </c>
      <c r="F16" s="74" t="str">
        <f>'اجمالي التكاليف خلال الفترة'!I11</f>
        <v>خام 1</v>
      </c>
      <c r="G16" s="287" t="s">
        <v>88</v>
      </c>
      <c r="H16" s="205"/>
    </row>
    <row r="17" spans="2:7">
      <c r="B17" s="119">
        <f>C17*D17</f>
        <v>0</v>
      </c>
      <c r="C17" s="121">
        <f>'اجمالي التكاليف خلال الفترة'!H12</f>
        <v>0</v>
      </c>
      <c r="D17" s="153">
        <v>1</v>
      </c>
      <c r="E17" s="90" t="s">
        <v>89</v>
      </c>
      <c r="F17" s="65" t="str">
        <f>'اجمالي التكاليف خلال الفترة'!I12</f>
        <v>خام 2</v>
      </c>
      <c r="G17" s="288"/>
    </row>
    <row r="18" spans="2:7">
      <c r="B18" s="119">
        <f t="shared" ref="B18:B20" si="0">C18*D18</f>
        <v>0</v>
      </c>
      <c r="C18" s="121">
        <f>'اجمالي التكاليف خلال الفترة'!H13</f>
        <v>0</v>
      </c>
      <c r="D18" s="153">
        <v>1</v>
      </c>
      <c r="E18" s="90" t="s">
        <v>87</v>
      </c>
      <c r="F18" s="65" t="str">
        <f>'اجمالي التكاليف خلال الفترة'!I13</f>
        <v>خام 3</v>
      </c>
      <c r="G18" s="288"/>
    </row>
    <row r="19" spans="2:7">
      <c r="B19" s="119">
        <f t="shared" si="0"/>
        <v>0</v>
      </c>
      <c r="C19" s="121">
        <f>'اجمالي التكاليف خلال الفترة'!H14</f>
        <v>0</v>
      </c>
      <c r="D19" s="153">
        <v>1</v>
      </c>
      <c r="E19" s="90" t="s">
        <v>89</v>
      </c>
      <c r="F19" s="65" t="str">
        <f>'اجمالي التكاليف خلال الفترة'!I14</f>
        <v>خام 4</v>
      </c>
      <c r="G19" s="288"/>
    </row>
    <row r="20" spans="2:7" ht="15.75" thickBot="1">
      <c r="B20" s="119">
        <f t="shared" si="0"/>
        <v>0</v>
      </c>
      <c r="C20" s="121">
        <f>'اجمالي التكاليف خلال الفترة'!H15</f>
        <v>0</v>
      </c>
      <c r="D20" s="154">
        <v>1</v>
      </c>
      <c r="E20" s="93" t="s">
        <v>87</v>
      </c>
      <c r="F20" s="65" t="str">
        <f>'اجمالي التكاليف خلال الفترة'!I15</f>
        <v>خام 5</v>
      </c>
      <c r="G20" s="288"/>
    </row>
    <row r="21" spans="2:7" ht="21" thickBot="1">
      <c r="B21" s="122">
        <f>SUM(B16:B20)*D21</f>
        <v>0</v>
      </c>
      <c r="C21" s="70" t="s">
        <v>90</v>
      </c>
      <c r="D21" s="95">
        <f>F5</f>
        <v>1</v>
      </c>
      <c r="E21" s="94" t="s">
        <v>93</v>
      </c>
      <c r="F21" s="307" t="s">
        <v>92</v>
      </c>
      <c r="G21" s="307"/>
    </row>
    <row r="22" spans="2:7" ht="15.75" thickBot="1"/>
    <row r="23" spans="2:7" ht="20.25">
      <c r="B23" s="123" t="e">
        <f>D23*C23</f>
        <v>#DIV/0!</v>
      </c>
      <c r="C23" s="126" t="e">
        <f>'توزيع التكاليف'!L10/الرئيسية!$N$26</f>
        <v>#DIV/0!</v>
      </c>
      <c r="D23" s="91" t="e">
        <f>$B$5</f>
        <v>#DIV/0!</v>
      </c>
      <c r="E23" s="84" t="s">
        <v>4</v>
      </c>
      <c r="F23" s="85" t="s">
        <v>94</v>
      </c>
      <c r="G23" s="86" t="s">
        <v>46</v>
      </c>
    </row>
    <row r="24" spans="2:7" ht="21" thickBot="1">
      <c r="B24" s="124" t="e">
        <f>D24*C24</f>
        <v>#DIV/0!</v>
      </c>
      <c r="C24" s="127" t="e">
        <f>'توزيع التكاليف'!L9/الرئيسية!$N$26</f>
        <v>#DIV/0!</v>
      </c>
      <c r="D24" s="92" t="e">
        <f>$B$5</f>
        <v>#DIV/0!</v>
      </c>
      <c r="E24" s="87" t="s">
        <v>4</v>
      </c>
      <c r="F24" s="88" t="s">
        <v>95</v>
      </c>
      <c r="G24" s="89" t="s">
        <v>96</v>
      </c>
    </row>
    <row r="25" spans="2:7" ht="21" thickBot="1">
      <c r="B25" s="125" t="e">
        <f>SUM(B23:B24)</f>
        <v>#DIV/0!</v>
      </c>
      <c r="C25" s="79" t="s">
        <v>90</v>
      </c>
      <c r="D25" s="80">
        <f>F5</f>
        <v>1</v>
      </c>
      <c r="E25" s="78" t="s">
        <v>98</v>
      </c>
      <c r="F25" s="308" t="s">
        <v>97</v>
      </c>
      <c r="G25" s="309"/>
    </row>
    <row r="26" spans="2:7" ht="15.75" thickBot="1"/>
    <row r="27" spans="2:7">
      <c r="B27" s="128" t="e">
        <f>D27*C27</f>
        <v>#DIV/0!</v>
      </c>
      <c r="C27" s="129" t="e">
        <f>'توزيع التكاليف'!L13/الرئيسية!$N$26</f>
        <v>#DIV/0!</v>
      </c>
      <c r="D27" s="97" t="e">
        <f>$B$5</f>
        <v>#DIV/0!</v>
      </c>
      <c r="E27" s="98" t="s">
        <v>4</v>
      </c>
      <c r="F27" s="98" t="str">
        <f>'اجمالي التكاليف خلال الفترة'!F6</f>
        <v>تكلفة متغيرة 1</v>
      </c>
      <c r="G27" s="277" t="s">
        <v>105</v>
      </c>
    </row>
    <row r="28" spans="2:7">
      <c r="B28" s="130" t="e">
        <f>D28*C28</f>
        <v>#DIV/0!</v>
      </c>
      <c r="C28" s="131" t="e">
        <f>'توزيع التكاليف'!L14/الرئيسية!$N$26</f>
        <v>#DIV/0!</v>
      </c>
      <c r="D28" s="101" t="e">
        <f>$B$5</f>
        <v>#DIV/0!</v>
      </c>
      <c r="E28" s="102" t="s">
        <v>4</v>
      </c>
      <c r="F28" s="102" t="str">
        <f>'اجمالي التكاليف خلال الفترة'!F7</f>
        <v>تكلفة متغيرة 2</v>
      </c>
      <c r="G28" s="278"/>
    </row>
    <row r="29" spans="2:7">
      <c r="B29" s="130" t="e">
        <f t="shared" ref="B29:B36" si="1">D29*C29</f>
        <v>#DIV/0!</v>
      </c>
      <c r="C29" s="131" t="e">
        <f>'توزيع التكاليف'!L15/الرئيسية!$N$26</f>
        <v>#DIV/0!</v>
      </c>
      <c r="D29" s="101" t="e">
        <f t="shared" ref="D29:D37" si="2">$B$5</f>
        <v>#DIV/0!</v>
      </c>
      <c r="E29" s="102" t="s">
        <v>4</v>
      </c>
      <c r="F29" s="102" t="str">
        <f>'اجمالي التكاليف خلال الفترة'!F8</f>
        <v>تكلفة متغيرة 3</v>
      </c>
      <c r="G29" s="278"/>
    </row>
    <row r="30" spans="2:7">
      <c r="B30" s="130" t="e">
        <f t="shared" si="1"/>
        <v>#DIV/0!</v>
      </c>
      <c r="C30" s="131" t="e">
        <f>'توزيع التكاليف'!L16/الرئيسية!$N$26</f>
        <v>#DIV/0!</v>
      </c>
      <c r="D30" s="101" t="e">
        <f t="shared" si="2"/>
        <v>#DIV/0!</v>
      </c>
      <c r="E30" s="102" t="s">
        <v>4</v>
      </c>
      <c r="F30" s="102" t="str">
        <f>'اجمالي التكاليف خلال الفترة'!F9</f>
        <v>تكلفة متغيرة 4</v>
      </c>
      <c r="G30" s="278"/>
    </row>
    <row r="31" spans="2:7">
      <c r="B31" s="130" t="e">
        <f t="shared" si="1"/>
        <v>#DIV/0!</v>
      </c>
      <c r="C31" s="131" t="e">
        <f>'توزيع التكاليف'!L17/الرئيسية!$N$26</f>
        <v>#DIV/0!</v>
      </c>
      <c r="D31" s="101" t="e">
        <f t="shared" si="2"/>
        <v>#DIV/0!</v>
      </c>
      <c r="E31" s="102" t="s">
        <v>4</v>
      </c>
      <c r="F31" s="102" t="str">
        <f>'اجمالي التكاليف خلال الفترة'!F10</f>
        <v>تكلفة متغيرة 5</v>
      </c>
      <c r="G31" s="279" t="s">
        <v>106</v>
      </c>
    </row>
    <row r="32" spans="2:7">
      <c r="B32" s="130" t="e">
        <f t="shared" si="1"/>
        <v>#DIV/0!</v>
      </c>
      <c r="C32" s="131" t="e">
        <f>'توزيع التكاليف'!L18/الرئيسية!$N$26</f>
        <v>#DIV/0!</v>
      </c>
      <c r="D32" s="101" t="e">
        <f t="shared" si="2"/>
        <v>#DIV/0!</v>
      </c>
      <c r="E32" s="75" t="s">
        <v>4</v>
      </c>
      <c r="F32" s="102" t="str">
        <f>'اجمالي التكاليف خلال الفترة'!F11</f>
        <v>تكلفة متغيرة 6</v>
      </c>
      <c r="G32" s="279"/>
    </row>
    <row r="33" spans="2:7">
      <c r="B33" s="130" t="e">
        <f t="shared" si="1"/>
        <v>#DIV/0!</v>
      </c>
      <c r="C33" s="131" t="e">
        <f>'توزيع التكاليف'!L19/الرئيسية!$N$26</f>
        <v>#DIV/0!</v>
      </c>
      <c r="D33" s="101" t="e">
        <f t="shared" si="2"/>
        <v>#DIV/0!</v>
      </c>
      <c r="E33" s="75" t="s">
        <v>4</v>
      </c>
      <c r="F33" s="102" t="str">
        <f>'اجمالي التكاليف خلال الفترة'!F12</f>
        <v>تكلفة متغيرة 7</v>
      </c>
      <c r="G33" s="279"/>
    </row>
    <row r="34" spans="2:7">
      <c r="B34" s="130" t="e">
        <f t="shared" si="1"/>
        <v>#DIV/0!</v>
      </c>
      <c r="C34" s="131" t="e">
        <f>'توزيع التكاليف'!L20/الرئيسية!$N$26</f>
        <v>#DIV/0!</v>
      </c>
      <c r="D34" s="101" t="e">
        <f t="shared" si="2"/>
        <v>#DIV/0!</v>
      </c>
      <c r="E34" s="75" t="s">
        <v>4</v>
      </c>
      <c r="F34" s="102" t="str">
        <f>'اجمالي التكاليف خلال الفترة'!F13</f>
        <v>تكلفة متغيرة 8</v>
      </c>
      <c r="G34" s="280" t="s">
        <v>107</v>
      </c>
    </row>
    <row r="35" spans="2:7">
      <c r="B35" s="130" t="e">
        <f t="shared" si="1"/>
        <v>#DIV/0!</v>
      </c>
      <c r="C35" s="131" t="e">
        <f>'توزيع التكاليف'!L21/الرئيسية!$N$26</f>
        <v>#DIV/0!</v>
      </c>
      <c r="D35" s="101" t="e">
        <f t="shared" si="2"/>
        <v>#DIV/0!</v>
      </c>
      <c r="E35" s="96" t="s">
        <v>4</v>
      </c>
      <c r="F35" s="102" t="str">
        <f>'اجمالي التكاليف خلال الفترة'!F14</f>
        <v>تكلفة متغيرة 9</v>
      </c>
      <c r="G35" s="280"/>
    </row>
    <row r="36" spans="2:7" ht="20.25">
      <c r="B36" s="130" t="e">
        <f t="shared" si="1"/>
        <v>#DIV/0!</v>
      </c>
      <c r="C36" s="131" t="e">
        <f>'توزيع التكاليف'!L22/الرئيسية!$N$26</f>
        <v>#DIV/0!</v>
      </c>
      <c r="D36" s="101" t="e">
        <f t="shared" si="2"/>
        <v>#DIV/0!</v>
      </c>
      <c r="E36" s="96" t="s">
        <v>4</v>
      </c>
      <c r="F36" s="102" t="str">
        <f>'اجمالي التكاليف خلال الفترة'!F15</f>
        <v>تكلفة متغيرة 10</v>
      </c>
      <c r="G36" s="99"/>
    </row>
    <row r="37" spans="2:7" ht="21" thickBot="1">
      <c r="B37" s="130" t="e">
        <f>D37*C37</f>
        <v>#DIV/0!</v>
      </c>
      <c r="C37" s="131" t="e">
        <f>'اهلاك خطوط الانتاج'!C2/F5*B5</f>
        <v>#DIV/0!</v>
      </c>
      <c r="D37" s="101" t="e">
        <f t="shared" si="2"/>
        <v>#DIV/0!</v>
      </c>
      <c r="E37" s="118" t="s">
        <v>4</v>
      </c>
      <c r="F37" s="102" t="str">
        <f>'اهلاك خطوط الانتاج'!$D$2</f>
        <v>اهلاك خط الانتاج</v>
      </c>
      <c r="G37" s="100"/>
    </row>
    <row r="38" spans="2:7" ht="21" thickBot="1">
      <c r="B38" s="132" t="e">
        <f>SUM(B27:B37)</f>
        <v>#DIV/0!</v>
      </c>
      <c r="C38" s="71" t="s">
        <v>90</v>
      </c>
      <c r="D38" s="72">
        <f>F5</f>
        <v>1</v>
      </c>
      <c r="E38" s="73" t="s">
        <v>91</v>
      </c>
      <c r="F38" s="82" t="s">
        <v>104</v>
      </c>
      <c r="G38" s="83"/>
    </row>
    <row r="39" spans="2:7" ht="15.75" thickBot="1"/>
    <row r="40" spans="2:7">
      <c r="B40" s="133" t="e">
        <f>D40*C40</f>
        <v>#DIV/0!</v>
      </c>
      <c r="C40" s="134" t="e">
        <f>'توزيع التكاليف'!L25/الرئيسية!$N$26</f>
        <v>#DIV/0!</v>
      </c>
      <c r="D40" s="107" t="e">
        <f>$B$5</f>
        <v>#DIV/0!</v>
      </c>
      <c r="E40" s="108" t="s">
        <v>4</v>
      </c>
      <c r="F40" s="108" t="str">
        <f>'اجمالي التكاليف خلال الفترة'!C6</f>
        <v>تكلفة ثابتة 1</v>
      </c>
      <c r="G40" s="271" t="s">
        <v>105</v>
      </c>
    </row>
    <row r="41" spans="2:7">
      <c r="B41" s="135" t="e">
        <f>D41*C41</f>
        <v>#DIV/0!</v>
      </c>
      <c r="C41" s="136" t="e">
        <f>'توزيع التكاليف'!L26/الرئيسية!$N$26</f>
        <v>#DIV/0!</v>
      </c>
      <c r="D41" s="109" t="e">
        <f>$B$5</f>
        <v>#DIV/0!</v>
      </c>
      <c r="E41" s="110" t="s">
        <v>4</v>
      </c>
      <c r="F41" s="110" t="str">
        <f>'اجمالي التكاليف خلال الفترة'!C7</f>
        <v>تكلفة ثابتة 2</v>
      </c>
      <c r="G41" s="272"/>
    </row>
    <row r="42" spans="2:7">
      <c r="B42" s="135" t="e">
        <f t="shared" ref="B42:B49" si="3">D42*C42</f>
        <v>#DIV/0!</v>
      </c>
      <c r="C42" s="136" t="e">
        <f>'توزيع التكاليف'!L27/الرئيسية!$N$26</f>
        <v>#DIV/0!</v>
      </c>
      <c r="D42" s="109" t="e">
        <f t="shared" ref="D42:D49" si="4">$B$5</f>
        <v>#DIV/0!</v>
      </c>
      <c r="E42" s="110" t="s">
        <v>4</v>
      </c>
      <c r="F42" s="110" t="str">
        <f>'اجمالي التكاليف خلال الفترة'!C8</f>
        <v>تكلفة ثابتة 3</v>
      </c>
      <c r="G42" s="272"/>
    </row>
    <row r="43" spans="2:7">
      <c r="B43" s="135" t="e">
        <f t="shared" si="3"/>
        <v>#DIV/0!</v>
      </c>
      <c r="C43" s="136" t="e">
        <f>'توزيع التكاليف'!L28/الرئيسية!$N$26</f>
        <v>#DIV/0!</v>
      </c>
      <c r="D43" s="109" t="e">
        <f t="shared" si="4"/>
        <v>#DIV/0!</v>
      </c>
      <c r="E43" s="110" t="s">
        <v>4</v>
      </c>
      <c r="F43" s="110" t="str">
        <f>'اجمالي التكاليف خلال الفترة'!C9</f>
        <v>تكلفة ثابتة 4</v>
      </c>
      <c r="G43" s="272"/>
    </row>
    <row r="44" spans="2:7">
      <c r="B44" s="135" t="e">
        <f t="shared" si="3"/>
        <v>#DIV/0!</v>
      </c>
      <c r="C44" s="136" t="e">
        <f>'توزيع التكاليف'!L29/الرئيسية!$N$26</f>
        <v>#DIV/0!</v>
      </c>
      <c r="D44" s="109" t="e">
        <f t="shared" si="4"/>
        <v>#DIV/0!</v>
      </c>
      <c r="E44" s="110" t="s">
        <v>4</v>
      </c>
      <c r="F44" s="110" t="str">
        <f>'اجمالي التكاليف خلال الفترة'!C10</f>
        <v>تكلفة ثابتة 5</v>
      </c>
      <c r="G44" s="273" t="s">
        <v>106</v>
      </c>
    </row>
    <row r="45" spans="2:7">
      <c r="B45" s="135" t="e">
        <f t="shared" si="3"/>
        <v>#DIV/0!</v>
      </c>
      <c r="C45" s="136" t="e">
        <f>'توزيع التكاليف'!L30/الرئيسية!$N$26</f>
        <v>#DIV/0!</v>
      </c>
      <c r="D45" s="109" t="e">
        <f t="shared" si="4"/>
        <v>#DIV/0!</v>
      </c>
      <c r="E45" s="111" t="s">
        <v>4</v>
      </c>
      <c r="F45" s="110" t="str">
        <f>'اجمالي التكاليف خلال الفترة'!C11</f>
        <v>تكلفة ثابتة 6</v>
      </c>
      <c r="G45" s="273"/>
    </row>
    <row r="46" spans="2:7">
      <c r="B46" s="135" t="e">
        <f t="shared" si="3"/>
        <v>#DIV/0!</v>
      </c>
      <c r="C46" s="136" t="e">
        <f>'توزيع التكاليف'!L31/الرئيسية!$N$26</f>
        <v>#DIV/0!</v>
      </c>
      <c r="D46" s="109" t="e">
        <f t="shared" si="4"/>
        <v>#DIV/0!</v>
      </c>
      <c r="E46" s="111" t="s">
        <v>4</v>
      </c>
      <c r="F46" s="110" t="str">
        <f>'اجمالي التكاليف خلال الفترة'!C12</f>
        <v>تكلفة ثابتة 7</v>
      </c>
      <c r="G46" s="273"/>
    </row>
    <row r="47" spans="2:7">
      <c r="B47" s="135" t="e">
        <f t="shared" si="3"/>
        <v>#DIV/0!</v>
      </c>
      <c r="C47" s="136" t="e">
        <f>'توزيع التكاليف'!L32/الرئيسية!$N$26</f>
        <v>#DIV/0!</v>
      </c>
      <c r="D47" s="109" t="e">
        <f t="shared" si="4"/>
        <v>#DIV/0!</v>
      </c>
      <c r="E47" s="111" t="s">
        <v>4</v>
      </c>
      <c r="F47" s="110" t="str">
        <f>'اجمالي التكاليف خلال الفترة'!C13</f>
        <v>تكلفة ثابتة 8</v>
      </c>
      <c r="G47" s="274" t="s">
        <v>108</v>
      </c>
    </row>
    <row r="48" spans="2:7">
      <c r="B48" s="135" t="e">
        <f t="shared" si="3"/>
        <v>#DIV/0!</v>
      </c>
      <c r="C48" s="136" t="e">
        <f>'توزيع التكاليف'!L33/الرئيسية!$N$26</f>
        <v>#DIV/0!</v>
      </c>
      <c r="D48" s="109" t="e">
        <f t="shared" si="4"/>
        <v>#DIV/0!</v>
      </c>
      <c r="E48" s="112" t="s">
        <v>4</v>
      </c>
      <c r="F48" s="110" t="str">
        <f>'اجمالي التكاليف خلال الفترة'!C14</f>
        <v>تكلفة ثابتة 9</v>
      </c>
      <c r="G48" s="274"/>
    </row>
    <row r="49" spans="2:7" ht="21" thickBot="1">
      <c r="B49" s="135" t="e">
        <f t="shared" si="3"/>
        <v>#DIV/0!</v>
      </c>
      <c r="C49" s="136" t="e">
        <f>'توزيع التكاليف'!L34/الرئيسية!$N$26</f>
        <v>#DIV/0!</v>
      </c>
      <c r="D49" s="109" t="e">
        <f t="shared" si="4"/>
        <v>#DIV/0!</v>
      </c>
      <c r="E49" s="113" t="s">
        <v>4</v>
      </c>
      <c r="F49" s="110" t="str">
        <f>'اجمالي التكاليف خلال الفترة'!C15</f>
        <v>تكلفة ثابتة 10</v>
      </c>
      <c r="G49" s="106"/>
    </row>
    <row r="50" spans="2:7" ht="21" thickBot="1">
      <c r="B50" s="137" t="e">
        <f>SUM(B40:B49)</f>
        <v>#DIV/0!</v>
      </c>
      <c r="C50" s="114" t="s">
        <v>90</v>
      </c>
      <c r="D50" s="115">
        <f>F5</f>
        <v>1</v>
      </c>
      <c r="E50" s="103" t="s">
        <v>91</v>
      </c>
      <c r="F50" s="104" t="s">
        <v>104</v>
      </c>
      <c r="G50" s="105"/>
    </row>
    <row r="53" spans="2:7">
      <c r="B53" s="304" t="s">
        <v>110</v>
      </c>
      <c r="C53" s="304"/>
      <c r="D53" s="304"/>
      <c r="E53" s="304"/>
      <c r="F53" s="304"/>
      <c r="G53" s="304"/>
    </row>
    <row r="54" spans="2:7">
      <c r="B54" s="305"/>
      <c r="C54" s="305"/>
      <c r="D54" s="305"/>
      <c r="E54" s="305"/>
      <c r="F54" s="305"/>
      <c r="G54" s="305"/>
    </row>
    <row r="55" spans="2:7" ht="18.75">
      <c r="B55" s="150" t="s">
        <v>116</v>
      </c>
      <c r="C55" s="148" t="s">
        <v>113</v>
      </c>
      <c r="D55" s="306" t="s">
        <v>112</v>
      </c>
      <c r="E55" s="306"/>
      <c r="F55" s="146" t="s">
        <v>102</v>
      </c>
      <c r="G55" s="145" t="s">
        <v>112</v>
      </c>
    </row>
    <row r="56" spans="2:7" ht="18.75">
      <c r="B56" s="150" t="s">
        <v>117</v>
      </c>
      <c r="C56" s="148" t="s">
        <v>114</v>
      </c>
      <c r="D56" s="306" t="s">
        <v>115</v>
      </c>
      <c r="E56" s="306"/>
      <c r="F56" s="146" t="s">
        <v>114</v>
      </c>
      <c r="G56" s="145" t="s">
        <v>111</v>
      </c>
    </row>
    <row r="57" spans="2:7" ht="15.75">
      <c r="B57" s="151" t="e">
        <f>G57/(F57-C57)</f>
        <v>#DIV/0!</v>
      </c>
      <c r="C57" s="149" t="e">
        <f>D57/F5</f>
        <v>#DIV/0!</v>
      </c>
      <c r="D57" s="303" t="e">
        <f>B38+B21+B24</f>
        <v>#DIV/0!</v>
      </c>
      <c r="E57" s="303"/>
      <c r="F57" s="147">
        <f>F8</f>
        <v>0</v>
      </c>
      <c r="G57" s="202" t="e">
        <f>'توزيع التكاليف'!L24+'توزيع التكاليف'!L10</f>
        <v>#DIV/0!</v>
      </c>
    </row>
  </sheetData>
  <mergeCells count="31">
    <mergeCell ref="B2:C3"/>
    <mergeCell ref="D2:E3"/>
    <mergeCell ref="F2:F3"/>
    <mergeCell ref="G2:G3"/>
    <mergeCell ref="B5:C6"/>
    <mergeCell ref="D5:E6"/>
    <mergeCell ref="F5:F6"/>
    <mergeCell ref="G5:G6"/>
    <mergeCell ref="G34:G35"/>
    <mergeCell ref="B8:C9"/>
    <mergeCell ref="D8:E9"/>
    <mergeCell ref="F8:F9"/>
    <mergeCell ref="G8:G9"/>
    <mergeCell ref="B11:C11"/>
    <mergeCell ref="B13:B14"/>
    <mergeCell ref="C13:C14"/>
    <mergeCell ref="D13:E13"/>
    <mergeCell ref="F13:F14"/>
    <mergeCell ref="G13:G14"/>
    <mergeCell ref="G16:G20"/>
    <mergeCell ref="F21:G21"/>
    <mergeCell ref="F25:G25"/>
    <mergeCell ref="G27:G30"/>
    <mergeCell ref="G31:G33"/>
    <mergeCell ref="D57:E57"/>
    <mergeCell ref="G40:G43"/>
    <mergeCell ref="G44:G46"/>
    <mergeCell ref="G47:G48"/>
    <mergeCell ref="B53:G54"/>
    <mergeCell ref="D55:E55"/>
    <mergeCell ref="D56:E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الرئيسية</vt:lpstr>
      <vt:lpstr>اجمالي التكاليف خلال الفترة</vt:lpstr>
      <vt:lpstr>اهلاك خطوط الانتاج</vt:lpstr>
      <vt:lpstr>توزيع التكاليف</vt:lpstr>
      <vt:lpstr>الصنف 1</vt:lpstr>
      <vt:lpstr>الصنف 2</vt:lpstr>
      <vt:lpstr>الصنف 3</vt:lpstr>
      <vt:lpstr>الصنف 4</vt:lpstr>
      <vt:lpstr>الصنف 5</vt:lpstr>
      <vt:lpstr>الصنف 6</vt:lpstr>
      <vt:lpstr>الصنف 7</vt:lpstr>
      <vt:lpstr>الصنف 8</vt:lpstr>
      <vt:lpstr>الصنف 9</vt:lpstr>
      <vt:lpstr>الصنف 10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 Kimaz</dc:creator>
  <cp:lastModifiedBy>MO Kimaz</cp:lastModifiedBy>
  <dcterms:created xsi:type="dcterms:W3CDTF">2021-04-06T07:53:56Z</dcterms:created>
  <dcterms:modified xsi:type="dcterms:W3CDTF">2021-04-07T12:49:01Z</dcterms:modified>
</cp:coreProperties>
</file>