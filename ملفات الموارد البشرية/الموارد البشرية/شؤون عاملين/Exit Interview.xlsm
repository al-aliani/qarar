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svg" ContentType="image/svg+xml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hartEx1.xml" ContentType="application/vnd.ms-office.chartex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6.xml" ContentType="application/vnd.ms-office.chartcolorstyle+xml"/>
  <Override PartName="/xl/charts/style6.xml" ContentType="application/vnd.ms-office.chartstyle+xml"/>
  <Override PartName="/xl/charts/colors5.xml" ContentType="application/vnd.ms-office.chartcolorstyle+xml"/>
  <Override PartName="/xl/charts/style5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 hidePivotFieldList="1"/>
  <bookViews>
    <workbookView xWindow="-120" yWindow="-120" windowWidth="20640" windowHeight="11760" tabRatio="290" activeTab="4"/>
  </bookViews>
  <sheets>
    <sheet name="UI" sheetId="1" r:id="rId1"/>
    <sheet name="EvalDB" sheetId="3" r:id="rId2"/>
    <sheet name="Sheet4" sheetId="4" r:id="rId3"/>
    <sheet name="Dashboard" sheetId="5" r:id="rId4"/>
    <sheet name="EmpDB" sheetId="2" r:id="rId5"/>
  </sheets>
  <definedNames>
    <definedName name="_xlchart.v2.0" hidden="1">Sheet4!$C$90:$C$93</definedName>
    <definedName name="_xlchart.v2.1" hidden="1">Sheet4!$D$89</definedName>
    <definedName name="_xlchart.v2.2" hidden="1">Sheet4!$D$90:$D$93</definedName>
  </definedNames>
  <calcPr calcId="144525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0" i="4" l="1"/>
  <c r="F20" i="4"/>
  <c r="G20" i="4"/>
  <c r="I20" i="4"/>
  <c r="J20" i="4"/>
  <c r="D21" i="4"/>
  <c r="D22" i="4"/>
  <c r="D23" i="4"/>
  <c r="D24" i="4"/>
  <c r="D25" i="4"/>
  <c r="D26" i="4"/>
  <c r="D27" i="4"/>
  <c r="D28" i="4"/>
  <c r="D29" i="4"/>
  <c r="D30" i="4"/>
  <c r="F7" i="4"/>
  <c r="E23" i="4" s="1"/>
  <c r="G7" i="4"/>
  <c r="H23" i="4" s="1"/>
  <c r="H7" i="4"/>
  <c r="I23" i="4" s="1"/>
  <c r="I7" i="4"/>
  <c r="J23" i="4" s="1"/>
  <c r="F8" i="4"/>
  <c r="E24" i="4" s="1"/>
  <c r="G8" i="4"/>
  <c r="H24" i="4" s="1"/>
  <c r="H8" i="4"/>
  <c r="I24" i="4" s="1"/>
  <c r="I8" i="4"/>
  <c r="J24" i="4" s="1"/>
  <c r="F9" i="4"/>
  <c r="E25" i="4" s="1"/>
  <c r="G9" i="4"/>
  <c r="H25" i="4" s="1"/>
  <c r="H9" i="4"/>
  <c r="I25" i="4" s="1"/>
  <c r="I9" i="4"/>
  <c r="J25" i="4" s="1"/>
  <c r="F10" i="4"/>
  <c r="E26" i="4" s="1"/>
  <c r="G10" i="4"/>
  <c r="F26" i="4" s="1"/>
  <c r="H10" i="4"/>
  <c r="I26" i="4" s="1"/>
  <c r="I10" i="4"/>
  <c r="J26" i="4" s="1"/>
  <c r="F11" i="4"/>
  <c r="E27" i="4" s="1"/>
  <c r="G11" i="4"/>
  <c r="F27" i="4" s="1"/>
  <c r="H11" i="4"/>
  <c r="I27" i="4" s="1"/>
  <c r="I11" i="4"/>
  <c r="J27" i="4" s="1"/>
  <c r="F12" i="4"/>
  <c r="E28" i="4" s="1"/>
  <c r="G12" i="4"/>
  <c r="F28" i="4" s="1"/>
  <c r="H12" i="4"/>
  <c r="I28" i="4" s="1"/>
  <c r="I12" i="4"/>
  <c r="J28" i="4" s="1"/>
  <c r="F13" i="4"/>
  <c r="E29" i="4" s="1"/>
  <c r="G13" i="4"/>
  <c r="F29" i="4" s="1"/>
  <c r="H13" i="4"/>
  <c r="I29" i="4" s="1"/>
  <c r="I13" i="4"/>
  <c r="J29" i="4" s="1"/>
  <c r="F14" i="4"/>
  <c r="E30" i="4" s="1"/>
  <c r="G14" i="4"/>
  <c r="F30" i="4" s="1"/>
  <c r="H14" i="4"/>
  <c r="I30" i="4" s="1"/>
  <c r="I14" i="4"/>
  <c r="J30" i="4" s="1"/>
  <c r="E8" i="4"/>
  <c r="G24" i="4" s="1"/>
  <c r="E9" i="4"/>
  <c r="G25" i="4" s="1"/>
  <c r="E10" i="4"/>
  <c r="G26" i="4" s="1"/>
  <c r="E11" i="4"/>
  <c r="G27" i="4" s="1"/>
  <c r="E12" i="4"/>
  <c r="G28" i="4" s="1"/>
  <c r="E13" i="4"/>
  <c r="G29" i="4" s="1"/>
  <c r="E14" i="4"/>
  <c r="G30" i="4" s="1"/>
  <c r="E7" i="4"/>
  <c r="G23" i="4" s="1"/>
  <c r="F6" i="4"/>
  <c r="E22" i="4" s="1"/>
  <c r="G6" i="4"/>
  <c r="F22" i="4" s="1"/>
  <c r="H6" i="4"/>
  <c r="I22" i="4" s="1"/>
  <c r="I6" i="4"/>
  <c r="J22" i="4" s="1"/>
  <c r="E6" i="4"/>
  <c r="G22" i="4" s="1"/>
  <c r="F5" i="4"/>
  <c r="E21" i="4" s="1"/>
  <c r="G5" i="4"/>
  <c r="H21" i="4" s="1"/>
  <c r="H5" i="4"/>
  <c r="I21" i="4" s="1"/>
  <c r="I5" i="4"/>
  <c r="J21" i="4" s="1"/>
  <c r="E5" i="4"/>
  <c r="G21" i="4" s="1"/>
  <c r="Z6" i="1"/>
  <c r="T6" i="1"/>
  <c r="M6" i="1"/>
  <c r="D100" i="4" l="1"/>
  <c r="D107" i="4"/>
  <c r="D103" i="4"/>
  <c r="D101" i="4"/>
  <c r="D106" i="4"/>
  <c r="D98" i="4"/>
  <c r="D105" i="4"/>
  <c r="D99" i="4"/>
  <c r="D104" i="4"/>
  <c r="D102" i="4"/>
  <c r="D97" i="4"/>
  <c r="D108" i="4"/>
  <c r="D90" i="4"/>
  <c r="D92" i="4"/>
  <c r="D91" i="4"/>
  <c r="D93" i="4"/>
  <c r="F25" i="4"/>
  <c r="F24" i="4"/>
  <c r="F21" i="4"/>
  <c r="F23" i="4"/>
  <c r="H29" i="4"/>
  <c r="H30" i="4"/>
  <c r="H22" i="4"/>
  <c r="H28" i="4"/>
  <c r="H27" i="4"/>
  <c r="H26" i="4"/>
</calcChain>
</file>

<file path=xl/sharedStrings.xml><?xml version="1.0" encoding="utf-8"?>
<sst xmlns="http://schemas.openxmlformats.org/spreadsheetml/2006/main" count="149" uniqueCount="104">
  <si>
    <t>الرقم الوظيفي</t>
  </si>
  <si>
    <t>Badge #</t>
  </si>
  <si>
    <t>الإسم</t>
  </si>
  <si>
    <t>Name</t>
  </si>
  <si>
    <t>القسم</t>
  </si>
  <si>
    <t>Department</t>
  </si>
  <si>
    <t>تاريخ الإلتحاق</t>
  </si>
  <si>
    <t>Joining Date</t>
  </si>
  <si>
    <t>أخر يوم عمل</t>
  </si>
  <si>
    <t>Last W. Day</t>
  </si>
  <si>
    <t>المعلومات الرئيسية General Information</t>
  </si>
  <si>
    <t>قيم كل من النقاط التالية (5 راضي تماماً - 1 غير راضي تماماً)</t>
  </si>
  <si>
    <t>Evaluate below points (5 very satisfied - 1 not satisfied)</t>
  </si>
  <si>
    <t>هل مكان العمل مناسب صحياً وعملياً ؟</t>
  </si>
  <si>
    <t>هل لديك إطلاع بالسياسات والأجراءات وهل ترى أنها مناسبة وعادلة؟</t>
  </si>
  <si>
    <t>هل  الرواتب المميزات الممنوحة لك جيدة وتكافئ وزن المهام المكلة إليك؟</t>
  </si>
  <si>
    <t>هل ترى أن الشركة تولي اهتماماً بالموظفين؟</t>
  </si>
  <si>
    <t>هل تلقيت الدعم المناسب من مديرك المباشر ؟</t>
  </si>
  <si>
    <t>كيف ترى توجهات الشركة الإستراتيجية وقدرتها على التغيير؟</t>
  </si>
  <si>
    <t>هل تلقيت التدريب المناسب؟</t>
  </si>
  <si>
    <t>هل كان لديك وضوح تام بالمهام والمسؤوليات الموكلة إليك ؟</t>
  </si>
  <si>
    <t>هل حصلت على فرصة الزيادة والترقية بطريقة عادلة ومنصفة ؟</t>
  </si>
  <si>
    <t>مدى التعاون والعلاقات البنائة بين فريق العمل.</t>
  </si>
  <si>
    <t>أسئلة عامة</t>
  </si>
  <si>
    <t>General Questions</t>
  </si>
  <si>
    <t>ما هو أكثر شيء أعجبك في العمل مع الشركة ؟</t>
  </si>
  <si>
    <t>ما هو أكثر شيء لم يعجبك في العمل مع الشركة ؟</t>
  </si>
  <si>
    <r>
      <t xml:space="preserve">What did you </t>
    </r>
    <r>
      <rPr>
        <b/>
        <sz val="11"/>
        <color theme="1"/>
        <rFont val="Calibri"/>
        <family val="2"/>
      </rPr>
      <t>dislike</t>
    </r>
    <r>
      <rPr>
        <sz val="11"/>
        <color theme="1"/>
        <rFont val="Calibri"/>
        <family val="2"/>
      </rPr>
      <t xml:space="preserve"> most about working for the company? </t>
    </r>
  </si>
  <si>
    <r>
      <t xml:space="preserve">What did you </t>
    </r>
    <r>
      <rPr>
        <b/>
        <sz val="11"/>
        <color theme="1"/>
        <rFont val="Calibri"/>
        <family val="2"/>
      </rPr>
      <t>like</t>
    </r>
    <r>
      <rPr>
        <sz val="11"/>
        <color theme="1"/>
        <rFont val="Calibri"/>
        <family val="2"/>
      </rPr>
      <t xml:space="preserve"> most about working for the company? </t>
    </r>
  </si>
  <si>
    <t>ماذا تقترح لتطوير بيئة العمل في قسمك</t>
  </si>
  <si>
    <r>
      <t xml:space="preserve">What are your suggestions for improving your </t>
    </r>
    <r>
      <rPr>
        <b/>
        <sz val="11"/>
        <color theme="1"/>
        <rFont val="Calibri"/>
        <family val="2"/>
      </rPr>
      <t>department</t>
    </r>
    <r>
      <rPr>
        <sz val="11"/>
        <color theme="1"/>
        <rFont val="Calibri"/>
        <family val="2"/>
      </rPr>
      <t>?</t>
    </r>
  </si>
  <si>
    <r>
      <t xml:space="preserve">What are your suggestions for improving the </t>
    </r>
    <r>
      <rPr>
        <b/>
        <sz val="11"/>
        <color theme="1"/>
        <rFont val="Calibri"/>
        <family val="2"/>
      </rPr>
      <t>company</t>
    </r>
    <r>
      <rPr>
        <sz val="11"/>
        <color theme="1"/>
        <rFont val="Calibri"/>
        <family val="2"/>
      </rPr>
      <t>?</t>
    </r>
  </si>
  <si>
    <t>ماذا تقترح لتطوير بيئة العمل في الشركة</t>
  </si>
  <si>
    <t>ما هو السبب الفعلي الذي جعلك تترك تغادر الشركة</t>
  </si>
  <si>
    <t>الحصول على فرصة أفضل Better Opportunity</t>
  </si>
  <si>
    <t>الإنتقال إلى جهة حكومية Joining Gov.</t>
  </si>
  <si>
    <t>تغيير مكان سكني Relocate to other place</t>
  </si>
  <si>
    <t>مضايقة مديري أو زملائي Harassment of my manager or colleagues</t>
  </si>
  <si>
    <t>ظروف عائلية Family issues</t>
  </si>
  <si>
    <t>أخرى Other</t>
  </si>
  <si>
    <t>الراتب والمميزات - Salary &amp; Benefits</t>
  </si>
  <si>
    <t>بيئة العمل غير محفزة Disengagement in work environment</t>
  </si>
  <si>
    <t>إذكرها Mention it</t>
  </si>
  <si>
    <t>نموذج مقابلة نهاية الخدمة Exit Interview Form</t>
  </si>
  <si>
    <t>Is the workplace healthy and practical?</t>
  </si>
  <si>
    <t>Are you familiar with policies and  you think they are appropriate ?</t>
  </si>
  <si>
    <t>Are the salary &amp; Benefits equal of the tasks assigned to you?</t>
  </si>
  <si>
    <t>Do you think the company pays attention to employees?</t>
  </si>
  <si>
    <t>Did you receive the appropriate support from your line manager?</t>
  </si>
  <si>
    <t>How do you see the company's stratgy and ability to change?</t>
  </si>
  <si>
    <t>Did you receive the appropriate training?</t>
  </si>
  <si>
    <t>Did you have clarity about your tasks and responsibilities ?</t>
  </si>
  <si>
    <t>Did you get the opportunity to increased and promoted ?</t>
  </si>
  <si>
    <t>The cooperation and relationships between the work team.</t>
  </si>
  <si>
    <t>الجنسية</t>
  </si>
  <si>
    <t>تاريخ الميلاد</t>
  </si>
  <si>
    <t>تاريخ المباشرة</t>
  </si>
  <si>
    <t>الوظيفة</t>
  </si>
  <si>
    <t>رقم الجوال</t>
  </si>
  <si>
    <t>رقم الهوية</t>
  </si>
  <si>
    <t>الأساسي</t>
  </si>
  <si>
    <t>بدل السكن</t>
  </si>
  <si>
    <t>بدل النقل</t>
  </si>
  <si>
    <t>الإجمالي</t>
  </si>
  <si>
    <t>تقييم الأداء</t>
  </si>
  <si>
    <t>المالية</t>
  </si>
  <si>
    <t>الموارد البشرية</t>
  </si>
  <si>
    <t>المستودعات</t>
  </si>
  <si>
    <t>الخدمات اللوجستية</t>
  </si>
  <si>
    <t>المبيعات</t>
  </si>
  <si>
    <t>تاريخ المغادرة</t>
  </si>
  <si>
    <t>أسباب أخرى</t>
  </si>
  <si>
    <t>راضي تماماً</t>
  </si>
  <si>
    <t>راضي</t>
  </si>
  <si>
    <t>محايد</t>
  </si>
  <si>
    <t>مقبول</t>
  </si>
  <si>
    <t>غير راضي</t>
  </si>
  <si>
    <t>Row Labels</t>
  </si>
  <si>
    <t>Grand Total</t>
  </si>
  <si>
    <t>Count of الإسم</t>
  </si>
  <si>
    <t>العمليات</t>
  </si>
  <si>
    <t>العمر بالشركة</t>
  </si>
  <si>
    <t>العمر مع الشركة</t>
  </si>
  <si>
    <t>أقل من سنتين</t>
  </si>
  <si>
    <t>أعلى من 5 سنوات وأقل من 10</t>
  </si>
  <si>
    <t>من 10 سنوات فأعلى</t>
  </si>
  <si>
    <t>عدد المنتهية خدماتهم</t>
  </si>
  <si>
    <t>سنتين وأقل من 5 سنوات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</si>
  <si>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</si>
  <si>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</si>
  <si>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</si>
  <si>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</si>
  <si>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</si>
  <si>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</si>
  <si>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</si>
  <si>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</si>
  <si>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</si>
  <si>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</si>
  <si>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</si>
  <si>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</si>
  <si>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Month</t>
  </si>
  <si>
    <t>الشهر</t>
  </si>
  <si>
    <t>لوحة مراقبة المنتهية خدماتهم</t>
  </si>
  <si>
    <t>ما هو السبب الفعلي الذي جعلك  تغادر الشركة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</si>
</sst>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9" x14ac:knownFonts="1">
    <font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0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sz val="20"/>
      <color theme="0"/>
      <name val="Calibri"/>
      <family val="2"/>
    </font>
    <font>
      <sz val="11"/>
      <color rgb="FF0070C0"/>
      <name val="Calibri"/>
      <family val="2"/>
    </font>
    <font>
      <b/>
      <sz val="11"/>
      <color rgb="FF0070C0"/>
      <name val="Calibri"/>
      <family val="2"/>
    </font>
    <font>
      <sz val="8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medium">
        <color theme="0" tint="-0.249977111117893"/>
      </left>
      <right/>
      <top style="medium">
        <color theme="0" tint="-0.249977111117893"/>
      </top>
      <bottom style="thin">
        <color theme="0" tint="-0.249977111117893"/>
      </bottom>
      <diagonal/>
    </border>
    <border>
      <left/>
      <right/>
      <top style="medium">
        <color theme="0" tint="-0.249977111117893"/>
      </top>
      <bottom style="thin">
        <color theme="0" tint="-0.249977111117893"/>
      </bottom>
      <diagonal/>
    </border>
    <border>
      <left/>
      <right style="medium">
        <color theme="0" tint="-0.249977111117893"/>
      </right>
      <top style="medium">
        <color theme="0" tint="-0.249977111117893"/>
      </top>
      <bottom style="thin">
        <color theme="0" tint="-0.249977111117893"/>
      </bottom>
      <diagonal/>
    </border>
    <border>
      <left style="medium">
        <color theme="0" tint="-0.249977111117893"/>
      </left>
      <right/>
      <top style="thin">
        <color theme="0" tint="-0.249977111117893"/>
      </top>
      <bottom/>
      <diagonal/>
    </border>
    <border>
      <left/>
      <right style="medium">
        <color theme="0" tint="-0.249977111117893"/>
      </right>
      <top style="thin">
        <color theme="0" tint="-0.249977111117893"/>
      </top>
      <bottom/>
      <diagonal/>
    </border>
    <border>
      <left style="medium">
        <color theme="0" tint="-0.249977111117893"/>
      </left>
      <right/>
      <top/>
      <bottom/>
      <diagonal/>
    </border>
    <border>
      <left/>
      <right style="medium">
        <color theme="0" tint="-0.249977111117893"/>
      </right>
      <top/>
      <bottom/>
      <diagonal/>
    </border>
    <border>
      <left style="medium">
        <color theme="0" tint="-0.249977111117893"/>
      </left>
      <right/>
      <top/>
      <bottom style="thin">
        <color theme="0" tint="-0.249977111117893"/>
      </bottom>
      <diagonal/>
    </border>
    <border>
      <left/>
      <right style="medium">
        <color theme="0" tint="-0.249977111117893"/>
      </right>
      <top/>
      <bottom style="thin">
        <color theme="0" tint="-0.249977111117893"/>
      </bottom>
      <diagonal/>
    </border>
    <border>
      <left style="medium">
        <color theme="0" tint="-0.249977111117893"/>
      </left>
      <right/>
      <top/>
      <bottom style="medium">
        <color theme="0" tint="-0.249977111117893"/>
      </bottom>
      <diagonal/>
    </border>
    <border>
      <left/>
      <right/>
      <top/>
      <bottom style="medium">
        <color theme="0" tint="-0.249977111117893"/>
      </bottom>
      <diagonal/>
    </border>
    <border>
      <left/>
      <right style="medium">
        <color theme="0" tint="-0.249977111117893"/>
      </right>
      <top/>
      <bottom style="medium">
        <color theme="0" tint="-0.249977111117893"/>
      </bottom>
      <diagonal/>
    </border>
    <border>
      <left style="medium">
        <color theme="0" tint="-0.249977111117893"/>
      </left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/>
      <diagonal/>
    </border>
    <border>
      <left/>
      <right style="medium">
        <color theme="0" tint="-0.249977111117893"/>
      </right>
      <top style="medium">
        <color theme="0" tint="-0.249977111117893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0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5" xfId="0" applyBorder="1" applyAlignment="1"/>
    <xf numFmtId="0" fontId="0" fillId="0" borderId="6" xfId="0" applyBorder="1" applyAlignment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5" borderId="0" xfId="0" applyFill="1" applyBorder="1"/>
    <xf numFmtId="14" fontId="0" fillId="0" borderId="0" xfId="0" applyNumberFormat="1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right"/>
    </xf>
    <xf numFmtId="164" fontId="0" fillId="0" borderId="0" xfId="1" applyFont="1"/>
    <xf numFmtId="0" fontId="0" fillId="6" borderId="0" xfId="0" applyFill="1" applyBorder="1" applyAlignment="1">
      <alignment vertical="center"/>
    </xf>
    <xf numFmtId="0" fontId="5" fillId="2" borderId="0" xfId="0" applyFont="1" applyFill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0" fillId="7" borderId="0" xfId="0" applyFill="1" applyBorder="1" applyAlignment="1">
      <alignment horizontal="center"/>
    </xf>
    <xf numFmtId="0" fontId="6" fillId="8" borderId="1" xfId="0" applyFont="1" applyFill="1" applyBorder="1" applyAlignment="1">
      <alignment horizontal="center" vertical="center"/>
    </xf>
    <xf numFmtId="0" fontId="6" fillId="8" borderId="5" xfId="0" applyFont="1" applyFill="1" applyBorder="1" applyAlignment="1">
      <alignment horizontal="center" vertical="center"/>
    </xf>
    <xf numFmtId="0" fontId="6" fillId="8" borderId="2" xfId="0" applyFont="1" applyFill="1" applyBorder="1" applyAlignment="1">
      <alignment horizontal="center" vertical="center"/>
    </xf>
    <xf numFmtId="0" fontId="6" fillId="8" borderId="7" xfId="0" applyFont="1" applyFill="1" applyBorder="1" applyAlignment="1">
      <alignment horizontal="center" vertical="center"/>
    </xf>
    <xf numFmtId="0" fontId="6" fillId="8" borderId="0" xfId="0" applyFont="1" applyFill="1" applyBorder="1" applyAlignment="1">
      <alignment horizontal="center" vertical="center"/>
    </xf>
    <xf numFmtId="0" fontId="6" fillId="8" borderId="8" xfId="0" applyFont="1" applyFill="1" applyBorder="1" applyAlignment="1">
      <alignment horizontal="center" vertical="center"/>
    </xf>
    <xf numFmtId="0" fontId="6" fillId="8" borderId="3" xfId="0" applyFont="1" applyFill="1" applyBorder="1" applyAlignment="1">
      <alignment horizontal="center" vertical="center"/>
    </xf>
    <xf numFmtId="0" fontId="6" fillId="8" borderId="6" xfId="0" applyFont="1" applyFill="1" applyBorder="1" applyAlignment="1">
      <alignment horizontal="center" vertical="center"/>
    </xf>
    <xf numFmtId="0" fontId="6" fillId="8" borderId="4" xfId="0" applyFont="1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8" borderId="12" xfId="0" applyFill="1" applyBorder="1" applyAlignment="1">
      <alignment horizontal="center" vertical="center"/>
    </xf>
    <xf numFmtId="0" fontId="0" fillId="8" borderId="13" xfId="0" applyFill="1" applyBorder="1" applyAlignment="1">
      <alignment horizontal="center" vertical="center"/>
    </xf>
    <xf numFmtId="0" fontId="0" fillId="0" borderId="9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0" borderId="11" xfId="0" applyBorder="1" applyAlignment="1">
      <alignment horizontal="right"/>
    </xf>
    <xf numFmtId="0" fontId="6" fillId="8" borderId="1" xfId="0" applyFont="1" applyFill="1" applyBorder="1" applyAlignment="1">
      <alignment horizontal="center" vertical="center" wrapText="1"/>
    </xf>
    <xf numFmtId="0" fontId="6" fillId="8" borderId="5" xfId="0" applyFont="1" applyFill="1" applyBorder="1" applyAlignment="1">
      <alignment horizontal="center" vertical="center" wrapText="1"/>
    </xf>
    <xf numFmtId="0" fontId="6" fillId="8" borderId="2" xfId="0" applyFont="1" applyFill="1" applyBorder="1" applyAlignment="1">
      <alignment horizontal="center" vertical="center" wrapText="1"/>
    </xf>
    <xf numFmtId="0" fontId="6" fillId="8" borderId="7" xfId="0" applyFont="1" applyFill="1" applyBorder="1" applyAlignment="1">
      <alignment horizontal="center" vertical="center" wrapText="1"/>
    </xf>
    <xf numFmtId="0" fontId="6" fillId="8" borderId="0" xfId="0" applyFont="1" applyFill="1" applyBorder="1" applyAlignment="1">
      <alignment horizontal="center" vertical="center" wrapText="1"/>
    </xf>
    <xf numFmtId="0" fontId="6" fillId="8" borderId="8" xfId="0" applyFont="1" applyFill="1" applyBorder="1" applyAlignment="1">
      <alignment horizontal="center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6" fillId="8" borderId="6" xfId="0" applyFont="1" applyFill="1" applyBorder="1" applyAlignment="1">
      <alignment horizontal="center" vertical="center" wrapText="1"/>
    </xf>
    <xf numFmtId="0" fontId="6" fillId="8" borderId="4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0" fillId="6" borderId="0" xfId="0" applyFill="1" applyBorder="1" applyAlignment="1">
      <alignment horizontal="right" wrapText="1"/>
    </xf>
    <xf numFmtId="0" fontId="0" fillId="6" borderId="0" xfId="0" applyFill="1" applyBorder="1" applyAlignment="1">
      <alignment horizontal="left" wrapText="1"/>
    </xf>
    <xf numFmtId="0" fontId="2" fillId="4" borderId="1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14" fontId="7" fillId="8" borderId="1" xfId="0" applyNumberFormat="1" applyFont="1" applyFill="1" applyBorder="1" applyAlignment="1">
      <alignment horizontal="right" vertical="center"/>
    </xf>
    <xf numFmtId="0" fontId="7" fillId="8" borderId="5" xfId="0" applyFont="1" applyFill="1" applyBorder="1" applyAlignment="1">
      <alignment horizontal="right" vertical="center"/>
    </xf>
    <xf numFmtId="0" fontId="7" fillId="8" borderId="2" xfId="0" applyFont="1" applyFill="1" applyBorder="1" applyAlignment="1">
      <alignment horizontal="right" vertical="center"/>
    </xf>
    <xf numFmtId="0" fontId="7" fillId="8" borderId="3" xfId="0" applyFont="1" applyFill="1" applyBorder="1" applyAlignment="1">
      <alignment horizontal="right" vertical="center"/>
    </xf>
    <xf numFmtId="0" fontId="7" fillId="8" borderId="6" xfId="0" applyFont="1" applyFill="1" applyBorder="1" applyAlignment="1">
      <alignment horizontal="right" vertical="center"/>
    </xf>
    <xf numFmtId="0" fontId="7" fillId="8" borderId="4" xfId="0" applyFont="1" applyFill="1" applyBorder="1" applyAlignment="1">
      <alignment horizontal="right" vertical="center"/>
    </xf>
    <xf numFmtId="0" fontId="4" fillId="6" borderId="14" xfId="0" applyFont="1" applyFill="1" applyBorder="1" applyAlignment="1">
      <alignment horizontal="center"/>
    </xf>
    <xf numFmtId="0" fontId="4" fillId="6" borderId="15" xfId="0" applyFont="1" applyFill="1" applyBorder="1" applyAlignment="1">
      <alignment horizontal="center"/>
    </xf>
    <xf numFmtId="0" fontId="4" fillId="6" borderId="16" xfId="0" applyFont="1" applyFill="1" applyBorder="1" applyAlignment="1">
      <alignment horizontal="center"/>
    </xf>
    <xf numFmtId="14" fontId="7" fillId="8" borderId="5" xfId="0" applyNumberFormat="1" applyFont="1" applyFill="1" applyBorder="1" applyAlignment="1">
      <alignment horizontal="right" vertical="center"/>
    </xf>
    <xf numFmtId="14" fontId="7" fillId="8" borderId="2" xfId="0" applyNumberFormat="1" applyFont="1" applyFill="1" applyBorder="1" applyAlignment="1">
      <alignment horizontal="right" vertical="center"/>
    </xf>
    <xf numFmtId="14" fontId="7" fillId="8" borderId="3" xfId="0" applyNumberFormat="1" applyFont="1" applyFill="1" applyBorder="1" applyAlignment="1">
      <alignment horizontal="right" vertical="center"/>
    </xf>
    <xf numFmtId="14" fontId="7" fillId="8" borderId="6" xfId="0" applyNumberFormat="1" applyFont="1" applyFill="1" applyBorder="1" applyAlignment="1">
      <alignment horizontal="right" vertical="center"/>
    </xf>
    <xf numFmtId="14" fontId="7" fillId="8" borderId="4" xfId="0" applyNumberFormat="1" applyFont="1" applyFill="1" applyBorder="1" applyAlignment="1">
      <alignment horizontal="right" vertical="center"/>
    </xf>
    <xf numFmtId="0" fontId="7" fillId="8" borderId="1" xfId="0" applyFont="1" applyFill="1" applyBorder="1" applyAlignment="1">
      <alignment horizontal="right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5" fillId="4" borderId="28" xfId="0" applyFont="1" applyFill="1" applyBorder="1" applyAlignment="1">
      <alignment horizontal="center" vertical="center"/>
    </xf>
    <xf numFmtId="0" fontId="5" fillId="4" borderId="23" xfId="0" applyFont="1" applyFill="1" applyBorder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5" fillId="4" borderId="25" xfId="0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18">
    <dxf>
      <numFmt numFmtId="165" formatCode="dd/mm/yyyy"/>
    </dxf>
    <dxf>
      <numFmt numFmtId="165" formatCode="dd/mm/yyyy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dd/mm/yyyy"/>
    </dxf>
    <dxf>
      <numFmt numFmtId="165" formatCode="dd/mm/yyyy"/>
    </dxf>
    <dxf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C894AC"/>
      <color rgb="FFB16788"/>
      <color rgb="FF993366"/>
      <color rgb="FFD175A3"/>
      <color rgb="FFFF99CC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[Exit Interview.xlsm]Sheet4!PivotTable4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Sheet4!$D$71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Sheet4!$C$72:$C$80</c:f>
              <c:strCache>
                <c:ptCount val="8"/>
                <c:pt idx="0">
                  <c:v>أخرى Other</c:v>
                </c:pt>
                <c:pt idx="1">
                  <c:v>الإنتقال إلى جهة حكومية Joining Gov.</c:v>
                </c:pt>
                <c:pt idx="2">
                  <c:v>الحصول على فرصة أفضل Better Opportunity</c:v>
                </c:pt>
                <c:pt idx="3">
                  <c:v>الراتب والمميزات - Salary &amp; Benefits</c:v>
                </c:pt>
                <c:pt idx="4">
                  <c:v>بيئة العمل غير محفزة Disengagement in work environment</c:v>
                </c:pt>
                <c:pt idx="5">
                  <c:v>تغيير مكان سكني Relocate to other place</c:v>
                </c:pt>
                <c:pt idx="6">
                  <c:v>ظروف عائلية Family issues</c:v>
                </c:pt>
                <c:pt idx="7">
                  <c:v>مضايقة مديري أو زملائي Harassment of my manager or colleagues</c:v>
                </c:pt>
              </c:strCache>
            </c:strRef>
          </c:cat>
          <c:val>
            <c:numRef>
              <c:f>Sheet4!$D$72:$D$80</c:f>
              <c:numCache>
                <c:formatCode>General</c:formatCode>
                <c:ptCount val="8"/>
                <c:pt idx="0">
                  <c:v>22</c:v>
                </c:pt>
                <c:pt idx="1">
                  <c:v>13</c:v>
                </c:pt>
                <c:pt idx="2">
                  <c:v>17</c:v>
                </c:pt>
                <c:pt idx="3">
                  <c:v>39</c:v>
                </c:pt>
                <c:pt idx="4">
                  <c:v>17</c:v>
                </c:pt>
                <c:pt idx="5">
                  <c:v>12</c:v>
                </c:pt>
                <c:pt idx="6">
                  <c:v>20</c:v>
                </c:pt>
                <c:pt idx="7">
                  <c:v>17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DC4-4C53-ACE1-675A15D11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058432"/>
        <c:axId val="77059968"/>
      </c:barChart>
      <c:catAx>
        <c:axId val="77058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59968"/>
        <c:crosses val="autoZero"/>
        <c:auto val="1"/>
        <c:lblAlgn val="ctr"/>
        <c:lblOffset val="100"/>
        <c:noMultiLvlLbl val="0"/>
      </c:catAx>
      <c:valAx>
        <c:axId val="7705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58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 (Body)"/>
                <a:ea typeface="+mn-ea"/>
                <a:cs typeface="+mn-cs"/>
              </a:defRPr>
            </a:pPr>
            <a:r>
              <a:rPr lang="ar-SA"/>
              <a:t>مستوى الرضا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stacked"/>
        <c:varyColors val="0"/>
        <c:ser>
          <c:idx val="1"/>
          <c:order val="0"/>
          <c:tx>
            <c:strRef>
              <c:f>Sheet4!$F$20</c:f>
              <c:strCache>
                <c:ptCount val="1"/>
                <c:pt idx="0">
                  <c:v>محايد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Sheet4!$D$21:$D$30</c:f>
              <c:strCache>
                <c:ptCount val="10"/>
                <c:pt idx="0">
                  <c:v>هل مكان العمل مناسب صحياً وعملياً ؟</c:v>
                </c:pt>
                <c:pt idx="1">
                  <c:v>هل لديك إطلاع بالسياسات والأجراءات وهل ترى أنها مناسبة وعادلة؟</c:v>
                </c:pt>
                <c:pt idx="2">
                  <c:v>هل  الرواتب المميزات الممنوحة لك جيدة وتكافئ وزن المهام المكلة إليك؟</c:v>
                </c:pt>
                <c:pt idx="3">
                  <c:v>هل ترى أن الشركة تولي اهتماماً بالموظفين؟</c:v>
                </c:pt>
                <c:pt idx="4">
                  <c:v>هل تلقيت الدعم المناسب من مديرك المباشر ؟</c:v>
                </c:pt>
                <c:pt idx="5">
                  <c:v>كيف ترى توجهات الشركة الإستراتيجية وقدرتها على التغيير؟</c:v>
                </c:pt>
                <c:pt idx="6">
                  <c:v>هل تلقيت التدريب المناسب؟</c:v>
                </c:pt>
                <c:pt idx="7">
                  <c:v>هل كان لديك وضوح تام بالمهام والمسؤوليات الموكلة إليك ؟</c:v>
                </c:pt>
                <c:pt idx="8">
                  <c:v>هل حصلت على فرصة الزيادة والترقية بطريقة عادلة ومنصفة ؟</c:v>
                </c:pt>
                <c:pt idx="9">
                  <c:v>مدى التعاون والعلاقات البنائة بين فريق العمل.</c:v>
                </c:pt>
              </c:strCache>
            </c:strRef>
          </c:cat>
          <c:val>
            <c:numRef>
              <c:f>Sheet4!$F$21:$F$30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761-45AC-8920-16DAB391EA01}"/>
            </c:ext>
          </c:extLst>
        </c:ser>
        <c:ser>
          <c:idx val="0"/>
          <c:order val="1"/>
          <c:tx>
            <c:strRef>
              <c:f>Sheet4!$E$20</c:f>
              <c:strCache>
                <c:ptCount val="1"/>
                <c:pt idx="0">
                  <c:v>راضي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Sheet4!$D$21:$D$30</c:f>
              <c:strCache>
                <c:ptCount val="10"/>
                <c:pt idx="0">
                  <c:v>هل مكان العمل مناسب صحياً وعملياً ؟</c:v>
                </c:pt>
                <c:pt idx="1">
                  <c:v>هل لديك إطلاع بالسياسات والأجراءات وهل ترى أنها مناسبة وعادلة؟</c:v>
                </c:pt>
                <c:pt idx="2">
                  <c:v>هل  الرواتب المميزات الممنوحة لك جيدة وتكافئ وزن المهام المكلة إليك؟</c:v>
                </c:pt>
                <c:pt idx="3">
                  <c:v>هل ترى أن الشركة تولي اهتماماً بالموظفين؟</c:v>
                </c:pt>
                <c:pt idx="4">
                  <c:v>هل تلقيت الدعم المناسب من مديرك المباشر ؟</c:v>
                </c:pt>
                <c:pt idx="5">
                  <c:v>كيف ترى توجهات الشركة الإستراتيجية وقدرتها على التغيير؟</c:v>
                </c:pt>
                <c:pt idx="6">
                  <c:v>هل تلقيت التدريب المناسب؟</c:v>
                </c:pt>
                <c:pt idx="7">
                  <c:v>هل كان لديك وضوح تام بالمهام والمسؤوليات الموكلة إليك ؟</c:v>
                </c:pt>
                <c:pt idx="8">
                  <c:v>هل حصلت على فرصة الزيادة والترقية بطريقة عادلة ومنصفة ؟</c:v>
                </c:pt>
                <c:pt idx="9">
                  <c:v>مدى التعاون والعلاقات البنائة بين فريق العمل.</c:v>
                </c:pt>
              </c:strCache>
            </c:strRef>
          </c:cat>
          <c:val>
            <c:numRef>
              <c:f>Sheet4!$E$21:$E$30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761-45AC-8920-16DAB391EA01}"/>
            </c:ext>
          </c:extLst>
        </c:ser>
        <c:ser>
          <c:idx val="3"/>
          <c:order val="2"/>
          <c:tx>
            <c:strRef>
              <c:f>Sheet4!$H$20</c:f>
              <c:strCache>
                <c:ptCount val="1"/>
                <c:pt idx="0">
                  <c:v>محايد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Sheet4!$D$21:$D$30</c:f>
              <c:strCache>
                <c:ptCount val="10"/>
                <c:pt idx="0">
                  <c:v>هل مكان العمل مناسب صحياً وعملياً ؟</c:v>
                </c:pt>
                <c:pt idx="1">
                  <c:v>هل لديك إطلاع بالسياسات والأجراءات وهل ترى أنها مناسبة وعادلة؟</c:v>
                </c:pt>
                <c:pt idx="2">
                  <c:v>هل  الرواتب المميزات الممنوحة لك جيدة وتكافئ وزن المهام المكلة إليك؟</c:v>
                </c:pt>
                <c:pt idx="3">
                  <c:v>هل ترى أن الشركة تولي اهتماماً بالموظفين؟</c:v>
                </c:pt>
                <c:pt idx="4">
                  <c:v>هل تلقيت الدعم المناسب من مديرك المباشر ؟</c:v>
                </c:pt>
                <c:pt idx="5">
                  <c:v>كيف ترى توجهات الشركة الإستراتيجية وقدرتها على التغيير؟</c:v>
                </c:pt>
                <c:pt idx="6">
                  <c:v>هل تلقيت التدريب المناسب؟</c:v>
                </c:pt>
                <c:pt idx="7">
                  <c:v>هل كان لديك وضوح تام بالمهام والمسؤوليات الموكلة إليك ؟</c:v>
                </c:pt>
                <c:pt idx="8">
                  <c:v>هل حصلت على فرصة الزيادة والترقية بطريقة عادلة ومنصفة ؟</c:v>
                </c:pt>
                <c:pt idx="9">
                  <c:v>مدى التعاون والعلاقات البنائة بين فريق العمل.</c:v>
                </c:pt>
              </c:strCache>
            </c:strRef>
          </c:cat>
          <c:val>
            <c:numRef>
              <c:f>Sheet4!$H$21:$H$30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8761-45AC-8920-16DAB391EA01}"/>
            </c:ext>
          </c:extLst>
        </c:ser>
        <c:ser>
          <c:idx val="2"/>
          <c:order val="3"/>
          <c:tx>
            <c:strRef>
              <c:f>Sheet4!$G$20</c:f>
              <c:strCache>
                <c:ptCount val="1"/>
                <c:pt idx="0">
                  <c:v>راضي تماماً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Sheet4!$D$21:$D$30</c:f>
              <c:strCache>
                <c:ptCount val="10"/>
                <c:pt idx="0">
                  <c:v>هل مكان العمل مناسب صحياً وعملياً ؟</c:v>
                </c:pt>
                <c:pt idx="1">
                  <c:v>هل لديك إطلاع بالسياسات والأجراءات وهل ترى أنها مناسبة وعادلة؟</c:v>
                </c:pt>
                <c:pt idx="2">
                  <c:v>هل  الرواتب المميزات الممنوحة لك جيدة وتكافئ وزن المهام المكلة إليك؟</c:v>
                </c:pt>
                <c:pt idx="3">
                  <c:v>هل ترى أن الشركة تولي اهتماماً بالموظفين؟</c:v>
                </c:pt>
                <c:pt idx="4">
                  <c:v>هل تلقيت الدعم المناسب من مديرك المباشر ؟</c:v>
                </c:pt>
                <c:pt idx="5">
                  <c:v>كيف ترى توجهات الشركة الإستراتيجية وقدرتها على التغيير؟</c:v>
                </c:pt>
                <c:pt idx="6">
                  <c:v>هل تلقيت التدريب المناسب؟</c:v>
                </c:pt>
                <c:pt idx="7">
                  <c:v>هل كان لديك وضوح تام بالمهام والمسؤوليات الموكلة إليك ؟</c:v>
                </c:pt>
                <c:pt idx="8">
                  <c:v>هل حصلت على فرصة الزيادة والترقية بطريقة عادلة ومنصفة ؟</c:v>
                </c:pt>
                <c:pt idx="9">
                  <c:v>مدى التعاون والعلاقات البنائة بين فريق العمل.</c:v>
                </c:pt>
              </c:strCache>
            </c:strRef>
          </c:cat>
          <c:val>
            <c:numRef>
              <c:f>Sheet4!$G$21:$G$30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8761-45AC-8920-16DAB391EA01}"/>
            </c:ext>
          </c:extLst>
        </c:ser>
        <c:ser>
          <c:idx val="4"/>
          <c:order val="4"/>
          <c:tx>
            <c:strRef>
              <c:f>Sheet4!$I$20</c:f>
              <c:strCache>
                <c:ptCount val="1"/>
                <c:pt idx="0">
                  <c:v>مقبول</c:v>
                </c:pt>
              </c:strCache>
            </c:strRef>
          </c:tx>
          <c:spPr>
            <a:solidFill>
              <a:srgbClr val="C894AC"/>
            </a:solidFill>
            <a:ln>
              <a:noFill/>
            </a:ln>
            <a:effectLst/>
          </c:spPr>
          <c:invertIfNegative val="0"/>
          <c:cat>
            <c:strRef>
              <c:f>Sheet4!$D$21:$D$30</c:f>
              <c:strCache>
                <c:ptCount val="10"/>
                <c:pt idx="0">
                  <c:v>هل مكان العمل مناسب صحياً وعملياً ؟</c:v>
                </c:pt>
                <c:pt idx="1">
                  <c:v>هل لديك إطلاع بالسياسات والأجراءات وهل ترى أنها مناسبة وعادلة؟</c:v>
                </c:pt>
                <c:pt idx="2">
                  <c:v>هل  الرواتب المميزات الممنوحة لك جيدة وتكافئ وزن المهام المكلة إليك؟</c:v>
                </c:pt>
                <c:pt idx="3">
                  <c:v>هل ترى أن الشركة تولي اهتماماً بالموظفين؟</c:v>
                </c:pt>
                <c:pt idx="4">
                  <c:v>هل تلقيت الدعم المناسب من مديرك المباشر ؟</c:v>
                </c:pt>
                <c:pt idx="5">
                  <c:v>كيف ترى توجهات الشركة الإستراتيجية وقدرتها على التغيير؟</c:v>
                </c:pt>
                <c:pt idx="6">
                  <c:v>هل تلقيت التدريب المناسب؟</c:v>
                </c:pt>
                <c:pt idx="7">
                  <c:v>هل كان لديك وضوح تام بالمهام والمسؤوليات الموكلة إليك ؟</c:v>
                </c:pt>
                <c:pt idx="8">
                  <c:v>هل حصلت على فرصة الزيادة والترقية بطريقة عادلة ومنصفة ؟</c:v>
                </c:pt>
                <c:pt idx="9">
                  <c:v>مدى التعاون والعلاقات البنائة بين فريق العمل.</c:v>
                </c:pt>
              </c:strCache>
            </c:strRef>
          </c:cat>
          <c:val>
            <c:numRef>
              <c:f>Sheet4!$I$21:$I$30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8761-45AC-8920-16DAB391EA01}"/>
            </c:ext>
          </c:extLst>
        </c:ser>
        <c:ser>
          <c:idx val="5"/>
          <c:order val="5"/>
          <c:tx>
            <c:strRef>
              <c:f>Sheet4!$J$20</c:f>
              <c:strCache>
                <c:ptCount val="1"/>
                <c:pt idx="0">
                  <c:v>غير راضي</c:v>
                </c:pt>
              </c:strCache>
            </c:strRef>
          </c:tx>
          <c:spPr>
            <a:solidFill>
              <a:srgbClr val="B16788"/>
            </a:solidFill>
            <a:ln>
              <a:noFill/>
            </a:ln>
            <a:effectLst/>
          </c:spPr>
          <c:invertIfNegative val="0"/>
          <c:cat>
            <c:strRef>
              <c:f>Sheet4!$D$21:$D$30</c:f>
              <c:strCache>
                <c:ptCount val="10"/>
                <c:pt idx="0">
                  <c:v>هل مكان العمل مناسب صحياً وعملياً ؟</c:v>
                </c:pt>
                <c:pt idx="1">
                  <c:v>هل لديك إطلاع بالسياسات والأجراءات وهل ترى أنها مناسبة وعادلة؟</c:v>
                </c:pt>
                <c:pt idx="2">
                  <c:v>هل  الرواتب المميزات الممنوحة لك جيدة وتكافئ وزن المهام المكلة إليك؟</c:v>
                </c:pt>
                <c:pt idx="3">
                  <c:v>هل ترى أن الشركة تولي اهتماماً بالموظفين؟</c:v>
                </c:pt>
                <c:pt idx="4">
                  <c:v>هل تلقيت الدعم المناسب من مديرك المباشر ؟</c:v>
                </c:pt>
                <c:pt idx="5">
                  <c:v>كيف ترى توجهات الشركة الإستراتيجية وقدرتها على التغيير؟</c:v>
                </c:pt>
                <c:pt idx="6">
                  <c:v>هل تلقيت التدريب المناسب؟</c:v>
                </c:pt>
                <c:pt idx="7">
                  <c:v>هل كان لديك وضوح تام بالمهام والمسؤوليات الموكلة إليك ؟</c:v>
                </c:pt>
                <c:pt idx="8">
                  <c:v>هل حصلت على فرصة الزيادة والترقية بطريقة عادلة ومنصفة ؟</c:v>
                </c:pt>
                <c:pt idx="9">
                  <c:v>مدى التعاون والعلاقات البنائة بين فريق العمل.</c:v>
                </c:pt>
              </c:strCache>
            </c:strRef>
          </c:cat>
          <c:val>
            <c:numRef>
              <c:f>Sheet4!$J$21:$J$30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8761-45AC-8920-16DAB391EA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8488704"/>
        <c:axId val="78490240"/>
      </c:barChart>
      <c:catAx>
        <c:axId val="7848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 (Body)"/>
                <a:ea typeface="+mn-ea"/>
                <a:cs typeface="+mn-cs"/>
              </a:defRPr>
            </a:pPr>
            <a:endParaRPr lang="en-US"/>
          </a:p>
        </c:txPr>
        <c:crossAx val="78490240"/>
        <c:crosses val="autoZero"/>
        <c:auto val="1"/>
        <c:lblAlgn val="ctr"/>
        <c:lblOffset val="100"/>
        <c:noMultiLvlLbl val="0"/>
      </c:catAx>
      <c:valAx>
        <c:axId val="784902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8488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 Light (Body)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>
          <a:latin typeface="Calibri Light (Body)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[Exit Interview.xlsm]Sheet4!PivotTable3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ar-SA"/>
              <a:t>المنتهية</a:t>
            </a:r>
            <a:r>
              <a:rPr lang="ar-SA" baseline="0"/>
              <a:t> خدماتهم حسب القسم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2">
              <a:lumMod val="75000"/>
              <a:lumOff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Sheet4!$D$57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Sheet4!$C$58:$C$64</c:f>
              <c:strCache>
                <c:ptCount val="6"/>
                <c:pt idx="0">
                  <c:v>الخدمات اللوجستية</c:v>
                </c:pt>
                <c:pt idx="1">
                  <c:v>المالية</c:v>
                </c:pt>
                <c:pt idx="2">
                  <c:v>المبيعات</c:v>
                </c:pt>
                <c:pt idx="3">
                  <c:v>المستودعات</c:v>
                </c:pt>
                <c:pt idx="4">
                  <c:v>الموارد البشرية</c:v>
                </c:pt>
                <c:pt idx="5">
                  <c:v>العمليات</c:v>
                </c:pt>
              </c:strCache>
            </c:strRef>
          </c:cat>
          <c:val>
            <c:numRef>
              <c:f>Sheet4!$D$58:$D$64</c:f>
              <c:numCache>
                <c:formatCode>General</c:formatCode>
                <c:ptCount val="6"/>
                <c:pt idx="0">
                  <c:v>9</c:v>
                </c:pt>
                <c:pt idx="1">
                  <c:v>31</c:v>
                </c:pt>
                <c:pt idx="2">
                  <c:v>15</c:v>
                </c:pt>
                <c:pt idx="3">
                  <c:v>26</c:v>
                </c:pt>
                <c:pt idx="4">
                  <c:v>4</c:v>
                </c:pt>
                <c:pt idx="5">
                  <c:v>72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42B-44E4-940C-635B5CDB0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272384"/>
        <c:axId val="78273920"/>
      </c:barChart>
      <c:catAx>
        <c:axId val="7827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73920"/>
        <c:crosses val="autoZero"/>
        <c:auto val="1"/>
        <c:lblAlgn val="ctr"/>
        <c:lblOffset val="100"/>
        <c:noMultiLvlLbl val="0"/>
      </c:catAx>
      <c:valAx>
        <c:axId val="782739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827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[Exit Interview.xlsm]Sheet4!PivotTable4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ar-SA"/>
              <a:t>أسباب إنتهاء خدمات الموظفين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Sheet4!$D$71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Sheet4!$C$72:$C$80</c:f>
              <c:strCache>
                <c:ptCount val="8"/>
                <c:pt idx="0">
                  <c:v>أخرى Other</c:v>
                </c:pt>
                <c:pt idx="1">
                  <c:v>الإنتقال إلى جهة حكومية Joining Gov.</c:v>
                </c:pt>
                <c:pt idx="2">
                  <c:v>الحصول على فرصة أفضل Better Opportunity</c:v>
                </c:pt>
                <c:pt idx="3">
                  <c:v>الراتب والمميزات - Salary &amp; Benefits</c:v>
                </c:pt>
                <c:pt idx="4">
                  <c:v>بيئة العمل غير محفزة Disengagement in work environment</c:v>
                </c:pt>
                <c:pt idx="5">
                  <c:v>تغيير مكان سكني Relocate to other place</c:v>
                </c:pt>
                <c:pt idx="6">
                  <c:v>ظروف عائلية Family issues</c:v>
                </c:pt>
                <c:pt idx="7">
                  <c:v>مضايقة مديري أو زملائي Harassment of my manager or colleagues</c:v>
                </c:pt>
              </c:strCache>
            </c:strRef>
          </c:cat>
          <c:val>
            <c:numRef>
              <c:f>Sheet4!$D$72:$D$80</c:f>
              <c:numCache>
                <c:formatCode>General</c:formatCode>
                <c:ptCount val="8"/>
                <c:pt idx="0">
                  <c:v>22</c:v>
                </c:pt>
                <c:pt idx="1">
                  <c:v>13</c:v>
                </c:pt>
                <c:pt idx="2">
                  <c:v>17</c:v>
                </c:pt>
                <c:pt idx="3">
                  <c:v>39</c:v>
                </c:pt>
                <c:pt idx="4">
                  <c:v>17</c:v>
                </c:pt>
                <c:pt idx="5">
                  <c:v>12</c:v>
                </c:pt>
                <c:pt idx="6">
                  <c:v>20</c:v>
                </c:pt>
                <c:pt idx="7">
                  <c:v>17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2E8-4500-B56C-FA0BC9B6F4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317824"/>
        <c:axId val="78323712"/>
      </c:barChart>
      <c:catAx>
        <c:axId val="7831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323712"/>
        <c:crosses val="autoZero"/>
        <c:auto val="1"/>
        <c:lblAlgn val="ctr"/>
        <c:lblOffset val="100"/>
        <c:noMultiLvlLbl val="0"/>
      </c:catAx>
      <c:valAx>
        <c:axId val="7832371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8317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Sheet4!$D$96</c:f>
              <c:strCache>
                <c:ptCount val="1"/>
                <c:pt idx="0">
                  <c:v>عدد المنتهية خدماتهم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Sheet4!$C$97:$C$108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Sheet4!$D$97:$D$108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722-4DE1-92F0-91756F815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377728"/>
        <c:axId val="78379264"/>
      </c:lineChart>
      <c:catAx>
        <c:axId val="78377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379264"/>
        <c:crosses val="autoZero"/>
        <c:auto val="1"/>
        <c:lblAlgn val="ctr"/>
        <c:lblOffset val="100"/>
        <c:noMultiLvlLbl val="0"/>
      </c:catAx>
      <c:valAx>
        <c:axId val="783792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8377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_xlchart.v2.0</cx:f>
      </cx:strDim>
      <cx:numDim type="val">
        <cx:f>_xlchart.v2.2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ar-SA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 Light" panose="020F0302020204030204"/>
              </a:rPr>
              <a:t>مدة الخدمة في الشركة</a:t>
            </a: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 Light" panose="020F0302020204030204"/>
            </a:endParaRPr>
          </a:p>
        </cx:rich>
      </cx:tx>
    </cx:title>
    <cx:plotArea>
      <cx:plotAreaRegion>
        <cx:series layoutId="funnel" uniqueId="{59E0EBAD-9050-4A3A-85B6-057E9178E7A2}">
          <cx:tx>
            <cx:txData>
              <cx:f>_xlchart.v2.1</cx:f>
              <cx:v>عدد المنتهية خدماتهم</cx:v>
            </cx:txData>
          </cx:tx>
          <cx:dataLabels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500" b="1"/>
            </a:pPr>
            <a:endParaRPr lang="en-US" sz="5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 Light" panose="020F0302020204030204"/>
            </a:endParaRPr>
          </a:p>
        </cx:txPr>
      </cx:axis>
    </cx:plotArea>
  </cx:chart>
  <cx:spPr>
    <a:ln>
      <a:solidFill>
        <a:schemeClr val="accent1"/>
      </a:solidFill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svg"/><Relationship Id="rId3" Type="http://schemas.openxmlformats.org/officeDocument/2006/relationships/hyperlink" Target="#Dashboard!A1"/><Relationship Id="rId7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hyperlink" Target="#EmpDB!A1"/><Relationship Id="rId11" Type="http://schemas.openxmlformats.org/officeDocument/2006/relationships/image" Target="../media/image8.svg"/><Relationship Id="rId5" Type="http://schemas.openxmlformats.org/officeDocument/2006/relationships/image" Target="../media/image4.svg"/><Relationship Id="rId10" Type="http://schemas.openxmlformats.org/officeDocument/2006/relationships/image" Target="../media/image4.png"/><Relationship Id="rId4" Type="http://schemas.openxmlformats.org/officeDocument/2006/relationships/image" Target="../media/image2.png"/><Relationship Id="rId9" Type="http://schemas.openxmlformats.org/officeDocument/2006/relationships/hyperlink" Target="#EvalDB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5.xml"/><Relationship Id="rId4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21000</xdr:colOff>
      <xdr:row>1</xdr:row>
      <xdr:rowOff>95250</xdr:rowOff>
    </xdr:from>
    <xdr:to>
      <xdr:col>34</xdr:col>
      <xdr:colOff>9525</xdr:colOff>
      <xdr:row>2</xdr:row>
      <xdr:rowOff>264750</xdr:rowOff>
    </xdr:to>
    <xdr:pic macro="[0]!Button4_Click">
      <xdr:nvPicPr>
        <xdr:cNvPr id="3" name="Graphic 2" descr="Disk">
          <a:extLst>
            <a:ext uri="{FF2B5EF4-FFF2-40B4-BE49-F238E27FC236}">
              <a16:creationId xmlns="" xmlns:a16="http://schemas.microsoft.com/office/drawing/2014/main" id="{89DFB426-9693-460F-86DF-4635D08E11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073320975" y="285750"/>
          <a:ext cx="360000" cy="360000"/>
        </a:xfrm>
        <a:prstGeom prst="rect">
          <a:avLst/>
        </a:prstGeom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31</xdr:col>
      <xdr:colOff>313100</xdr:colOff>
      <xdr:row>1</xdr:row>
      <xdr:rowOff>95250</xdr:rowOff>
    </xdr:from>
    <xdr:to>
      <xdr:col>32</xdr:col>
      <xdr:colOff>301625</xdr:colOff>
      <xdr:row>2</xdr:row>
      <xdr:rowOff>264750</xdr:rowOff>
    </xdr:to>
    <xdr:pic>
      <xdr:nvPicPr>
        <xdr:cNvPr id="5" name="Graphic 4" descr="Presentation with pie chart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E1E510A9-2716-4DC8-B092-980CE255FC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6073771825" y="285750"/>
          <a:ext cx="360000" cy="360000"/>
        </a:xfrm>
        <a:prstGeom prst="rect">
          <a:avLst/>
        </a:prstGeom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30</xdr:col>
      <xdr:colOff>233725</xdr:colOff>
      <xdr:row>1</xdr:row>
      <xdr:rowOff>95250</xdr:rowOff>
    </xdr:from>
    <xdr:to>
      <xdr:col>31</xdr:col>
      <xdr:colOff>222250</xdr:colOff>
      <xdr:row>2</xdr:row>
      <xdr:rowOff>264750</xdr:rowOff>
    </xdr:to>
    <xdr:pic>
      <xdr:nvPicPr>
        <xdr:cNvPr id="7" name="Graphic 6" descr="Users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ECE5853A-93FB-4A4F-9933-05F100085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74222675" y="285750"/>
          <a:ext cx="360000" cy="360000"/>
        </a:xfrm>
        <a:prstGeom prst="rect">
          <a:avLst/>
        </a:prstGeom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29</xdr:col>
      <xdr:colOff>154350</xdr:colOff>
      <xdr:row>1</xdr:row>
      <xdr:rowOff>95250</xdr:rowOff>
    </xdr:from>
    <xdr:to>
      <xdr:col>30</xdr:col>
      <xdr:colOff>142875</xdr:colOff>
      <xdr:row>2</xdr:row>
      <xdr:rowOff>264750</xdr:rowOff>
    </xdr:to>
    <xdr:pic>
      <xdr:nvPicPr>
        <xdr:cNvPr id="9" name="Graphic 8" descr="Checklist RTL">
          <a:hlinkClick xmlns:r="http://schemas.openxmlformats.org/officeDocument/2006/relationships" r:id="rId9"/>
          <a:extLst>
            <a:ext uri="{FF2B5EF4-FFF2-40B4-BE49-F238E27FC236}">
              <a16:creationId xmlns="" xmlns:a16="http://schemas.microsoft.com/office/drawing/2014/main" id="{85C7EBAB-210D-4A34-A344-79461E3E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6074673525" y="285750"/>
          <a:ext cx="360000" cy="360000"/>
        </a:xfrm>
        <a:prstGeom prst="rect">
          <a:avLst/>
        </a:prstGeom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552450</xdr:colOff>
      <xdr:row>50</xdr:row>
      <xdr:rowOff>42862</xdr:rowOff>
    </xdr:from>
    <xdr:to>
      <xdr:col>14</xdr:col>
      <xdr:colOff>247650</xdr:colOff>
      <xdr:row>64</xdr:row>
      <xdr:rowOff>119062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CE7D3A31-D8DA-485B-B4BC-BB90E79566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3</xdr:row>
      <xdr:rowOff>28575</xdr:rowOff>
    </xdr:from>
    <xdr:to>
      <xdr:col>23</xdr:col>
      <xdr:colOff>571500</xdr:colOff>
      <xdr:row>35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303C640A-3FAF-4A89-82B7-DAD17A0F5D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38100</xdr:colOff>
      <xdr:row>3</xdr:row>
      <xdr:rowOff>38100</xdr:rowOff>
    </xdr:from>
    <xdr:to>
      <xdr:col>13</xdr:col>
      <xdr:colOff>0</xdr:colOff>
      <xdr:row>13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92A1F3E2-E98B-45C0-89C9-01D78BD7B1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47626</xdr:colOff>
      <xdr:row>14</xdr:row>
      <xdr:rowOff>19050</xdr:rowOff>
    </xdr:from>
    <xdr:to>
      <xdr:col>13</xdr:col>
      <xdr:colOff>1</xdr:colOff>
      <xdr:row>24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E5A5E404-17C9-40F9-9EA2-0D02DD52EB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123825</xdr:colOff>
      <xdr:row>24</xdr:row>
      <xdr:rowOff>171450</xdr:rowOff>
    </xdr:from>
    <xdr:to>
      <xdr:col>12</xdr:col>
      <xdr:colOff>609599</xdr:colOff>
      <xdr:row>35</xdr:row>
      <xdr:rowOff>133349</xdr:rowOff>
    </xdr:to>
    <mc:AlternateContent xmlns:mc="http://schemas.openxmlformats.org/markup-compatibility/2006">
      <mc:Choice xmlns="" xmlns:cx2="http://schemas.microsoft.com/office/drawing/2015/10/21/chartex" Requires="cx2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5662A433-21E2-4E1F-B4E3-463BDF70D0E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5" name="Rectangle 4"/>
            <xdr:cNvSpPr>
              <a:spLocks noTextEdit="1"/>
            </xdr:cNvSpPr>
          </xdr:nvSpPr>
          <xdr:spPr>
            <a:xfrm>
              <a:off x="9979761601" y="4724400"/>
              <a:ext cx="2924174" cy="20573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</xdr:col>
      <xdr:colOff>57151</xdr:colOff>
      <xdr:row>24</xdr:row>
      <xdr:rowOff>171450</xdr:rowOff>
    </xdr:from>
    <xdr:to>
      <xdr:col>8</xdr:col>
      <xdr:colOff>95250</xdr:colOff>
      <xdr:row>35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48B1640-8700-4E17-8DCE-5E89B4AEAC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ousa Al-Faify" refreshedDate="44335.063642245368" createdVersion="6" refreshedVersion="6" minRefreshableVersion="3" recordCount="157">
  <cacheSource type="worksheet">
    <worksheetSource name="Table3"/>
  </cacheSource>
  <cacheFields count="23">
    <cacheField name="الرقم الوظيفي" numFmtId="0">
      <sharedItems containsSemiMixedTypes="0" containsString="0" containsNumber="1" containsInteger="1" minValue="1039" maxValue="9991"/>
    </cacheField>
    <cacheField name="الإسم" numFmtId="0">
      <sharedItems/>
    </cacheField>
    <cacheField name="القسم" numFmtId="0">
      <sharedItems count="7">
        <s v="العمليات"/>
        <s v="المالية"/>
        <s v="الموارد البشرية"/>
        <s v="المستودعات"/>
        <s v="الخدمات اللوجستية"/>
        <s v="المبيعات"/>
        <s v="المصنع" u="1"/>
      </sharedItems>
    </cacheField>
    <cacheField name="تاريخ المباشرة" numFmtId="14">
      <sharedItems containsSemiMixedTypes="0" containsNonDate="0" containsDate="1" containsString="0" minDate="2010-01-13T00:00:00" maxDate="2020-09-19T00:00:00"/>
    </cacheField>
    <cacheField name="تاريخ المغادرة" numFmtId="14">
      <sharedItems containsSemiMixedTypes="0" containsNonDate="0" containsDate="1" containsString="0" minDate="2021-01-04T00:00:00" maxDate="2021-05-17T00:00:00"/>
    </cacheField>
    <cacheField name="هل مكان العمل مناسب صحياً وعملياً ؟" numFmtId="0">
      <sharedItems containsSemiMixedTypes="0" containsString="0" containsNumber="1" containsInteger="1" minValue="1" maxValue="5"/>
    </cacheField>
    <cacheField name="هل لديك إطلاع بالسياسات والأجراءات وهل ترى أنها مناسبة وعادلة؟" numFmtId="0">
      <sharedItems containsSemiMixedTypes="0" containsString="0" containsNumber="1" containsInteger="1" minValue="1" maxValue="5"/>
    </cacheField>
    <cacheField name="هل  الرواتب المميزات الممنوحة لك جيدة وتكافئ وزن المهام المكلة إليك؟" numFmtId="0">
      <sharedItems containsSemiMixedTypes="0" containsString="0" containsNumber="1" containsInteger="1" minValue="1" maxValue="5"/>
    </cacheField>
    <cacheField name="هل ترى أن الشركة تولي اهتماماً بالموظفين؟" numFmtId="0">
      <sharedItems containsSemiMixedTypes="0" containsString="0" containsNumber="1" containsInteger="1" minValue="1" maxValue="5"/>
    </cacheField>
    <cacheField name="هل تلقيت الدعم المناسب من مديرك المباشر ؟" numFmtId="0">
      <sharedItems containsSemiMixedTypes="0" containsString="0" containsNumber="1" containsInteger="1" minValue="1" maxValue="5"/>
    </cacheField>
    <cacheField name="كيف ترى توجهات الشركة الإستراتيجية وقدرتها على التغيير؟" numFmtId="0">
      <sharedItems containsSemiMixedTypes="0" containsString="0" containsNumber="1" containsInteger="1" minValue="1" maxValue="5"/>
    </cacheField>
    <cacheField name="هل تلقيت التدريب المناسب؟" numFmtId="0">
      <sharedItems containsSemiMixedTypes="0" containsString="0" containsNumber="1" containsInteger="1" minValue="1" maxValue="5"/>
    </cacheField>
    <cacheField name="هل كان لديك وضوح تام بالمهام والمسؤوليات الموكلة إليك ؟" numFmtId="0">
      <sharedItems containsSemiMixedTypes="0" containsString="0" containsNumber="1" containsInteger="1" minValue="1" maxValue="5"/>
    </cacheField>
    <cacheField name="هل حصلت على فرصة الزيادة والترقية بطريقة عادلة ومنصفة ؟" numFmtId="0">
      <sharedItems containsSemiMixedTypes="0" containsString="0" containsNumber="1" containsInteger="1" minValue="1" maxValue="5"/>
    </cacheField>
    <cacheField name="مدى التعاون والعلاقات البنائة بين فريق العمل." numFmtId="0">
      <sharedItems containsSemiMixedTypes="0" containsString="0" containsNumber="1" containsInteger="1" minValue="1" maxValue="5"/>
    </cacheField>
    <cacheField name="ما هو أكثر شيء أعجبك في العمل مع الشركة ؟" numFmtId="0">
      <sharedItems containsNonDate="0" containsString="0" containsBlank="1"/>
    </cacheField>
    <cacheField name="ما هو أكثر شيء لم يعجبك في العمل مع الشركة ؟" numFmtId="0">
      <sharedItems containsNonDate="0" containsString="0" containsBlank="1"/>
    </cacheField>
    <cacheField name="ماذا تقترح لتطوير بيئة العمل في قسمك" numFmtId="0">
      <sharedItems containsNonDate="0" containsString="0" containsBlank="1"/>
    </cacheField>
    <cacheField name="ماذا تقترح لتطوير بيئة العمل في الشركة" numFmtId="0">
      <sharedItems containsNonDate="0" containsString="0" containsBlank="1"/>
    </cacheField>
    <cacheField name="ما هو السبب الفعلي الذي جعلك تترك تغادر الشركة" numFmtId="0">
      <sharedItems count="8">
        <s v="الراتب والمميزات - Salary &amp; Benefits"/>
        <s v="الحصول على فرصة أفضل Better Opportunity"/>
        <s v="الإنتقال إلى جهة حكومية Joining Gov."/>
        <s v="تغيير مكان سكني Relocate to other place"/>
        <s v="مضايقة مديري أو زملائي Harassment of my manager or colleagues"/>
        <s v="بيئة العمل غير محفزة Disengagement in work environment"/>
        <s v="ظروف عائلية Family issues"/>
        <s v="أخرى Other"/>
      </sharedItems>
    </cacheField>
    <cacheField name="أسباب أخرى" numFmtId="0">
      <sharedItems containsNonDate="0" containsString="0" containsBlank="1"/>
    </cacheField>
    <cacheField name="العمر بالشركة" numFmtId="164">
      <sharedItems containsSemiMixedTypes="0" containsString="0" containsNumber="1" minValue="0.33424657534246577" maxValue="11.326027397260274"/>
    </cacheField>
    <cacheField name="Month" numFmtId="0">
      <sharedItems containsSemiMixedTypes="0" containsString="0" containsNumber="1" containsInteger="1" minValue="1" maxValue="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7">
  <r>
    <n v="4029"/>
    <s v="وليد عبدالحافظ عناب"/>
    <x v="0"/>
    <d v="2018-01-29T00:00:00"/>
    <d v="2021-03-26T00:00:00"/>
    <n v="4"/>
    <n v="5"/>
    <n v="5"/>
    <n v="5"/>
    <n v="3"/>
    <n v="3"/>
    <n v="1"/>
    <n v="2"/>
    <n v="1"/>
    <n v="4"/>
    <m/>
    <m/>
    <m/>
    <m/>
    <x v="0"/>
    <m/>
    <n v="3.1561643835616437"/>
    <n v="3"/>
  </r>
  <r>
    <n v="3645"/>
    <s v="احمد خالد قاسم عبابنه"/>
    <x v="1"/>
    <d v="2016-06-10T00:00:00"/>
    <d v="2021-04-15T00:00:00"/>
    <n v="2"/>
    <n v="3"/>
    <n v="1"/>
    <n v="1"/>
    <n v="3"/>
    <n v="2"/>
    <n v="2"/>
    <n v="5"/>
    <n v="2"/>
    <n v="3"/>
    <m/>
    <m/>
    <m/>
    <m/>
    <x v="1"/>
    <m/>
    <n v="4.8493150684931505"/>
    <n v="4"/>
  </r>
  <r>
    <n v="3747"/>
    <s v="راية احمد عطيه الطويل"/>
    <x v="1"/>
    <d v="2017-03-25T00:00:00"/>
    <d v="2021-03-21T00:00:00"/>
    <n v="2"/>
    <n v="3"/>
    <n v="1"/>
    <n v="1"/>
    <n v="1"/>
    <n v="2"/>
    <n v="2"/>
    <n v="4"/>
    <n v="4"/>
    <n v="1"/>
    <m/>
    <m/>
    <m/>
    <m/>
    <x v="2"/>
    <m/>
    <n v="3.9917808219178084"/>
    <n v="3"/>
  </r>
  <r>
    <n v="4788"/>
    <s v="محمد يحيى محمد الغزاوى"/>
    <x v="2"/>
    <d v="2017-10-28T00:00:00"/>
    <d v="2021-05-06T00:00:00"/>
    <n v="3"/>
    <n v="1"/>
    <n v="1"/>
    <n v="4"/>
    <n v="2"/>
    <n v="2"/>
    <n v="3"/>
    <n v="2"/>
    <n v="3"/>
    <n v="2"/>
    <m/>
    <m/>
    <m/>
    <m/>
    <x v="1"/>
    <m/>
    <n v="3.5232876712328767"/>
    <n v="5"/>
  </r>
  <r>
    <n v="9719"/>
    <s v="إباء جمال محمد الشرفات"/>
    <x v="3"/>
    <d v="2019-07-05T00:00:00"/>
    <d v="2021-02-01T00:00:00"/>
    <n v="3"/>
    <n v="2"/>
    <n v="4"/>
    <n v="2"/>
    <n v="5"/>
    <n v="3"/>
    <n v="2"/>
    <n v="5"/>
    <n v="4"/>
    <n v="5"/>
    <m/>
    <m/>
    <m/>
    <m/>
    <x v="2"/>
    <m/>
    <n v="1.5808219178082192"/>
    <n v="2"/>
  </r>
  <r>
    <n v="1217"/>
    <s v="شهد احمد جعفر خريسات"/>
    <x v="4"/>
    <d v="2018-12-30T00:00:00"/>
    <d v="2021-03-19T00:00:00"/>
    <n v="1"/>
    <n v="3"/>
    <n v="5"/>
    <n v="3"/>
    <n v="3"/>
    <n v="4"/>
    <n v="2"/>
    <n v="5"/>
    <n v="3"/>
    <n v="2"/>
    <m/>
    <m/>
    <m/>
    <m/>
    <x v="3"/>
    <m/>
    <n v="2.2191780821917808"/>
    <n v="3"/>
  </r>
  <r>
    <n v="3444"/>
    <s v="ميس هلال حمدان محيسن"/>
    <x v="2"/>
    <d v="2012-10-11T00:00:00"/>
    <d v="2021-05-03T00:00:00"/>
    <n v="4"/>
    <n v="1"/>
    <n v="3"/>
    <n v="3"/>
    <n v="4"/>
    <n v="5"/>
    <n v="1"/>
    <n v="2"/>
    <n v="5"/>
    <n v="4"/>
    <m/>
    <m/>
    <m/>
    <m/>
    <x v="4"/>
    <m/>
    <n v="8.5643835616438349"/>
    <n v="5"/>
  </r>
  <r>
    <n v="3497"/>
    <s v="ايمان فرحان عطية الغزاوى"/>
    <x v="0"/>
    <d v="2018-03-18T00:00:00"/>
    <d v="2021-02-07T00:00:00"/>
    <n v="4"/>
    <n v="1"/>
    <n v="1"/>
    <n v="5"/>
    <n v="2"/>
    <n v="3"/>
    <n v="1"/>
    <n v="3"/>
    <n v="3"/>
    <n v="3"/>
    <m/>
    <m/>
    <m/>
    <m/>
    <x v="5"/>
    <m/>
    <n v="2.8958904109589043"/>
    <n v="2"/>
  </r>
  <r>
    <n v="5412"/>
    <s v="زينة يعقوب احمد مقدادي"/>
    <x v="0"/>
    <d v="2019-09-29T00:00:00"/>
    <d v="2021-02-14T00:00:00"/>
    <n v="4"/>
    <n v="1"/>
    <n v="3"/>
    <n v="3"/>
    <n v="4"/>
    <n v="3"/>
    <n v="3"/>
    <n v="1"/>
    <n v="2"/>
    <n v="4"/>
    <m/>
    <m/>
    <m/>
    <m/>
    <x v="6"/>
    <m/>
    <n v="1.3808219178082193"/>
    <n v="2"/>
  </r>
  <r>
    <n v="3399"/>
    <s v="معاذ عبدالمجيد محمود مومني العاشه"/>
    <x v="5"/>
    <d v="2013-10-09T00:00:00"/>
    <d v="2021-01-28T00:00:00"/>
    <n v="5"/>
    <n v="3"/>
    <n v="2"/>
    <n v="5"/>
    <n v="3"/>
    <n v="3"/>
    <n v="2"/>
    <n v="3"/>
    <n v="1"/>
    <n v="3"/>
    <m/>
    <m/>
    <m/>
    <m/>
    <x v="7"/>
    <m/>
    <n v="7.3095890410958901"/>
    <n v="1"/>
  </r>
  <r>
    <n v="2414"/>
    <s v="احمد ايمن محمد رشيد"/>
    <x v="0"/>
    <d v="2012-08-31T00:00:00"/>
    <d v="2021-05-13T00:00:00"/>
    <n v="3"/>
    <n v="1"/>
    <n v="2"/>
    <n v="5"/>
    <n v="2"/>
    <n v="4"/>
    <n v="1"/>
    <n v="1"/>
    <n v="4"/>
    <n v="3"/>
    <m/>
    <m/>
    <m/>
    <m/>
    <x v="0"/>
    <m/>
    <n v="8.7041095890410958"/>
    <n v="5"/>
  </r>
  <r>
    <n v="6424"/>
    <s v="محمود سليمان محمد صبح"/>
    <x v="0"/>
    <d v="2014-02-26T00:00:00"/>
    <d v="2021-01-08T00:00:00"/>
    <n v="4"/>
    <n v="2"/>
    <n v="2"/>
    <n v="2"/>
    <n v="2"/>
    <n v="2"/>
    <n v="2"/>
    <n v="2"/>
    <n v="5"/>
    <n v="3"/>
    <m/>
    <m/>
    <m/>
    <m/>
    <x v="1"/>
    <m/>
    <n v="6.8712328767123285"/>
    <n v="1"/>
  </r>
  <r>
    <n v="9000"/>
    <s v="بكر سمير محمود قزق"/>
    <x v="2"/>
    <d v="2016-05-27T00:00:00"/>
    <d v="2021-01-25T00:00:00"/>
    <n v="1"/>
    <n v="2"/>
    <n v="2"/>
    <n v="2"/>
    <n v="2"/>
    <n v="2"/>
    <n v="2"/>
    <n v="2"/>
    <n v="2"/>
    <n v="4"/>
    <m/>
    <m/>
    <m/>
    <m/>
    <x v="2"/>
    <m/>
    <n v="4.6684931506849319"/>
    <n v="1"/>
  </r>
  <r>
    <n v="7673"/>
    <s v="يوسف عبدالفتاح حسن الخليلي عطا"/>
    <x v="3"/>
    <d v="2010-04-15T00:00:00"/>
    <d v="2021-01-20T00:00:00"/>
    <n v="1"/>
    <n v="2"/>
    <n v="2"/>
    <n v="2"/>
    <n v="2"/>
    <n v="2"/>
    <n v="2"/>
    <n v="2"/>
    <n v="1"/>
    <n v="3"/>
    <m/>
    <m/>
    <m/>
    <m/>
    <x v="3"/>
    <m/>
    <n v="10.775342465753425"/>
    <n v="1"/>
  </r>
  <r>
    <n v="3639"/>
    <s v="سالي سليمان عبدالعزيز بني"/>
    <x v="2"/>
    <d v="2014-03-04T00:00:00"/>
    <d v="2021-01-23T00:00:00"/>
    <n v="1"/>
    <n v="2"/>
    <n v="2"/>
    <n v="2"/>
    <n v="2"/>
    <n v="2"/>
    <n v="2"/>
    <n v="2"/>
    <n v="5"/>
    <n v="3"/>
    <m/>
    <m/>
    <m/>
    <m/>
    <x v="4"/>
    <m/>
    <n v="6.8958904109589039"/>
    <n v="1"/>
  </r>
  <r>
    <n v="7540"/>
    <s v="مياده عزت ابراهيم الحميد"/>
    <x v="5"/>
    <d v="2016-05-04T00:00:00"/>
    <d v="2021-03-12T00:00:00"/>
    <n v="2"/>
    <n v="2"/>
    <n v="2"/>
    <n v="2"/>
    <n v="2"/>
    <n v="2"/>
    <n v="2"/>
    <n v="2"/>
    <n v="4"/>
    <n v="3"/>
    <m/>
    <m/>
    <m/>
    <m/>
    <x v="5"/>
    <m/>
    <n v="4.8575342465753426"/>
    <n v="3"/>
  </r>
  <r>
    <n v="5371"/>
    <s v="ميس مشهور احميدي مصطفى"/>
    <x v="5"/>
    <d v="2014-03-14T00:00:00"/>
    <d v="2021-03-22T00:00:00"/>
    <n v="4"/>
    <n v="2"/>
    <n v="2"/>
    <n v="2"/>
    <n v="2"/>
    <n v="2"/>
    <n v="2"/>
    <n v="2"/>
    <n v="4"/>
    <n v="3"/>
    <m/>
    <m/>
    <m/>
    <m/>
    <x v="6"/>
    <m/>
    <n v="7.0273972602739727"/>
    <n v="3"/>
  </r>
  <r>
    <n v="5616"/>
    <s v="ايهاب مدحت محمد بطايحة"/>
    <x v="1"/>
    <d v="2018-11-15T00:00:00"/>
    <d v="2021-01-29T00:00:00"/>
    <n v="1"/>
    <n v="2"/>
    <n v="2"/>
    <n v="2"/>
    <n v="2"/>
    <n v="2"/>
    <n v="4"/>
    <n v="2"/>
    <n v="3"/>
    <n v="3"/>
    <m/>
    <m/>
    <m/>
    <m/>
    <x v="7"/>
    <m/>
    <n v="2.2082191780821918"/>
    <n v="1"/>
  </r>
  <r>
    <n v="4941"/>
    <s v="يمامه يحيى مصطفى المومني"/>
    <x v="1"/>
    <d v="2013-03-16T00:00:00"/>
    <d v="2021-03-20T00:00:00"/>
    <n v="2"/>
    <n v="2"/>
    <n v="2"/>
    <n v="2"/>
    <n v="2"/>
    <n v="2"/>
    <n v="4"/>
    <n v="2"/>
    <n v="5"/>
    <n v="5"/>
    <m/>
    <m/>
    <m/>
    <m/>
    <x v="7"/>
    <m/>
    <n v="8.0164383561643842"/>
    <n v="3"/>
  </r>
  <r>
    <n v="2986"/>
    <s v="اسيل عبدالله سليمان الروسان"/>
    <x v="1"/>
    <d v="2010-05-03T00:00:00"/>
    <d v="2021-05-02T00:00:00"/>
    <n v="3"/>
    <n v="2"/>
    <n v="2"/>
    <n v="2"/>
    <n v="2"/>
    <n v="2"/>
    <n v="4"/>
    <n v="2"/>
    <n v="1"/>
    <n v="3"/>
    <m/>
    <m/>
    <m/>
    <m/>
    <x v="0"/>
    <m/>
    <n v="11.005479452054795"/>
    <n v="5"/>
  </r>
  <r>
    <n v="7862"/>
    <s v="شيماء عزات جميل القيام"/>
    <x v="1"/>
    <d v="2012-06-19T00:00:00"/>
    <d v="2021-05-08T00:00:00"/>
    <n v="5"/>
    <n v="2"/>
    <n v="2"/>
    <n v="2"/>
    <n v="2"/>
    <n v="2"/>
    <n v="4"/>
    <n v="2"/>
    <n v="4"/>
    <n v="3"/>
    <m/>
    <m/>
    <m/>
    <m/>
    <x v="1"/>
    <m/>
    <n v="8.8904109589041092"/>
    <n v="5"/>
  </r>
  <r>
    <n v="8014"/>
    <s v="هديل منير صالح القيس"/>
    <x v="1"/>
    <d v="2014-10-23T00:00:00"/>
    <d v="2021-03-18T00:00:00"/>
    <n v="4"/>
    <n v="2"/>
    <n v="2"/>
    <n v="2"/>
    <n v="2"/>
    <n v="2"/>
    <n v="4"/>
    <n v="2"/>
    <n v="5"/>
    <n v="5"/>
    <m/>
    <m/>
    <m/>
    <m/>
    <x v="0"/>
    <m/>
    <n v="6.4054794520547942"/>
    <n v="3"/>
  </r>
  <r>
    <n v="4383"/>
    <s v="عمر حسني جاسم موصلي"/>
    <x v="3"/>
    <d v="2019-01-02T00:00:00"/>
    <d v="2021-03-20T00:00:00"/>
    <n v="5"/>
    <n v="2"/>
    <n v="3"/>
    <n v="3"/>
    <n v="4"/>
    <n v="2"/>
    <n v="1"/>
    <n v="5"/>
    <n v="1"/>
    <n v="3"/>
    <m/>
    <m/>
    <m/>
    <m/>
    <x v="3"/>
    <m/>
    <n v="2.2136986301369861"/>
    <n v="3"/>
  </r>
  <r>
    <n v="7003"/>
    <s v="ساره جمال سليمان الجميلي"/>
    <x v="1"/>
    <d v="2012-04-20T00:00:00"/>
    <d v="2021-02-04T00:00:00"/>
    <n v="5"/>
    <n v="1"/>
    <n v="2"/>
    <n v="4"/>
    <n v="1"/>
    <n v="4"/>
    <n v="4"/>
    <n v="5"/>
    <n v="3"/>
    <n v="3"/>
    <m/>
    <m/>
    <m/>
    <m/>
    <x v="4"/>
    <m/>
    <n v="8.8000000000000007"/>
    <n v="2"/>
  </r>
  <r>
    <n v="2190"/>
    <s v="فاطمة بسام عبدالله العيسى"/>
    <x v="3"/>
    <d v="2014-07-03T00:00:00"/>
    <d v="2021-02-15T00:00:00"/>
    <n v="5"/>
    <n v="4"/>
    <n v="2"/>
    <n v="1"/>
    <n v="2"/>
    <n v="4"/>
    <n v="3"/>
    <n v="2"/>
    <n v="3"/>
    <n v="4"/>
    <m/>
    <m/>
    <m/>
    <m/>
    <x v="5"/>
    <m/>
    <n v="6.6273972602739724"/>
    <n v="2"/>
  </r>
  <r>
    <n v="1994"/>
    <s v="وسيم عماد سلامه عبيدات"/>
    <x v="1"/>
    <d v="2016-06-16T00:00:00"/>
    <d v="2021-03-15T00:00:00"/>
    <n v="3"/>
    <n v="5"/>
    <n v="1"/>
    <n v="3"/>
    <n v="4"/>
    <n v="4"/>
    <n v="3"/>
    <n v="3"/>
    <n v="1"/>
    <n v="4"/>
    <m/>
    <m/>
    <m/>
    <m/>
    <x v="6"/>
    <m/>
    <n v="4.7479452054794518"/>
    <n v="3"/>
  </r>
  <r>
    <n v="3324"/>
    <s v="زبيدة محمد احمد الرشدان"/>
    <x v="1"/>
    <d v="2014-11-07T00:00:00"/>
    <d v="2021-02-24T00:00:00"/>
    <n v="2"/>
    <n v="4"/>
    <n v="4"/>
    <n v="1"/>
    <n v="3"/>
    <n v="2"/>
    <n v="4"/>
    <n v="4"/>
    <n v="1"/>
    <n v="5"/>
    <m/>
    <m/>
    <m/>
    <m/>
    <x v="1"/>
    <m/>
    <n v="6.3041095890410963"/>
    <n v="2"/>
  </r>
  <r>
    <n v="5571"/>
    <s v="قدامه عادل حمد الصمادي خصاونه"/>
    <x v="1"/>
    <d v="2010-03-04T00:00:00"/>
    <d v="2021-02-13T00:00:00"/>
    <n v="4"/>
    <n v="4"/>
    <n v="5"/>
    <n v="1"/>
    <n v="2"/>
    <n v="1"/>
    <n v="4"/>
    <n v="3"/>
    <n v="3"/>
    <n v="5"/>
    <m/>
    <m/>
    <m/>
    <m/>
    <x v="0"/>
    <m/>
    <n v="10.956164383561644"/>
    <n v="2"/>
  </r>
  <r>
    <n v="6629"/>
    <s v="حسن هيثم مصطفى الله الزعبي"/>
    <x v="4"/>
    <d v="2019-01-03T00:00:00"/>
    <d v="2021-04-29T00:00:00"/>
    <n v="5"/>
    <n v="4"/>
    <n v="5"/>
    <n v="2"/>
    <n v="1"/>
    <n v="3"/>
    <n v="4"/>
    <n v="3"/>
    <n v="3"/>
    <n v="3"/>
    <m/>
    <m/>
    <m/>
    <m/>
    <x v="3"/>
    <m/>
    <n v="2.3205479452054796"/>
    <n v="4"/>
  </r>
  <r>
    <n v="4923"/>
    <s v="تقى محمود ضيف فلاح"/>
    <x v="1"/>
    <d v="2014-08-02T00:00:00"/>
    <d v="2021-02-25T00:00:00"/>
    <n v="4"/>
    <n v="5"/>
    <n v="4"/>
    <n v="3"/>
    <n v="1"/>
    <n v="1"/>
    <n v="4"/>
    <n v="5"/>
    <n v="5"/>
    <n v="3"/>
    <m/>
    <m/>
    <m/>
    <m/>
    <x v="4"/>
    <m/>
    <n v="6.5726027397260278"/>
    <n v="2"/>
  </r>
  <r>
    <n v="6974"/>
    <s v="اريج ايمن زهير فني الدين"/>
    <x v="3"/>
    <d v="2019-11-16T00:00:00"/>
    <d v="2021-03-16T00:00:00"/>
    <n v="1"/>
    <n v="2"/>
    <n v="4"/>
    <n v="4"/>
    <n v="5"/>
    <n v="1"/>
    <n v="3"/>
    <n v="2"/>
    <n v="3"/>
    <n v="5"/>
    <m/>
    <m/>
    <m/>
    <m/>
    <x v="5"/>
    <m/>
    <n v="1.3315068493150686"/>
    <n v="3"/>
  </r>
  <r>
    <n v="8834"/>
    <s v="عمر احمد علي سعد"/>
    <x v="3"/>
    <d v="2011-06-23T00:00:00"/>
    <d v="2021-02-04T00:00:00"/>
    <n v="3"/>
    <n v="3"/>
    <n v="4"/>
    <n v="1"/>
    <n v="5"/>
    <n v="4"/>
    <n v="4"/>
    <n v="3"/>
    <n v="2"/>
    <n v="3"/>
    <m/>
    <m/>
    <m/>
    <m/>
    <x v="6"/>
    <m/>
    <n v="9.6273972602739732"/>
    <n v="2"/>
  </r>
  <r>
    <n v="6128"/>
    <s v="وسن تحسين سليم علي"/>
    <x v="1"/>
    <d v="2015-08-21T00:00:00"/>
    <d v="2021-01-25T00:00:00"/>
    <n v="5"/>
    <n v="5"/>
    <n v="3"/>
    <n v="4"/>
    <n v="3"/>
    <n v="2"/>
    <n v="3"/>
    <n v="3"/>
    <n v="5"/>
    <n v="3"/>
    <m/>
    <m/>
    <m/>
    <m/>
    <x v="7"/>
    <m/>
    <n v="5.4356164383561643"/>
    <n v="1"/>
  </r>
  <r>
    <n v="1742"/>
    <s v="عبدالكريم هاني ذيب السقار"/>
    <x v="1"/>
    <d v="2016-10-14T00:00:00"/>
    <d v="2021-05-16T00:00:00"/>
    <n v="1"/>
    <n v="5"/>
    <n v="5"/>
    <n v="5"/>
    <n v="3"/>
    <n v="4"/>
    <n v="4"/>
    <n v="4"/>
    <n v="1"/>
    <n v="5"/>
    <m/>
    <m/>
    <m/>
    <m/>
    <x v="7"/>
    <m/>
    <n v="4.5890410958904111"/>
    <n v="5"/>
  </r>
  <r>
    <n v="9809"/>
    <s v="نور محمد محمد عزام شقلة"/>
    <x v="4"/>
    <d v="2010-04-23T00:00:00"/>
    <d v="2021-04-22T00:00:00"/>
    <n v="1"/>
    <n v="4"/>
    <n v="2"/>
    <n v="5"/>
    <n v="1"/>
    <n v="4"/>
    <n v="1"/>
    <n v="3"/>
    <n v="1"/>
    <n v="3"/>
    <m/>
    <m/>
    <m/>
    <m/>
    <x v="0"/>
    <m/>
    <n v="11.005479452054795"/>
    <n v="4"/>
  </r>
  <r>
    <n v="7727"/>
    <s v="ماهر علي عبدالفتاح الفتاح البلادي"/>
    <x v="4"/>
    <d v="2018-10-18T00:00:00"/>
    <d v="2021-04-19T00:00:00"/>
    <n v="4"/>
    <n v="1"/>
    <n v="2"/>
    <n v="2"/>
    <n v="3"/>
    <n v="2"/>
    <n v="4"/>
    <n v="2"/>
    <n v="2"/>
    <n v="3"/>
    <m/>
    <m/>
    <m/>
    <m/>
    <x v="1"/>
    <m/>
    <n v="2.504109589041096"/>
    <n v="4"/>
  </r>
  <r>
    <n v="3748"/>
    <s v="اسلام حمدي عبد الله"/>
    <x v="3"/>
    <d v="2012-02-17T00:00:00"/>
    <d v="2021-02-06T00:00:00"/>
    <n v="3"/>
    <n v="4"/>
    <n v="4"/>
    <n v="2"/>
    <n v="2"/>
    <n v="2"/>
    <n v="4"/>
    <n v="2"/>
    <n v="2"/>
    <n v="3"/>
    <m/>
    <m/>
    <m/>
    <m/>
    <x v="0"/>
    <m/>
    <n v="8.9780821917808211"/>
    <n v="2"/>
  </r>
  <r>
    <n v="5583"/>
    <s v="دعاء نعيم ضيف الشلبي"/>
    <x v="4"/>
    <d v="2019-08-10T00:00:00"/>
    <d v="2021-04-02T00:00:00"/>
    <n v="3"/>
    <n v="1"/>
    <n v="4"/>
    <n v="1"/>
    <n v="1"/>
    <n v="2"/>
    <n v="4"/>
    <n v="2"/>
    <n v="2"/>
    <n v="5"/>
    <m/>
    <m/>
    <m/>
    <m/>
    <x v="3"/>
    <m/>
    <n v="1.6465753424657534"/>
    <n v="4"/>
  </r>
  <r>
    <n v="5356"/>
    <s v="آية عبدالله عبدالباري عواشره أبو حمد"/>
    <x v="1"/>
    <d v="2016-06-05T00:00:00"/>
    <d v="2021-03-25T00:00:00"/>
    <n v="5"/>
    <n v="2"/>
    <n v="3"/>
    <n v="2"/>
    <n v="4"/>
    <n v="2"/>
    <n v="4"/>
    <n v="2"/>
    <n v="2"/>
    <n v="3"/>
    <m/>
    <m/>
    <m/>
    <m/>
    <x v="4"/>
    <m/>
    <n v="4.8054794520547945"/>
    <n v="3"/>
  </r>
  <r>
    <n v="5546"/>
    <s v="صافي عبداللطيف احمد الفراج روحي"/>
    <x v="1"/>
    <d v="2012-04-01T00:00:00"/>
    <d v="2021-01-04T00:00:00"/>
    <n v="5"/>
    <n v="2"/>
    <n v="4"/>
    <n v="4"/>
    <n v="4"/>
    <n v="2"/>
    <n v="4"/>
    <n v="2"/>
    <n v="2"/>
    <n v="3"/>
    <m/>
    <m/>
    <m/>
    <m/>
    <x v="5"/>
    <m/>
    <n v="8.7671232876712324"/>
    <n v="1"/>
  </r>
  <r>
    <n v="8501"/>
    <s v="بسمه علي رفة محمد ارشيد"/>
    <x v="4"/>
    <d v="2013-12-18T00:00:00"/>
    <d v="2021-04-27T00:00:00"/>
    <n v="4"/>
    <n v="1"/>
    <n v="4"/>
    <n v="4"/>
    <n v="1"/>
    <n v="2"/>
    <n v="4"/>
    <n v="2"/>
    <n v="2"/>
    <n v="3"/>
    <m/>
    <m/>
    <m/>
    <m/>
    <x v="6"/>
    <m/>
    <n v="7.3616438356164382"/>
    <n v="4"/>
  </r>
  <r>
    <n v="5556"/>
    <s v="مها سعود عبدالله بني"/>
    <x v="1"/>
    <d v="2012-11-04T00:00:00"/>
    <d v="2021-02-03T00:00:00"/>
    <n v="3"/>
    <n v="1"/>
    <n v="5"/>
    <n v="5"/>
    <n v="5"/>
    <n v="2"/>
    <n v="4"/>
    <n v="2"/>
    <n v="2"/>
    <n v="3"/>
    <m/>
    <m/>
    <m/>
    <m/>
    <x v="0"/>
    <m/>
    <n v="8.2547945205479447"/>
    <n v="2"/>
  </r>
  <r>
    <n v="3656"/>
    <s v="هالة روحي عبدالحليم كنعان"/>
    <x v="1"/>
    <d v="2018-08-12T00:00:00"/>
    <d v="2021-03-11T00:00:00"/>
    <n v="4"/>
    <n v="4"/>
    <n v="4"/>
    <n v="1"/>
    <n v="2"/>
    <n v="1"/>
    <n v="4"/>
    <n v="2"/>
    <n v="4"/>
    <n v="5"/>
    <m/>
    <m/>
    <m/>
    <m/>
    <x v="1"/>
    <m/>
    <n v="2.580821917808219"/>
    <n v="3"/>
  </r>
  <r>
    <n v="3970"/>
    <s v="محمد منير احمد الرقب"/>
    <x v="1"/>
    <d v="2018-04-28T00:00:00"/>
    <d v="2021-02-12T00:00:00"/>
    <n v="5"/>
    <n v="5"/>
    <n v="1"/>
    <n v="4"/>
    <n v="5"/>
    <n v="1"/>
    <n v="3"/>
    <n v="4"/>
    <n v="3"/>
    <n v="3"/>
    <m/>
    <m/>
    <m/>
    <m/>
    <x v="2"/>
    <m/>
    <n v="2.7972602739726029"/>
    <n v="2"/>
  </r>
  <r>
    <n v="6617"/>
    <s v="رغد سعيد احمد الحسن"/>
    <x v="1"/>
    <d v="2016-04-21T00:00:00"/>
    <d v="2021-02-26T00:00:00"/>
    <n v="5"/>
    <n v="4"/>
    <n v="1"/>
    <n v="4"/>
    <n v="2"/>
    <n v="2"/>
    <n v="4"/>
    <n v="1"/>
    <n v="4"/>
    <n v="3"/>
    <m/>
    <m/>
    <m/>
    <m/>
    <x v="3"/>
    <m/>
    <n v="4.8547945205479452"/>
    <n v="2"/>
  </r>
  <r>
    <n v="7532"/>
    <s v="دانا يوسف بخيت فردوس"/>
    <x v="1"/>
    <d v="2011-04-24T00:00:00"/>
    <d v="2021-03-21T00:00:00"/>
    <n v="5"/>
    <n v="1"/>
    <n v="5"/>
    <n v="1"/>
    <n v="1"/>
    <n v="1"/>
    <n v="3"/>
    <n v="5"/>
    <n v="5"/>
    <n v="3"/>
    <m/>
    <m/>
    <m/>
    <m/>
    <x v="4"/>
    <m/>
    <n v="9.9150684931506845"/>
    <n v="3"/>
  </r>
  <r>
    <n v="1809"/>
    <s v="هبه جديع عبدالكريم بدوره شخددم"/>
    <x v="3"/>
    <d v="2011-11-16T00:00:00"/>
    <d v="2021-02-19T00:00:00"/>
    <n v="1"/>
    <n v="5"/>
    <n v="1"/>
    <n v="4"/>
    <n v="5"/>
    <n v="3"/>
    <n v="1"/>
    <n v="4"/>
    <n v="3"/>
    <n v="5"/>
    <m/>
    <m/>
    <m/>
    <m/>
    <x v="5"/>
    <m/>
    <n v="9.2684931506849306"/>
    <n v="2"/>
  </r>
  <r>
    <n v="9681"/>
    <s v="رهف اكرم أحمد عبيدات ابو"/>
    <x v="1"/>
    <d v="2020-06-12T00:00:00"/>
    <d v="2021-03-15T00:00:00"/>
    <n v="1"/>
    <n v="5"/>
    <n v="1"/>
    <n v="1"/>
    <n v="3"/>
    <n v="2"/>
    <n v="4"/>
    <n v="4"/>
    <n v="3"/>
    <n v="4"/>
    <m/>
    <m/>
    <m/>
    <m/>
    <x v="6"/>
    <m/>
    <n v="0.75616438356164384"/>
    <n v="3"/>
  </r>
  <r>
    <n v="3990"/>
    <s v="ساجده مجدي عبدالعزيز صبحي"/>
    <x v="1"/>
    <d v="2010-08-18T00:00:00"/>
    <d v="2021-05-13T00:00:00"/>
    <n v="2"/>
    <n v="3"/>
    <n v="4"/>
    <n v="5"/>
    <n v="3"/>
    <n v="1"/>
    <n v="3"/>
    <n v="4"/>
    <n v="3"/>
    <n v="5"/>
    <m/>
    <m/>
    <m/>
    <m/>
    <x v="7"/>
    <m/>
    <n v="10.742465753424657"/>
    <n v="5"/>
  </r>
  <r>
    <n v="5985"/>
    <s v="رانيا حسين محمد الراشد شرير"/>
    <x v="1"/>
    <d v="2018-12-02T00:00:00"/>
    <d v="2021-01-15T00:00:00"/>
    <n v="2"/>
    <n v="2"/>
    <n v="2"/>
    <n v="5"/>
    <n v="5"/>
    <n v="1"/>
    <n v="4"/>
    <n v="5"/>
    <n v="4"/>
    <n v="5"/>
    <m/>
    <m/>
    <m/>
    <m/>
    <x v="1"/>
    <m/>
    <n v="2.1232876712328768"/>
    <n v="1"/>
  </r>
  <r>
    <n v="7163"/>
    <s v="هديل امجد علي موسى"/>
    <x v="1"/>
    <d v="2013-04-03T00:00:00"/>
    <d v="2021-03-17T00:00:00"/>
    <n v="1"/>
    <n v="3"/>
    <n v="5"/>
    <n v="2"/>
    <n v="2"/>
    <n v="3"/>
    <n v="4"/>
    <n v="2"/>
    <n v="4"/>
    <n v="3"/>
    <m/>
    <m/>
    <m/>
    <m/>
    <x v="0"/>
    <m/>
    <n v="7.9589041095890414"/>
    <n v="3"/>
  </r>
  <r>
    <n v="7043"/>
    <s v="الاء عبدالله جمال العاني الداود"/>
    <x v="1"/>
    <d v="2012-02-11T00:00:00"/>
    <d v="2021-03-18T00:00:00"/>
    <n v="4"/>
    <n v="5"/>
    <n v="2"/>
    <n v="2"/>
    <n v="2"/>
    <n v="2"/>
    <n v="4"/>
    <n v="3"/>
    <n v="5"/>
    <n v="4"/>
    <m/>
    <m/>
    <m/>
    <m/>
    <x v="3"/>
    <m/>
    <n v="9.1041095890410961"/>
    <n v="3"/>
  </r>
  <r>
    <n v="5250"/>
    <s v="بتلاء محمد رشيد موسى"/>
    <x v="1"/>
    <d v="2018-12-20T00:00:00"/>
    <d v="2021-03-04T00:00:00"/>
    <n v="1"/>
    <n v="3"/>
    <n v="2"/>
    <n v="2"/>
    <n v="2"/>
    <n v="2"/>
    <n v="4"/>
    <n v="3"/>
    <n v="5"/>
    <n v="3"/>
    <m/>
    <m/>
    <m/>
    <m/>
    <x v="4"/>
    <m/>
    <n v="2.2054794520547945"/>
    <n v="3"/>
  </r>
  <r>
    <n v="1591"/>
    <s v="هبة مازن شكري السقا"/>
    <x v="3"/>
    <d v="2018-06-28T00:00:00"/>
    <d v="2021-03-03T00:00:00"/>
    <n v="4"/>
    <n v="3"/>
    <n v="2"/>
    <n v="2"/>
    <n v="2"/>
    <n v="2"/>
    <n v="4"/>
    <n v="3"/>
    <n v="1"/>
    <n v="3"/>
    <m/>
    <m/>
    <m/>
    <m/>
    <x v="5"/>
    <m/>
    <n v="2.6821917808219178"/>
    <n v="3"/>
  </r>
  <r>
    <n v="4746"/>
    <s v="سؤدد محمد بركات سليمان"/>
    <x v="5"/>
    <d v="2011-06-12T00:00:00"/>
    <d v="2021-02-05T00:00:00"/>
    <n v="1"/>
    <n v="3"/>
    <n v="2"/>
    <n v="2"/>
    <n v="2"/>
    <n v="2"/>
    <n v="4"/>
    <n v="4"/>
    <n v="5"/>
    <n v="3"/>
    <m/>
    <m/>
    <m/>
    <m/>
    <x v="6"/>
    <m/>
    <n v="9.6602739726027398"/>
    <n v="2"/>
  </r>
  <r>
    <n v="6023"/>
    <s v="عبدالحكيم زهير محمد الصبح"/>
    <x v="1"/>
    <d v="2020-03-08T00:00:00"/>
    <d v="2021-03-27T00:00:00"/>
    <n v="1"/>
    <n v="5"/>
    <n v="2"/>
    <n v="2"/>
    <n v="2"/>
    <n v="2"/>
    <n v="4"/>
    <n v="1"/>
    <n v="5"/>
    <n v="3"/>
    <m/>
    <m/>
    <m/>
    <m/>
    <x v="7"/>
    <m/>
    <n v="1.0520547945205478"/>
    <n v="3"/>
  </r>
  <r>
    <n v="1593"/>
    <s v="بركات خليل سعيد الصالحي بدحان ارشيد"/>
    <x v="3"/>
    <d v="2017-07-02T00:00:00"/>
    <d v="2021-03-25T00:00:00"/>
    <n v="4"/>
    <n v="3"/>
    <n v="2"/>
    <n v="2"/>
    <n v="2"/>
    <n v="2"/>
    <n v="4"/>
    <n v="2"/>
    <n v="4"/>
    <n v="5"/>
    <m/>
    <m/>
    <m/>
    <m/>
    <x v="0"/>
    <m/>
    <n v="3.7315068493150685"/>
    <n v="3"/>
  </r>
  <r>
    <n v="6164"/>
    <s v="فرح منذر عبدالرحمن عفانه محسن"/>
    <x v="1"/>
    <d v="2015-08-17T00:00:00"/>
    <d v="2021-04-14T00:00:00"/>
    <n v="1"/>
    <n v="4"/>
    <n v="2"/>
    <n v="2"/>
    <n v="2"/>
    <n v="2"/>
    <n v="2"/>
    <n v="2"/>
    <n v="2"/>
    <n v="3"/>
    <m/>
    <m/>
    <m/>
    <m/>
    <x v="1"/>
    <m/>
    <n v="5.6630136986301371"/>
    <n v="4"/>
  </r>
  <r>
    <n v="2467"/>
    <s v="يزيد محمد محمد ارشيد"/>
    <x v="4"/>
    <d v="2011-04-30T00:00:00"/>
    <d v="2021-04-05T00:00:00"/>
    <n v="2"/>
    <n v="5"/>
    <n v="2"/>
    <n v="2"/>
    <n v="2"/>
    <n v="2"/>
    <n v="2"/>
    <n v="3"/>
    <n v="1"/>
    <n v="5"/>
    <m/>
    <m/>
    <m/>
    <m/>
    <x v="0"/>
    <m/>
    <n v="9.9397260273972599"/>
    <n v="4"/>
  </r>
  <r>
    <n v="9185"/>
    <s v="امجد وليد بدحان البكار"/>
    <x v="1"/>
    <d v="2013-08-01T00:00:00"/>
    <d v="2021-01-12T00:00:00"/>
    <n v="4"/>
    <n v="3"/>
    <n v="1"/>
    <n v="5"/>
    <n v="4"/>
    <n v="4"/>
    <n v="2"/>
    <n v="5"/>
    <n v="4"/>
    <n v="5"/>
    <m/>
    <m/>
    <m/>
    <m/>
    <x v="0"/>
    <m/>
    <n v="7.4547945205479449"/>
    <n v="1"/>
  </r>
  <r>
    <n v="6885"/>
    <s v="محمد محسن محمد بشاره"/>
    <x v="5"/>
    <d v="2012-01-30T00:00:00"/>
    <d v="2021-01-21T00:00:00"/>
    <n v="2"/>
    <n v="1"/>
    <n v="5"/>
    <n v="3"/>
    <n v="4"/>
    <n v="1"/>
    <n v="3"/>
    <n v="3"/>
    <n v="2"/>
    <n v="4"/>
    <m/>
    <m/>
    <m/>
    <m/>
    <x v="4"/>
    <m/>
    <n v="8.9835616438356158"/>
    <n v="1"/>
  </r>
  <r>
    <n v="9913"/>
    <s v="يحيى ايمن محمود الشلختي"/>
    <x v="1"/>
    <d v="2010-01-13T00:00:00"/>
    <d v="2021-05-09T00:00:00"/>
    <n v="5"/>
    <n v="4"/>
    <n v="2"/>
    <n v="4"/>
    <n v="1"/>
    <n v="3"/>
    <n v="1"/>
    <n v="5"/>
    <n v="5"/>
    <n v="3"/>
    <m/>
    <m/>
    <m/>
    <m/>
    <x v="5"/>
    <m/>
    <n v="11.326027397260274"/>
    <n v="5"/>
  </r>
  <r>
    <n v="2927"/>
    <s v="لجين ناصر محمد النقرش"/>
    <x v="0"/>
    <d v="2010-09-01T00:00:00"/>
    <d v="2021-01-10T00:00:00"/>
    <n v="1"/>
    <n v="2"/>
    <n v="2"/>
    <n v="5"/>
    <n v="2"/>
    <n v="2"/>
    <n v="3"/>
    <n v="1"/>
    <n v="4"/>
    <n v="3"/>
    <m/>
    <m/>
    <m/>
    <m/>
    <x v="6"/>
    <m/>
    <n v="10.367123287671232"/>
    <n v="1"/>
  </r>
  <r>
    <n v="8437"/>
    <s v="لينا هيثم حسن ابولاوى"/>
    <x v="0"/>
    <d v="2019-08-06T00:00:00"/>
    <d v="2021-02-18T00:00:00"/>
    <n v="4"/>
    <n v="2"/>
    <n v="2"/>
    <n v="3"/>
    <n v="4"/>
    <n v="4"/>
    <n v="1"/>
    <n v="3"/>
    <n v="4"/>
    <n v="4"/>
    <m/>
    <m/>
    <m/>
    <m/>
    <x v="7"/>
    <m/>
    <n v="1.5397260273972602"/>
    <n v="2"/>
  </r>
  <r>
    <n v="6624"/>
    <s v="مجد اسماعيل سبتي فارس"/>
    <x v="5"/>
    <d v="2012-07-18T00:00:00"/>
    <d v="2021-02-14T00:00:00"/>
    <n v="3"/>
    <n v="5"/>
    <n v="4"/>
    <n v="3"/>
    <n v="3"/>
    <n v="4"/>
    <n v="2"/>
    <n v="2"/>
    <n v="2"/>
    <n v="3"/>
    <m/>
    <m/>
    <m/>
    <m/>
    <x v="7"/>
    <m/>
    <n v="8.5835616438356173"/>
    <n v="2"/>
  </r>
  <r>
    <n v="9142"/>
    <s v="يزيد خليل فارس"/>
    <x v="0"/>
    <d v="2013-05-30T00:00:00"/>
    <d v="2021-02-01T00:00:00"/>
    <n v="4"/>
    <n v="3"/>
    <n v="2"/>
    <n v="4"/>
    <n v="4"/>
    <n v="2"/>
    <n v="2"/>
    <n v="3"/>
    <n v="5"/>
    <n v="3"/>
    <m/>
    <m/>
    <m/>
    <m/>
    <x v="0"/>
    <m/>
    <n v="7.6821917808219178"/>
    <n v="2"/>
  </r>
  <r>
    <n v="9476"/>
    <s v="احمد فريد فارس مراد"/>
    <x v="0"/>
    <d v="2019-03-08T00:00:00"/>
    <d v="2021-02-14T00:00:00"/>
    <n v="2"/>
    <n v="3"/>
    <n v="2"/>
    <n v="2"/>
    <n v="4"/>
    <n v="2"/>
    <n v="3"/>
    <n v="4"/>
    <n v="2"/>
    <n v="3"/>
    <m/>
    <m/>
    <m/>
    <m/>
    <x v="1"/>
    <m/>
    <n v="1.9424657534246574"/>
    <n v="2"/>
  </r>
  <r>
    <n v="2335"/>
    <s v="محمد كامل منير العبيني"/>
    <x v="0"/>
    <d v="2011-04-10T00:00:00"/>
    <d v="2021-01-16T00:00:00"/>
    <n v="1"/>
    <n v="2"/>
    <n v="1"/>
    <n v="5"/>
    <n v="1"/>
    <n v="4"/>
    <n v="2"/>
    <n v="2"/>
    <n v="3"/>
    <n v="3"/>
    <m/>
    <m/>
    <m/>
    <m/>
    <x v="0"/>
    <m/>
    <n v="9.7780821917808218"/>
    <n v="1"/>
  </r>
  <r>
    <n v="5750"/>
    <s v="محمد وائل محمد الشبعان"/>
    <x v="5"/>
    <d v="2012-12-13T00:00:00"/>
    <d v="2021-02-20T00:00:00"/>
    <n v="3"/>
    <n v="3"/>
    <n v="5"/>
    <n v="3"/>
    <n v="3"/>
    <n v="1"/>
    <n v="1"/>
    <n v="4"/>
    <n v="3"/>
    <n v="5"/>
    <m/>
    <m/>
    <m/>
    <m/>
    <x v="3"/>
    <m/>
    <n v="8.1945205479452063"/>
    <n v="2"/>
  </r>
  <r>
    <n v="5173"/>
    <s v="أحمد احمد موسى السردية"/>
    <x v="0"/>
    <d v="2015-12-21T00:00:00"/>
    <d v="2021-04-13T00:00:00"/>
    <n v="3"/>
    <n v="3"/>
    <n v="2"/>
    <n v="4"/>
    <n v="2"/>
    <n v="1"/>
    <n v="1"/>
    <n v="4"/>
    <n v="1"/>
    <n v="3"/>
    <m/>
    <m/>
    <m/>
    <m/>
    <x v="4"/>
    <m/>
    <n v="5.3150684931506849"/>
    <n v="4"/>
  </r>
  <r>
    <n v="5642"/>
    <s v="محمد انيازي علي سعيد"/>
    <x v="4"/>
    <d v="2011-02-06T00:00:00"/>
    <d v="2021-01-09T00:00:00"/>
    <n v="5"/>
    <n v="5"/>
    <n v="2"/>
    <n v="2"/>
    <n v="2"/>
    <n v="2"/>
    <n v="2"/>
    <n v="2"/>
    <n v="1"/>
    <n v="4"/>
    <m/>
    <m/>
    <m/>
    <m/>
    <x v="5"/>
    <m/>
    <n v="9.9315068493150687"/>
    <n v="1"/>
  </r>
  <r>
    <n v="6996"/>
    <s v="سراه ثاني علي المساعيد"/>
    <x v="0"/>
    <d v="2013-08-29T00:00:00"/>
    <d v="2021-03-10T00:00:00"/>
    <n v="1"/>
    <n v="1"/>
    <n v="1"/>
    <n v="2"/>
    <n v="2"/>
    <n v="2"/>
    <n v="2"/>
    <n v="2"/>
    <n v="4"/>
    <n v="5"/>
    <m/>
    <m/>
    <m/>
    <m/>
    <x v="6"/>
    <m/>
    <n v="7.5342465753424657"/>
    <n v="3"/>
  </r>
  <r>
    <n v="9035"/>
    <s v="وفاء عزمي رفة عيسى"/>
    <x v="3"/>
    <d v="2010-06-07T00:00:00"/>
    <d v="2021-02-09T00:00:00"/>
    <n v="1"/>
    <n v="1"/>
    <n v="3"/>
    <n v="2"/>
    <n v="2"/>
    <n v="2"/>
    <n v="2"/>
    <n v="2"/>
    <n v="4"/>
    <n v="3"/>
    <m/>
    <m/>
    <m/>
    <m/>
    <x v="0"/>
    <m/>
    <n v="10.684931506849315"/>
    <n v="2"/>
  </r>
  <r>
    <n v="5536"/>
    <s v="شهد هاشم عثمان القضاه الحوراني"/>
    <x v="0"/>
    <d v="2010-10-02T00:00:00"/>
    <d v="2021-01-26T00:00:00"/>
    <n v="3"/>
    <n v="3"/>
    <n v="2"/>
    <n v="2"/>
    <n v="2"/>
    <n v="2"/>
    <n v="2"/>
    <n v="2"/>
    <n v="4"/>
    <n v="3"/>
    <m/>
    <m/>
    <m/>
    <m/>
    <x v="1"/>
    <m/>
    <n v="10.326027397260274"/>
    <n v="1"/>
  </r>
  <r>
    <n v="3766"/>
    <s v="شهد عبدالكريم علي سامي"/>
    <x v="5"/>
    <d v="2011-07-03T00:00:00"/>
    <d v="2021-03-02T00:00:00"/>
    <n v="1"/>
    <n v="3"/>
    <n v="3"/>
    <n v="2"/>
    <n v="2"/>
    <n v="2"/>
    <n v="2"/>
    <n v="2"/>
    <n v="5"/>
    <n v="3"/>
    <m/>
    <m/>
    <m/>
    <m/>
    <x v="0"/>
    <m/>
    <n v="9.6712328767123292"/>
    <n v="3"/>
  </r>
  <r>
    <n v="4906"/>
    <s v="ملك عاطف الدين ساقي"/>
    <x v="3"/>
    <d v="2011-08-08T00:00:00"/>
    <d v="2021-03-28T00:00:00"/>
    <n v="4"/>
    <n v="2"/>
    <n v="3"/>
    <n v="2"/>
    <n v="2"/>
    <n v="2"/>
    <n v="2"/>
    <n v="2"/>
    <n v="5"/>
    <n v="4"/>
    <m/>
    <m/>
    <m/>
    <m/>
    <x v="0"/>
    <m/>
    <n v="9.6438356164383556"/>
    <n v="3"/>
  </r>
  <r>
    <n v="7275"/>
    <s v="تسنيم شرف محمد دياب"/>
    <x v="0"/>
    <d v="2019-04-03T00:00:00"/>
    <d v="2021-02-19T00:00:00"/>
    <n v="1"/>
    <n v="2"/>
    <n v="2"/>
    <n v="3"/>
    <n v="4"/>
    <n v="1"/>
    <n v="1"/>
    <n v="5"/>
    <n v="3"/>
    <n v="3"/>
    <m/>
    <m/>
    <m/>
    <m/>
    <x v="4"/>
    <m/>
    <n v="1.8849315068493151"/>
    <n v="2"/>
  </r>
  <r>
    <n v="3004"/>
    <s v="افنان ليث خير"/>
    <x v="0"/>
    <d v="2016-12-09T00:00:00"/>
    <d v="2021-04-27T00:00:00"/>
    <n v="3"/>
    <n v="1"/>
    <n v="3"/>
    <n v="2"/>
    <n v="5"/>
    <n v="3"/>
    <n v="1"/>
    <n v="5"/>
    <n v="2"/>
    <n v="5"/>
    <m/>
    <m/>
    <m/>
    <m/>
    <x v="5"/>
    <m/>
    <n v="4.3835616438356162"/>
    <n v="4"/>
  </r>
  <r>
    <n v="7284"/>
    <s v="اوراد محمد المحمود العبيني عناقره"/>
    <x v="3"/>
    <d v="2017-07-17T00:00:00"/>
    <d v="2021-02-23T00:00:00"/>
    <n v="1"/>
    <n v="1"/>
    <n v="4"/>
    <n v="3"/>
    <n v="1"/>
    <n v="2"/>
    <n v="3"/>
    <n v="4"/>
    <n v="2"/>
    <n v="4"/>
    <m/>
    <m/>
    <m/>
    <m/>
    <x v="6"/>
    <m/>
    <n v="3.6082191780821917"/>
    <n v="2"/>
  </r>
  <r>
    <n v="1317"/>
    <s v="لمى عماد محمد حسن جابر"/>
    <x v="0"/>
    <d v="2012-10-18T00:00:00"/>
    <d v="2021-04-25T00:00:00"/>
    <n v="2"/>
    <n v="3"/>
    <n v="2"/>
    <n v="4"/>
    <n v="4"/>
    <n v="5"/>
    <n v="2"/>
    <n v="1"/>
    <n v="3"/>
    <n v="4"/>
    <m/>
    <m/>
    <m/>
    <m/>
    <x v="7"/>
    <m/>
    <n v="8.5232876712328771"/>
    <n v="4"/>
  </r>
  <r>
    <n v="5063"/>
    <s v="روان معتصم الدين خالد"/>
    <x v="0"/>
    <d v="2019-06-08T00:00:00"/>
    <d v="2021-01-08T00:00:00"/>
    <n v="1"/>
    <n v="4"/>
    <n v="3"/>
    <n v="3"/>
    <n v="2"/>
    <n v="5"/>
    <n v="3"/>
    <n v="1"/>
    <n v="1"/>
    <n v="5"/>
    <m/>
    <m/>
    <m/>
    <m/>
    <x v="7"/>
    <m/>
    <n v="1.5890410958904109"/>
    <n v="1"/>
  </r>
  <r>
    <n v="5439"/>
    <s v="مهند صلاح محمد الخطيب"/>
    <x v="5"/>
    <d v="2017-11-06T00:00:00"/>
    <d v="2021-01-16T00:00:00"/>
    <n v="3"/>
    <n v="1"/>
    <n v="4"/>
    <n v="2"/>
    <n v="2"/>
    <n v="2"/>
    <n v="1"/>
    <n v="3"/>
    <n v="5"/>
    <n v="3"/>
    <m/>
    <m/>
    <m/>
    <m/>
    <x v="0"/>
    <m/>
    <n v="3.1972602739726028"/>
    <n v="1"/>
  </r>
  <r>
    <n v="1964"/>
    <s v="يزن عدنان ياسين النمر"/>
    <x v="0"/>
    <d v="2012-12-06T00:00:00"/>
    <d v="2021-02-04T00:00:00"/>
    <n v="5"/>
    <n v="1"/>
    <n v="3"/>
    <n v="5"/>
    <n v="5"/>
    <n v="5"/>
    <n v="3"/>
    <n v="1"/>
    <n v="1"/>
    <n v="3"/>
    <m/>
    <m/>
    <m/>
    <m/>
    <x v="1"/>
    <m/>
    <n v="8.169863013698631"/>
    <n v="2"/>
  </r>
  <r>
    <n v="9959"/>
    <s v="طلال محمد أدهم عمر"/>
    <x v="3"/>
    <d v="2020-07-18T00:00:00"/>
    <d v="2021-02-19T00:00:00"/>
    <n v="5"/>
    <n v="1"/>
    <n v="2"/>
    <n v="3"/>
    <n v="5"/>
    <n v="1"/>
    <n v="3"/>
    <n v="1"/>
    <n v="2"/>
    <n v="4"/>
    <m/>
    <m/>
    <m/>
    <m/>
    <x v="2"/>
    <m/>
    <n v="0.59178082191780823"/>
    <n v="2"/>
  </r>
  <r>
    <n v="6779"/>
    <s v="اسامه فارس محمد جوبي"/>
    <x v="0"/>
    <d v="2013-06-27T00:00:00"/>
    <d v="2021-01-06T00:00:00"/>
    <n v="2"/>
    <n v="5"/>
    <n v="3"/>
    <n v="3"/>
    <n v="2"/>
    <n v="2"/>
    <n v="5"/>
    <n v="2"/>
    <n v="2"/>
    <n v="3"/>
    <m/>
    <m/>
    <m/>
    <m/>
    <x v="3"/>
    <m/>
    <n v="7.5342465753424657"/>
    <n v="1"/>
  </r>
  <r>
    <n v="9351"/>
    <s v="أدهم عوض نصر طشطوش"/>
    <x v="0"/>
    <d v="2013-02-02T00:00:00"/>
    <d v="2021-03-28T00:00:00"/>
    <n v="2"/>
    <n v="2"/>
    <n v="2"/>
    <n v="2"/>
    <n v="2"/>
    <n v="2"/>
    <n v="5"/>
    <n v="2"/>
    <n v="2"/>
    <n v="5"/>
    <m/>
    <m/>
    <m/>
    <m/>
    <x v="4"/>
    <m/>
    <n v="8.1534246575342468"/>
    <n v="3"/>
  </r>
  <r>
    <n v="5038"/>
    <s v="محمد الدين موسى العيشاوى"/>
    <x v="0"/>
    <d v="2013-09-21T00:00:00"/>
    <d v="2021-04-09T00:00:00"/>
    <n v="5"/>
    <n v="5"/>
    <n v="1"/>
    <n v="5"/>
    <n v="2"/>
    <n v="2"/>
    <n v="5"/>
    <n v="2"/>
    <n v="2"/>
    <n v="5"/>
    <m/>
    <m/>
    <m/>
    <m/>
    <x v="5"/>
    <m/>
    <n v="7.5534246575342463"/>
    <n v="4"/>
  </r>
  <r>
    <n v="9512"/>
    <s v="مجد غسان محمود الحمدان"/>
    <x v="0"/>
    <d v="2020-09-06T00:00:00"/>
    <d v="2021-04-04T00:00:00"/>
    <n v="5"/>
    <n v="5"/>
    <n v="1"/>
    <n v="5"/>
    <n v="2"/>
    <n v="2"/>
    <n v="5"/>
    <n v="2"/>
    <n v="2"/>
    <n v="3"/>
    <m/>
    <m/>
    <m/>
    <m/>
    <x v="6"/>
    <m/>
    <n v="0.57534246575342463"/>
    <n v="4"/>
  </r>
  <r>
    <n v="2713"/>
    <s v="عمرو جمال محمد الشرمان"/>
    <x v="3"/>
    <d v="2010-07-29T00:00:00"/>
    <d v="2021-04-01T00:00:00"/>
    <n v="2"/>
    <n v="3"/>
    <n v="5"/>
    <n v="4"/>
    <n v="2"/>
    <n v="2"/>
    <n v="5"/>
    <n v="2"/>
    <n v="2"/>
    <n v="3"/>
    <m/>
    <m/>
    <m/>
    <m/>
    <x v="6"/>
    <m/>
    <n v="10.682191780821919"/>
    <n v="4"/>
  </r>
  <r>
    <n v="6113"/>
    <s v="عبدالوهاب فراس محمد الحوثي"/>
    <x v="0"/>
    <d v="2018-03-17T00:00:00"/>
    <d v="2021-04-24T00:00:00"/>
    <n v="2"/>
    <n v="5"/>
    <n v="5"/>
    <n v="2"/>
    <n v="2"/>
    <n v="2"/>
    <n v="2"/>
    <n v="2"/>
    <n v="2"/>
    <n v="3"/>
    <m/>
    <m/>
    <m/>
    <m/>
    <x v="7"/>
    <m/>
    <n v="3.106849315068493"/>
    <n v="4"/>
  </r>
  <r>
    <n v="1437"/>
    <s v="مجد علي عبدالله أبوغالي عيد"/>
    <x v="0"/>
    <d v="2018-04-13T00:00:00"/>
    <d v="2021-04-18T00:00:00"/>
    <n v="2"/>
    <n v="3"/>
    <n v="5"/>
    <n v="1"/>
    <n v="4"/>
    <n v="4"/>
    <n v="2"/>
    <n v="5"/>
    <n v="3"/>
    <n v="5"/>
    <m/>
    <m/>
    <m/>
    <m/>
    <x v="0"/>
    <m/>
    <n v="3.0164383561643837"/>
    <n v="4"/>
  </r>
  <r>
    <n v="8327"/>
    <s v="وفاء عبدالله عبدالقادر ابو"/>
    <x v="0"/>
    <d v="2011-12-07T00:00:00"/>
    <d v="2021-01-06T00:00:00"/>
    <n v="5"/>
    <n v="2"/>
    <n v="4"/>
    <n v="2"/>
    <n v="3"/>
    <n v="5"/>
    <n v="2"/>
    <n v="5"/>
    <n v="4"/>
    <n v="3"/>
    <m/>
    <m/>
    <m/>
    <m/>
    <x v="1"/>
    <m/>
    <n v="9.0904109589041102"/>
    <n v="1"/>
  </r>
  <r>
    <n v="6787"/>
    <s v="محمد جمال حسن الجراح الكريم حسين"/>
    <x v="0"/>
    <d v="2019-08-13T00:00:00"/>
    <d v="2021-03-19T00:00:00"/>
    <n v="1"/>
    <n v="1"/>
    <n v="1"/>
    <n v="4"/>
    <n v="3"/>
    <n v="4"/>
    <n v="2"/>
    <n v="2"/>
    <n v="1"/>
    <n v="3"/>
    <m/>
    <m/>
    <m/>
    <m/>
    <x v="2"/>
    <m/>
    <n v="1.6"/>
    <n v="3"/>
  </r>
  <r>
    <n v="4480"/>
    <s v="محمد حكم محمود عبد حاج"/>
    <x v="0"/>
    <d v="2019-04-12T00:00:00"/>
    <d v="2021-04-08T00:00:00"/>
    <n v="3"/>
    <n v="2"/>
    <n v="1"/>
    <n v="2"/>
    <n v="2"/>
    <n v="5"/>
    <n v="2"/>
    <n v="5"/>
    <n v="4"/>
    <n v="3"/>
    <m/>
    <m/>
    <m/>
    <m/>
    <x v="0"/>
    <m/>
    <n v="1.9917808219178081"/>
    <n v="4"/>
  </r>
  <r>
    <n v="2997"/>
    <s v="محمد عمر محمود ياسين"/>
    <x v="3"/>
    <d v="2016-05-12T00:00:00"/>
    <d v="2021-03-05T00:00:00"/>
    <n v="4"/>
    <n v="2"/>
    <n v="2"/>
    <n v="1"/>
    <n v="3"/>
    <n v="5"/>
    <n v="3"/>
    <n v="2"/>
    <n v="3"/>
    <n v="3"/>
    <m/>
    <m/>
    <m/>
    <m/>
    <x v="4"/>
    <m/>
    <n v="4.816438356164384"/>
    <n v="3"/>
  </r>
  <r>
    <n v="2050"/>
    <s v="معاذ مازن الرحمن خميس"/>
    <x v="0"/>
    <d v="2010-02-22T00:00:00"/>
    <d v="2021-03-17T00:00:00"/>
    <n v="4"/>
    <n v="2"/>
    <n v="4"/>
    <n v="4"/>
    <n v="1"/>
    <n v="4"/>
    <n v="2"/>
    <n v="2"/>
    <n v="4"/>
    <n v="3"/>
    <m/>
    <m/>
    <m/>
    <m/>
    <x v="0"/>
    <m/>
    <n v="11.07123287671233"/>
    <n v="3"/>
  </r>
  <r>
    <n v="5987"/>
    <s v="علي عبد اسماعيل المعنقر"/>
    <x v="5"/>
    <d v="2011-11-11T00:00:00"/>
    <d v="2021-01-09T00:00:00"/>
    <n v="2"/>
    <n v="4"/>
    <n v="3"/>
    <n v="5"/>
    <n v="5"/>
    <n v="5"/>
    <n v="2"/>
    <n v="4"/>
    <n v="4"/>
    <n v="5"/>
    <m/>
    <m/>
    <m/>
    <m/>
    <x v="6"/>
    <m/>
    <n v="9.169863013698631"/>
    <n v="1"/>
  </r>
  <r>
    <n v="1039"/>
    <s v="احمد رضوان خليف محسن"/>
    <x v="0"/>
    <d v="2013-02-12T00:00:00"/>
    <d v="2021-04-08T00:00:00"/>
    <n v="3"/>
    <n v="4"/>
    <n v="2"/>
    <n v="2"/>
    <n v="5"/>
    <n v="2"/>
    <n v="2"/>
    <n v="1"/>
    <n v="4"/>
    <n v="5"/>
    <m/>
    <m/>
    <m/>
    <m/>
    <x v="7"/>
    <m/>
    <n v="8.1561643835616433"/>
    <n v="4"/>
  </r>
  <r>
    <n v="9564"/>
    <s v="مرح حسن منذر الجاموس"/>
    <x v="5"/>
    <d v="2015-11-17T00:00:00"/>
    <d v="2021-04-15T00:00:00"/>
    <n v="2"/>
    <n v="1"/>
    <n v="4"/>
    <n v="3"/>
    <n v="1"/>
    <n v="3"/>
    <n v="2"/>
    <n v="1"/>
    <n v="1"/>
    <n v="3"/>
    <m/>
    <m/>
    <m/>
    <m/>
    <x v="0"/>
    <m/>
    <n v="5.4136986301369863"/>
    <n v="4"/>
  </r>
  <r>
    <n v="5041"/>
    <s v="محمد المجيد جبر الحلواني"/>
    <x v="0"/>
    <d v="2020-02-21T00:00:00"/>
    <d v="2021-02-13T00:00:00"/>
    <n v="1"/>
    <n v="1"/>
    <n v="2"/>
    <n v="4"/>
    <n v="2"/>
    <n v="1"/>
    <n v="2"/>
    <n v="4"/>
    <n v="1"/>
    <n v="2"/>
    <m/>
    <m/>
    <m/>
    <m/>
    <x v="1"/>
    <m/>
    <n v="0.98082191780821915"/>
    <n v="2"/>
  </r>
  <r>
    <n v="3826"/>
    <s v="عبد محمد عبدالباقي زغير"/>
    <x v="0"/>
    <d v="2014-12-07T00:00:00"/>
    <d v="2021-05-07T00:00:00"/>
    <n v="5"/>
    <n v="3"/>
    <n v="5"/>
    <n v="3"/>
    <n v="1"/>
    <n v="5"/>
    <n v="2"/>
    <n v="3"/>
    <n v="1"/>
    <n v="4"/>
    <m/>
    <m/>
    <m/>
    <m/>
    <x v="2"/>
    <m/>
    <n v="6.419178082191781"/>
    <n v="5"/>
  </r>
  <r>
    <n v="8316"/>
    <s v="عبدالله محمدغزوان زغير"/>
    <x v="0"/>
    <d v="2019-08-21T00:00:00"/>
    <d v="2021-01-30T00:00:00"/>
    <n v="1"/>
    <n v="1"/>
    <n v="3"/>
    <n v="5"/>
    <n v="1"/>
    <n v="2"/>
    <n v="3"/>
    <n v="3"/>
    <n v="1"/>
    <n v="4"/>
    <m/>
    <m/>
    <m/>
    <m/>
    <x v="3"/>
    <m/>
    <n v="1.4465753424657535"/>
    <n v="1"/>
  </r>
  <r>
    <n v="9398"/>
    <s v="مازن كريم عجم الدرايسه"/>
    <x v="0"/>
    <d v="2015-03-05T00:00:00"/>
    <d v="2021-02-25T00:00:00"/>
    <n v="3"/>
    <n v="5"/>
    <n v="2"/>
    <n v="5"/>
    <n v="4"/>
    <n v="2"/>
    <n v="2"/>
    <n v="5"/>
    <n v="1"/>
    <n v="5"/>
    <m/>
    <m/>
    <m/>
    <m/>
    <x v="0"/>
    <m/>
    <n v="5.9835616438356167"/>
    <n v="2"/>
  </r>
  <r>
    <n v="5642"/>
    <s v="صبا خالد علي النمرى"/>
    <x v="3"/>
    <d v="2012-09-23T00:00:00"/>
    <d v="2021-01-18T00:00:00"/>
    <n v="5"/>
    <n v="4"/>
    <n v="5"/>
    <n v="2"/>
    <n v="4"/>
    <n v="3"/>
    <n v="2"/>
    <n v="3"/>
    <n v="2"/>
    <n v="3"/>
    <m/>
    <m/>
    <m/>
    <m/>
    <x v="0"/>
    <m/>
    <n v="8.3260273972602743"/>
    <n v="1"/>
  </r>
  <r>
    <n v="8511"/>
    <s v="طارق محمد عادل الحسنات"/>
    <x v="4"/>
    <d v="2013-04-14T00:00:00"/>
    <d v="2021-05-06T00:00:00"/>
    <n v="3"/>
    <n v="4"/>
    <n v="2"/>
    <n v="1"/>
    <n v="5"/>
    <n v="5"/>
    <n v="2"/>
    <n v="3"/>
    <n v="1"/>
    <n v="2"/>
    <m/>
    <m/>
    <m/>
    <m/>
    <x v="6"/>
    <m/>
    <n v="8.0657534246575349"/>
    <n v="5"/>
  </r>
  <r>
    <n v="2558"/>
    <s v="مراد زياد عبدالوهاب سعاده الحوامده"/>
    <x v="0"/>
    <d v="2020-03-09T00:00:00"/>
    <d v="2021-01-07T00:00:00"/>
    <n v="1"/>
    <n v="4"/>
    <n v="4"/>
    <n v="3"/>
    <n v="4"/>
    <n v="3"/>
    <n v="2"/>
    <n v="5"/>
    <n v="1"/>
    <n v="1"/>
    <m/>
    <m/>
    <m/>
    <m/>
    <x v="7"/>
    <m/>
    <n v="0.83287671232876714"/>
    <n v="1"/>
  </r>
  <r>
    <n v="4472"/>
    <s v="لينا يحيى مصطفى الفتاح"/>
    <x v="0"/>
    <d v="2010-08-04T00:00:00"/>
    <d v="2021-03-31T00:00:00"/>
    <n v="5"/>
    <n v="4"/>
    <n v="2"/>
    <n v="2"/>
    <n v="2"/>
    <n v="2"/>
    <n v="2"/>
    <n v="2"/>
    <n v="4"/>
    <n v="4"/>
    <m/>
    <m/>
    <m/>
    <m/>
    <x v="0"/>
    <m/>
    <n v="10.663013698630136"/>
    <n v="3"/>
  </r>
  <r>
    <n v="8554"/>
    <s v="زكريا سالم عبد عربيات"/>
    <x v="0"/>
    <d v="2016-11-05T00:00:00"/>
    <d v="2021-02-05T00:00:00"/>
    <n v="3"/>
    <n v="3"/>
    <n v="5"/>
    <n v="2"/>
    <n v="2"/>
    <n v="2"/>
    <n v="2"/>
    <n v="2"/>
    <n v="3"/>
    <n v="5"/>
    <m/>
    <m/>
    <m/>
    <m/>
    <x v="1"/>
    <m/>
    <n v="4.2547945205479456"/>
    <n v="2"/>
  </r>
  <r>
    <n v="4159"/>
    <s v="باسل محمود محمود ملكاوي أبوقديس"/>
    <x v="5"/>
    <d v="2013-04-25T00:00:00"/>
    <d v="2021-02-19T00:00:00"/>
    <n v="3"/>
    <n v="1"/>
    <n v="5"/>
    <n v="2"/>
    <n v="2"/>
    <n v="2"/>
    <n v="2"/>
    <n v="2"/>
    <n v="5"/>
    <n v="1"/>
    <m/>
    <m/>
    <m/>
    <m/>
    <x v="2"/>
    <m/>
    <n v="7.8273972602739725"/>
    <n v="2"/>
  </r>
  <r>
    <n v="8422"/>
    <s v="دانيه يونس علي احمد"/>
    <x v="0"/>
    <d v="2011-11-01T00:00:00"/>
    <d v="2021-02-01T00:00:00"/>
    <n v="4"/>
    <n v="4"/>
    <n v="4"/>
    <n v="2"/>
    <n v="2"/>
    <n v="2"/>
    <n v="2"/>
    <n v="2"/>
    <n v="3"/>
    <n v="2"/>
    <m/>
    <m/>
    <m/>
    <m/>
    <x v="0"/>
    <m/>
    <n v="9.2602739726027394"/>
    <n v="2"/>
  </r>
  <r>
    <n v="3308"/>
    <s v="محمود حسين خير شناق"/>
    <x v="0"/>
    <d v="2019-09-06T00:00:00"/>
    <d v="2021-01-09T00:00:00"/>
    <n v="2"/>
    <n v="5"/>
    <n v="5"/>
    <n v="2"/>
    <n v="2"/>
    <n v="2"/>
    <n v="2"/>
    <n v="2"/>
    <n v="3"/>
    <n v="4"/>
    <m/>
    <m/>
    <m/>
    <m/>
    <x v="0"/>
    <m/>
    <n v="1.3452054794520547"/>
    <n v="1"/>
  </r>
  <r>
    <n v="7630"/>
    <s v="صفوان محمد محمد الشواقفه"/>
    <x v="0"/>
    <d v="2011-07-05T00:00:00"/>
    <d v="2021-02-11T00:00:00"/>
    <n v="3"/>
    <n v="4"/>
    <n v="2"/>
    <n v="2"/>
    <n v="2"/>
    <n v="2"/>
    <n v="2"/>
    <n v="2"/>
    <n v="2"/>
    <n v="1"/>
    <m/>
    <m/>
    <m/>
    <m/>
    <x v="5"/>
    <m/>
    <n v="9.6136986301369856"/>
    <n v="2"/>
  </r>
  <r>
    <n v="4087"/>
    <s v="احمد جمال محمود الدويرى"/>
    <x v="3"/>
    <d v="2016-01-01T00:00:00"/>
    <d v="2021-03-29T00:00:00"/>
    <n v="3"/>
    <n v="5"/>
    <n v="2"/>
    <n v="1"/>
    <n v="5"/>
    <n v="3"/>
    <n v="2"/>
    <n v="5"/>
    <n v="2"/>
    <n v="2"/>
    <m/>
    <m/>
    <m/>
    <m/>
    <x v="6"/>
    <m/>
    <n v="5.2438356164383562"/>
    <n v="3"/>
  </r>
  <r>
    <n v="5199"/>
    <s v="احمد زهير خلف درادكه"/>
    <x v="0"/>
    <d v="2010-04-24T00:00:00"/>
    <d v="2021-04-18T00:00:00"/>
    <n v="2"/>
    <n v="1"/>
    <n v="5"/>
    <n v="3"/>
    <n v="5"/>
    <n v="4"/>
    <n v="2"/>
    <n v="1"/>
    <n v="5"/>
    <n v="1"/>
    <m/>
    <m/>
    <m/>
    <m/>
    <x v="7"/>
    <m/>
    <n v="10.991780821917809"/>
    <n v="4"/>
  </r>
  <r>
    <n v="1068"/>
    <s v="رنيم علي محمود علوه"/>
    <x v="5"/>
    <d v="2013-10-24T00:00:00"/>
    <d v="2021-01-06T00:00:00"/>
    <n v="2"/>
    <n v="3"/>
    <n v="2"/>
    <n v="2"/>
    <n v="2"/>
    <n v="2"/>
    <n v="2"/>
    <n v="1"/>
    <n v="4"/>
    <n v="4"/>
    <m/>
    <m/>
    <m/>
    <m/>
    <x v="7"/>
    <m/>
    <n v="7.2082191780821914"/>
    <n v="1"/>
  </r>
  <r>
    <n v="6401"/>
    <s v="بيان وجيه محمد الناطور عطا"/>
    <x v="5"/>
    <d v="2018-06-13T00:00:00"/>
    <d v="2021-04-16T00:00:00"/>
    <n v="2"/>
    <n v="3"/>
    <n v="4"/>
    <n v="2"/>
    <n v="5"/>
    <n v="1"/>
    <n v="3"/>
    <n v="1"/>
    <n v="1"/>
    <n v="4"/>
    <m/>
    <m/>
    <m/>
    <m/>
    <x v="0"/>
    <m/>
    <n v="2.8438356164383563"/>
    <n v="4"/>
  </r>
  <r>
    <n v="8560"/>
    <s v="غيداء هشام رضوان بني"/>
    <x v="0"/>
    <d v="2017-01-07T00:00:00"/>
    <d v="2021-04-16T00:00:00"/>
    <n v="4"/>
    <n v="2"/>
    <n v="4"/>
    <n v="1"/>
    <n v="4"/>
    <n v="3"/>
    <n v="2"/>
    <n v="4"/>
    <n v="3"/>
    <n v="2"/>
    <m/>
    <m/>
    <m/>
    <m/>
    <x v="0"/>
    <m/>
    <n v="4.2739726027397262"/>
    <n v="4"/>
  </r>
  <r>
    <n v="8725"/>
    <s v="ساره منصور محمد العدمات"/>
    <x v="0"/>
    <d v="2014-04-27T00:00:00"/>
    <d v="2021-04-10T00:00:00"/>
    <n v="3"/>
    <n v="1"/>
    <n v="4"/>
    <n v="3"/>
    <n v="5"/>
    <n v="5"/>
    <n v="1"/>
    <n v="1"/>
    <n v="5"/>
    <n v="1"/>
    <m/>
    <m/>
    <m/>
    <m/>
    <x v="2"/>
    <m/>
    <n v="6.9589041095890414"/>
    <n v="4"/>
  </r>
  <r>
    <n v="8328"/>
    <s v="روان يوسف حسين عبابنه"/>
    <x v="0"/>
    <d v="2013-02-02T00:00:00"/>
    <d v="2021-02-17T00:00:00"/>
    <n v="1"/>
    <n v="1"/>
    <n v="1"/>
    <n v="2"/>
    <n v="3"/>
    <n v="4"/>
    <n v="3"/>
    <n v="1"/>
    <n v="5"/>
    <n v="2"/>
    <m/>
    <m/>
    <m/>
    <m/>
    <x v="3"/>
    <m/>
    <n v="8.0465753424657542"/>
    <n v="2"/>
  </r>
  <r>
    <n v="9921"/>
    <s v="جنان عبدالرحيم حسين جراح"/>
    <x v="0"/>
    <d v="2011-06-03T00:00:00"/>
    <d v="2021-02-22T00:00:00"/>
    <n v="3"/>
    <n v="3"/>
    <n v="4"/>
    <n v="5"/>
    <n v="4"/>
    <n v="1"/>
    <n v="2"/>
    <n v="3"/>
    <n v="5"/>
    <n v="4"/>
    <m/>
    <m/>
    <m/>
    <m/>
    <x v="4"/>
    <m/>
    <n v="9.7315068493150694"/>
    <n v="2"/>
  </r>
  <r>
    <n v="6797"/>
    <s v="نمير محمد مفلح الهدار"/>
    <x v="0"/>
    <d v="2020-02-12T00:00:00"/>
    <d v="2021-02-11T00:00:00"/>
    <n v="1"/>
    <n v="3"/>
    <n v="4"/>
    <n v="1"/>
    <n v="3"/>
    <n v="3"/>
    <n v="2"/>
    <n v="3"/>
    <n v="1"/>
    <n v="1"/>
    <m/>
    <m/>
    <m/>
    <m/>
    <x v="5"/>
    <m/>
    <n v="1"/>
    <n v="2"/>
  </r>
  <r>
    <n v="7918"/>
    <s v="عبدالرحمن محمد علي ربيع المسدي"/>
    <x v="3"/>
    <d v="2017-11-27T00:00:00"/>
    <d v="2021-04-05T00:00:00"/>
    <n v="2"/>
    <n v="5"/>
    <n v="1"/>
    <n v="4"/>
    <n v="2"/>
    <n v="4"/>
    <n v="1"/>
    <n v="5"/>
    <n v="3"/>
    <n v="3"/>
    <m/>
    <m/>
    <m/>
    <m/>
    <x v="6"/>
    <m/>
    <n v="3.3561643835616439"/>
    <n v="4"/>
  </r>
  <r>
    <n v="2284"/>
    <s v="عبدالله حميد الحاج وصفي"/>
    <x v="0"/>
    <d v="2011-07-07T00:00:00"/>
    <d v="2021-01-29T00:00:00"/>
    <n v="1"/>
    <n v="1"/>
    <n v="1"/>
    <n v="2"/>
    <n v="5"/>
    <n v="1"/>
    <n v="2"/>
    <n v="1"/>
    <n v="3"/>
    <n v="2"/>
    <m/>
    <m/>
    <m/>
    <m/>
    <x v="7"/>
    <m/>
    <n v="9.5726027397260278"/>
    <n v="1"/>
  </r>
  <r>
    <n v="3516"/>
    <s v="نور مصطفى الخير الرفاعي العجلوني"/>
    <x v="3"/>
    <d v="2018-01-23T00:00:00"/>
    <d v="2021-05-01T00:00:00"/>
    <n v="5"/>
    <n v="2"/>
    <n v="2"/>
    <n v="2"/>
    <n v="2"/>
    <n v="2"/>
    <n v="2"/>
    <n v="4"/>
    <n v="1"/>
    <n v="1"/>
    <m/>
    <m/>
    <m/>
    <m/>
    <x v="0"/>
    <m/>
    <n v="3.2712328767123289"/>
    <n v="5"/>
  </r>
  <r>
    <n v="2804"/>
    <s v="نور احمد عبداللطيف سعيد"/>
    <x v="0"/>
    <d v="2018-03-04T00:00:00"/>
    <d v="2021-03-31T00:00:00"/>
    <n v="1"/>
    <n v="2"/>
    <n v="2"/>
    <n v="2"/>
    <n v="2"/>
    <n v="1"/>
    <n v="2"/>
    <n v="4"/>
    <n v="1"/>
    <n v="1"/>
    <m/>
    <m/>
    <m/>
    <m/>
    <x v="0"/>
    <m/>
    <n v="3.0767123287671234"/>
    <n v="3"/>
  </r>
  <r>
    <n v="1216"/>
    <s v="وصفي وجيه محمد الردايده"/>
    <x v="0"/>
    <d v="2016-03-25T00:00:00"/>
    <d v="2021-04-14T00:00:00"/>
    <n v="1"/>
    <n v="2"/>
    <n v="2"/>
    <n v="2"/>
    <n v="2"/>
    <n v="2"/>
    <n v="2"/>
    <n v="3"/>
    <n v="3"/>
    <n v="5"/>
    <m/>
    <m/>
    <m/>
    <m/>
    <x v="2"/>
    <m/>
    <n v="5.0575342465753428"/>
    <n v="4"/>
  </r>
  <r>
    <n v="2651"/>
    <s v="أحمد عبدالسلام احمد القواقنه"/>
    <x v="0"/>
    <d v="2012-11-25T00:00:00"/>
    <d v="2021-05-04T00:00:00"/>
    <n v="4"/>
    <n v="2"/>
    <n v="2"/>
    <n v="2"/>
    <n v="2"/>
    <n v="5"/>
    <n v="2"/>
    <n v="3"/>
    <n v="4"/>
    <n v="1"/>
    <m/>
    <m/>
    <m/>
    <m/>
    <x v="0"/>
    <m/>
    <n v="8.4438356164383563"/>
    <n v="5"/>
  </r>
  <r>
    <n v="9385"/>
    <s v="بتول وليد محمد الزعبي"/>
    <x v="0"/>
    <d v="2020-09-03T00:00:00"/>
    <d v="2021-04-19T00:00:00"/>
    <n v="2"/>
    <n v="2"/>
    <n v="2"/>
    <n v="2"/>
    <n v="2"/>
    <n v="5"/>
    <n v="1"/>
    <n v="5"/>
    <n v="4"/>
    <n v="5"/>
    <m/>
    <m/>
    <m/>
    <m/>
    <x v="4"/>
    <m/>
    <n v="0.62465753424657533"/>
    <n v="4"/>
  </r>
  <r>
    <n v="5212"/>
    <s v="محمد اسامه يونس عمر"/>
    <x v="0"/>
    <d v="2015-06-29T00:00:00"/>
    <d v="2021-03-19T00:00:00"/>
    <n v="5"/>
    <n v="5"/>
    <n v="5"/>
    <n v="3"/>
    <n v="1"/>
    <n v="1"/>
    <n v="2"/>
    <n v="4"/>
    <n v="1"/>
    <n v="1"/>
    <m/>
    <m/>
    <m/>
    <m/>
    <x v="5"/>
    <m/>
    <n v="5.7260273972602738"/>
    <n v="3"/>
  </r>
  <r>
    <n v="4333"/>
    <s v="ايثار خالد عمر القاعود"/>
    <x v="3"/>
    <d v="2011-02-05T00:00:00"/>
    <d v="2021-02-15T00:00:00"/>
    <n v="5"/>
    <n v="1"/>
    <n v="2"/>
    <n v="1"/>
    <n v="3"/>
    <n v="3"/>
    <n v="1"/>
    <n v="1"/>
    <n v="2"/>
    <n v="5"/>
    <m/>
    <m/>
    <m/>
    <m/>
    <x v="6"/>
    <m/>
    <n v="10.035616438356165"/>
    <n v="2"/>
  </r>
  <r>
    <n v="6582"/>
    <s v="محمد حسني محمود علاونه"/>
    <x v="3"/>
    <d v="2013-06-06T00:00:00"/>
    <d v="2021-05-01T00:00:00"/>
    <n v="1"/>
    <n v="2"/>
    <n v="2"/>
    <n v="3"/>
    <n v="2"/>
    <n v="1"/>
    <n v="2"/>
    <n v="3"/>
    <n v="5"/>
    <n v="4"/>
    <m/>
    <m/>
    <m/>
    <m/>
    <x v="7"/>
    <m/>
    <n v="7.9068493150684933"/>
    <n v="5"/>
  </r>
  <r>
    <n v="8756"/>
    <s v="أحمد خالد عبدالقادر العزه"/>
    <x v="0"/>
    <d v="2015-01-09T00:00:00"/>
    <d v="2021-02-20T00:00:00"/>
    <n v="2"/>
    <n v="1"/>
    <n v="5"/>
    <n v="1"/>
    <n v="4"/>
    <n v="5"/>
    <n v="2"/>
    <n v="4"/>
    <n v="4"/>
    <n v="4"/>
    <m/>
    <m/>
    <m/>
    <m/>
    <x v="0"/>
    <m/>
    <n v="6.1205479452054794"/>
    <n v="2"/>
  </r>
  <r>
    <n v="7573"/>
    <s v="احمد خالد عبدالله الله"/>
    <x v="0"/>
    <d v="2016-12-22T00:00:00"/>
    <d v="2021-02-10T00:00:00"/>
    <n v="2"/>
    <n v="4"/>
    <n v="5"/>
    <n v="4"/>
    <n v="2"/>
    <n v="2"/>
    <n v="2"/>
    <n v="1"/>
    <n v="4"/>
    <n v="3"/>
    <m/>
    <m/>
    <m/>
    <m/>
    <x v="0"/>
    <m/>
    <n v="4.13972602739726"/>
    <n v="2"/>
  </r>
  <r>
    <n v="4638"/>
    <s v="حسام نعمان عبد"/>
    <x v="0"/>
    <d v="2012-11-20T00:00:00"/>
    <d v="2021-01-25T00:00:00"/>
    <n v="1"/>
    <n v="4"/>
    <n v="4"/>
    <n v="3"/>
    <n v="5"/>
    <n v="4"/>
    <n v="2"/>
    <n v="4"/>
    <n v="4"/>
    <n v="2"/>
    <m/>
    <m/>
    <m/>
    <m/>
    <x v="2"/>
    <m/>
    <n v="8.1863013698630134"/>
    <n v="1"/>
  </r>
  <r>
    <n v="5521"/>
    <s v="خالد موسى الرفاعي أتاسي منصور"/>
    <x v="0"/>
    <d v="2020-09-18T00:00:00"/>
    <d v="2021-01-18T00:00:00"/>
    <n v="5"/>
    <n v="3"/>
    <n v="1"/>
    <n v="4"/>
    <n v="2"/>
    <n v="1"/>
    <n v="2"/>
    <n v="4"/>
    <n v="1"/>
    <n v="3"/>
    <m/>
    <m/>
    <m/>
    <m/>
    <x v="0"/>
    <m/>
    <n v="0.33424657534246577"/>
    <n v="1"/>
  </r>
  <r>
    <n v="2009"/>
    <s v="ايمن يحيى غالب احمد"/>
    <x v="3"/>
    <d v="2013-11-13T00:00:00"/>
    <d v="2021-02-01T00:00:00"/>
    <n v="1"/>
    <n v="1"/>
    <n v="2"/>
    <n v="4"/>
    <n v="3"/>
    <n v="4"/>
    <n v="2"/>
    <n v="5"/>
    <n v="5"/>
    <n v="3"/>
    <m/>
    <m/>
    <m/>
    <m/>
    <x v="4"/>
    <m/>
    <n v="7.2246575342465755"/>
    <n v="2"/>
  </r>
  <r>
    <n v="7746"/>
    <s v="زكريا محمدصبري مصطفى عمايره"/>
    <x v="0"/>
    <d v="2011-03-27T00:00:00"/>
    <d v="2021-04-01T00:00:00"/>
    <n v="2"/>
    <n v="2"/>
    <n v="4"/>
    <n v="3"/>
    <n v="1"/>
    <n v="1"/>
    <n v="3"/>
    <n v="5"/>
    <n v="5"/>
    <n v="3"/>
    <m/>
    <m/>
    <m/>
    <m/>
    <x v="5"/>
    <m/>
    <n v="10.021917808219179"/>
    <n v="4"/>
  </r>
  <r>
    <n v="8837"/>
    <s v="عبدالواحد الدين محمد ابوشقره"/>
    <x v="0"/>
    <d v="2019-03-23T00:00:00"/>
    <d v="2021-03-24T00:00:00"/>
    <n v="3"/>
    <n v="4"/>
    <n v="3"/>
    <n v="4"/>
    <n v="1"/>
    <n v="4"/>
    <n v="2"/>
    <n v="5"/>
    <n v="5"/>
    <n v="2"/>
    <m/>
    <m/>
    <m/>
    <m/>
    <x v="6"/>
    <m/>
    <n v="2.0054794520547947"/>
    <n v="3"/>
  </r>
  <r>
    <n v="7217"/>
    <s v="محي سامي محمد العلواني بكر"/>
    <x v="0"/>
    <d v="2015-11-11T00:00:00"/>
    <d v="2021-05-16T00:00:00"/>
    <n v="3"/>
    <n v="1"/>
    <n v="3"/>
    <n v="4"/>
    <n v="5"/>
    <n v="3"/>
    <n v="2"/>
    <n v="5"/>
    <n v="1"/>
    <n v="4"/>
    <m/>
    <m/>
    <m/>
    <m/>
    <x v="7"/>
    <m/>
    <n v="5.515068493150685"/>
    <n v="5"/>
  </r>
  <r>
    <n v="5887"/>
    <s v="اياس نبيل جابر بني"/>
    <x v="0"/>
    <d v="2011-11-29T00:00:00"/>
    <d v="2021-05-11T00:00:00"/>
    <n v="2"/>
    <n v="5"/>
    <n v="5"/>
    <n v="2"/>
    <n v="3"/>
    <n v="4"/>
    <n v="2"/>
    <n v="2"/>
    <n v="4"/>
    <n v="2"/>
    <m/>
    <m/>
    <m/>
    <m/>
    <x v="0"/>
    <m/>
    <n v="9.4547945205479458"/>
    <n v="5"/>
  </r>
  <r>
    <n v="1056"/>
    <s v="خالد مهند علي الجغيمي"/>
    <x v="0"/>
    <d v="2020-05-08T00:00:00"/>
    <d v="2021-03-12T00:00:00"/>
    <n v="3"/>
    <n v="4"/>
    <n v="4"/>
    <n v="2"/>
    <n v="3"/>
    <n v="5"/>
    <n v="2"/>
    <n v="5"/>
    <n v="5"/>
    <n v="2"/>
    <m/>
    <m/>
    <m/>
    <m/>
    <x v="1"/>
    <m/>
    <n v="0.84383561643835614"/>
    <n v="3"/>
  </r>
  <r>
    <n v="8351"/>
    <s v="أزهر رسمي محمد الحنيفات"/>
    <x v="0"/>
    <d v="2019-11-19T00:00:00"/>
    <d v="2021-02-11T00:00:00"/>
    <n v="1"/>
    <n v="4"/>
    <n v="4"/>
    <n v="4"/>
    <n v="2"/>
    <n v="2"/>
    <n v="2"/>
    <n v="1"/>
    <n v="1"/>
    <n v="1"/>
    <m/>
    <m/>
    <m/>
    <m/>
    <x v="2"/>
    <m/>
    <n v="1.2328767123287672"/>
    <n v="2"/>
  </r>
  <r>
    <n v="2955"/>
    <s v="الاء سعيد موسى مرعي"/>
    <x v="0"/>
    <d v="2019-03-20T00:00:00"/>
    <d v="2021-04-16T00:00:00"/>
    <n v="3"/>
    <n v="2"/>
    <n v="2"/>
    <n v="1"/>
    <n v="2"/>
    <n v="5"/>
    <n v="2"/>
    <n v="4"/>
    <n v="3"/>
    <n v="5"/>
    <m/>
    <m/>
    <m/>
    <m/>
    <x v="0"/>
    <m/>
    <n v="2.0767123287671234"/>
    <n v="4"/>
  </r>
  <r>
    <n v="9597"/>
    <s v="بيان عمر محمد"/>
    <x v="0"/>
    <d v="2020-01-31T00:00:00"/>
    <d v="2021-02-25T00:00:00"/>
    <n v="3"/>
    <n v="3"/>
    <n v="5"/>
    <n v="3"/>
    <n v="4"/>
    <n v="1"/>
    <n v="3"/>
    <n v="4"/>
    <n v="2"/>
    <n v="1"/>
    <m/>
    <m/>
    <m/>
    <m/>
    <x v="4"/>
    <m/>
    <n v="1.0712328767123287"/>
    <n v="2"/>
  </r>
  <r>
    <n v="2022"/>
    <s v="لين بسام رشيد الزعبي"/>
    <x v="0"/>
    <d v="2018-02-01T00:00:00"/>
    <d v="2021-05-11T00:00:00"/>
    <n v="1"/>
    <n v="5"/>
    <n v="5"/>
    <n v="2"/>
    <n v="5"/>
    <n v="2"/>
    <n v="2"/>
    <n v="1"/>
    <n v="2"/>
    <n v="3"/>
    <m/>
    <m/>
    <m/>
    <m/>
    <x v="5"/>
    <m/>
    <n v="3.2739726027397262"/>
    <n v="5"/>
  </r>
  <r>
    <n v="5562"/>
    <s v="هيثم خالد فلاح عيسى"/>
    <x v="3"/>
    <d v="2015-12-03T00:00:00"/>
    <d v="2021-03-28T00:00:00"/>
    <n v="5"/>
    <n v="1"/>
    <n v="4"/>
    <n v="4"/>
    <n v="4"/>
    <n v="2"/>
    <n v="2"/>
    <n v="4"/>
    <n v="1"/>
    <n v="5"/>
    <m/>
    <m/>
    <m/>
    <m/>
    <x v="6"/>
    <m/>
    <n v="5.3205479452054796"/>
    <n v="3"/>
  </r>
  <r>
    <n v="9942"/>
    <s v="صبحيه ابراهيم فارس إبراهيم"/>
    <x v="0"/>
    <d v="2016-12-01T00:00:00"/>
    <d v="2021-02-04T00:00:00"/>
    <n v="5"/>
    <n v="4"/>
    <n v="4"/>
    <n v="3"/>
    <n v="3"/>
    <n v="4"/>
    <n v="2"/>
    <n v="1"/>
    <n v="1"/>
    <n v="5"/>
    <m/>
    <m/>
    <m/>
    <m/>
    <x v="7"/>
    <m/>
    <n v="4.1808219178082195"/>
    <n v="2"/>
  </r>
  <r>
    <n v="6088"/>
    <s v="طارق محمد يونس العلمي"/>
    <x v="0"/>
    <d v="2015-06-08T00:00:00"/>
    <d v="2021-02-16T00:00:00"/>
    <n v="5"/>
    <n v="2"/>
    <n v="3"/>
    <n v="2"/>
    <n v="3"/>
    <n v="1"/>
    <n v="1"/>
    <n v="5"/>
    <n v="5"/>
    <n v="5"/>
    <m/>
    <m/>
    <m/>
    <m/>
    <x v="0"/>
    <m/>
    <n v="5.6986301369863011"/>
    <n v="2"/>
  </r>
  <r>
    <n v="6264"/>
    <s v="فارس بسام محمد هياجنه بطاينة"/>
    <x v="0"/>
    <d v="2015-10-02T00:00:00"/>
    <d v="2021-02-06T00:00:00"/>
    <n v="3"/>
    <n v="1"/>
    <n v="5"/>
    <n v="3"/>
    <n v="1"/>
    <n v="1"/>
    <n v="2"/>
    <n v="5"/>
    <n v="3"/>
    <n v="3"/>
    <m/>
    <m/>
    <m/>
    <m/>
    <x v="1"/>
    <m/>
    <n v="5.353424657534247"/>
    <n v="2"/>
  </r>
  <r>
    <n v="5587"/>
    <s v="آية أحمد احمد الدين"/>
    <x v="0"/>
    <d v="2011-09-20T00:00:00"/>
    <d v="2021-03-17T00:00:00"/>
    <n v="2"/>
    <n v="4"/>
    <n v="4"/>
    <n v="5"/>
    <n v="2"/>
    <n v="2"/>
    <n v="2"/>
    <n v="2"/>
    <n v="1"/>
    <n v="2"/>
    <m/>
    <m/>
    <m/>
    <m/>
    <x v="2"/>
    <m/>
    <n v="9.4958904109589035"/>
    <n v="3"/>
  </r>
  <r>
    <n v="5851"/>
    <s v="ماجد وائل محي عبيدات"/>
    <x v="0"/>
    <d v="2020-05-31T00:00:00"/>
    <d v="2021-03-20T00:00:00"/>
    <n v="2"/>
    <n v="4"/>
    <n v="3"/>
    <n v="5"/>
    <n v="4"/>
    <n v="3"/>
    <n v="2"/>
    <n v="2"/>
    <n v="5"/>
    <n v="2"/>
    <m/>
    <m/>
    <m/>
    <m/>
    <x v="3"/>
    <m/>
    <n v="0.80273972602739729"/>
    <n v="3"/>
  </r>
  <r>
    <n v="9991"/>
    <s v="اسيل زياد محمد الفاضل"/>
    <x v="0"/>
    <d v="2010-12-22T00:00:00"/>
    <d v="2021-04-01T00:00:00"/>
    <n v="5"/>
    <n v="3"/>
    <n v="1"/>
    <n v="5"/>
    <n v="4"/>
    <n v="5"/>
    <n v="2"/>
    <n v="2"/>
    <n v="1"/>
    <n v="2"/>
    <m/>
    <m/>
    <m/>
    <m/>
    <x v="4"/>
    <m/>
    <n v="10.282191780821918"/>
    <n v="4"/>
  </r>
  <r>
    <n v="3068"/>
    <s v="عبدالله ياسين محمد الغامدي"/>
    <x v="3"/>
    <d v="2013-06-13T00:00:00"/>
    <d v="2021-02-24T00:00:00"/>
    <n v="3"/>
    <n v="4"/>
    <n v="1"/>
    <n v="2"/>
    <n v="5"/>
    <n v="5"/>
    <n v="2"/>
    <n v="1"/>
    <n v="3"/>
    <n v="5"/>
    <m/>
    <m/>
    <m/>
    <m/>
    <x v="5"/>
    <m/>
    <n v="7.7068493150684931"/>
    <n v="2"/>
  </r>
  <r>
    <n v="1364"/>
    <s v="احمد عبدالرحمن مساعد الصمادى افتيحه"/>
    <x v="5"/>
    <d v="2011-03-05T00:00:00"/>
    <d v="2021-01-22T00:00:00"/>
    <n v="5"/>
    <n v="2"/>
    <n v="5"/>
    <n v="2"/>
    <n v="2"/>
    <n v="1"/>
    <n v="2"/>
    <n v="5"/>
    <n v="4"/>
    <n v="5"/>
    <m/>
    <m/>
    <m/>
    <m/>
    <x v="6"/>
    <m/>
    <n v="9.8931506849315074"/>
    <n v="1"/>
  </r>
  <r>
    <n v="9900"/>
    <s v="فاطمه سالم ابراهيم زكي"/>
    <x v="0"/>
    <d v="2017-03-01T00:00:00"/>
    <d v="2021-04-28T00:00:00"/>
    <n v="2"/>
    <n v="2"/>
    <n v="3"/>
    <n v="2"/>
    <n v="3"/>
    <n v="1"/>
    <n v="2"/>
    <n v="4"/>
    <n v="1"/>
    <n v="5"/>
    <m/>
    <m/>
    <m/>
    <m/>
    <x v="7"/>
    <m/>
    <n v="4.161643835616438"/>
    <n v="4"/>
  </r>
  <r>
    <n v="4349"/>
    <s v="مساعد حسين احمد العمرى"/>
    <x v="3"/>
    <d v="2020-07-15T00:00:00"/>
    <d v="2021-02-15T00:00:00"/>
    <n v="2"/>
    <n v="3"/>
    <n v="3"/>
    <n v="2"/>
    <n v="3"/>
    <n v="2"/>
    <n v="1"/>
    <n v="3"/>
    <n v="2"/>
    <n v="2"/>
    <m/>
    <m/>
    <m/>
    <m/>
    <x v="7"/>
    <m/>
    <n v="0.58904109589041098"/>
    <n v="2"/>
  </r>
  <r>
    <n v="2884"/>
    <s v="صهيب فخرى حسين الربضي مصطفى"/>
    <x v="0"/>
    <d v="2012-05-30T00:00:00"/>
    <d v="2021-01-30T00:00:00"/>
    <n v="5"/>
    <n v="2"/>
    <n v="4"/>
    <n v="1"/>
    <n v="2"/>
    <n v="5"/>
    <n v="2"/>
    <n v="2"/>
    <n v="3"/>
    <n v="2"/>
    <m/>
    <m/>
    <m/>
    <m/>
    <x v="0"/>
    <m/>
    <n v="8.6767123287671239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C71:D80" firstHeaderRow="1" firstDataRow="1" firstDataCol="1"/>
  <pivotFields count="23">
    <pivotField showAll="0"/>
    <pivotField dataField="1" showAll="0"/>
    <pivotField showAll="0"/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9">
        <item x="7"/>
        <item x="2"/>
        <item x="1"/>
        <item x="0"/>
        <item x="5"/>
        <item x="3"/>
        <item x="6"/>
        <item x="4"/>
        <item t="default"/>
      </items>
    </pivotField>
    <pivotField showAll="0"/>
    <pivotField numFmtId="164" showAll="0"/>
    <pivotField showAll="0"/>
  </pivotFields>
  <rowFields count="1">
    <field x="19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الإسم" fld="1" subtotal="count" baseField="0" baseItem="0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>
  <location ref="C57:D64" firstHeaderRow="1" firstDataRow="1" firstDataCol="1"/>
  <pivotFields count="23">
    <pivotField showAll="0"/>
    <pivotField dataField="1" showAll="0"/>
    <pivotField axis="axisRow" showAll="0">
      <items count="8">
        <item x="4"/>
        <item x="1"/>
        <item x="5"/>
        <item x="3"/>
        <item m="1" x="6"/>
        <item x="2"/>
        <item x="0"/>
        <item t="default"/>
      </items>
    </pivotField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4" showAll="0"/>
    <pivotField showAll="0"/>
  </pivotFields>
  <rowFields count="1">
    <field x="2"/>
  </rowFields>
  <rowItems count="7">
    <i>
      <x/>
    </i>
    <i>
      <x v="1"/>
    </i>
    <i>
      <x v="2"/>
    </i>
    <i>
      <x v="3"/>
    </i>
    <i>
      <x v="5"/>
    </i>
    <i>
      <x v="6"/>
    </i>
    <i t="grand">
      <x/>
    </i>
  </rowItems>
  <colItems count="1">
    <i/>
  </colItems>
  <dataFields count="1">
    <dataField name="Count of الإسم" fld="1" subtotal="count" baseField="0" baseItem="0"/>
  </dataField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Table3" displayName="Table3" ref="A1:W159" totalsRowShown="0" headerRowDxfId="15">
  <autoFilter ref="A1:W159"/>
  <tableColumns count="23">
    <tableColumn id="1" name="الرقم الوظيفي"/>
    <tableColumn id="2" name="الإسم"/>
    <tableColumn id="3" name="القسم"/>
    <tableColumn id="4" name="تاريخ المباشرة" dataDxfId="14"/>
    <tableColumn id="5" name="تاريخ المغادرة" dataDxfId="13"/>
    <tableColumn id="6" name="هل مكان العمل مناسب صحياً وعملياً ؟" dataDxfId="12"/>
    <tableColumn id="7" name="هل لديك إطلاع بالسياسات والأجراءات وهل ترى أنها مناسبة وعادلة؟" dataDxfId="11"/>
    <tableColumn id="8" name="هل  الرواتب المميزات الممنوحة لك جيدة وتكافئ وزن المهام المكلة إليك؟" dataDxfId="10"/>
    <tableColumn id="9" name="هل ترى أن الشركة تولي اهتماماً بالموظفين؟" dataDxfId="9"/>
    <tableColumn id="10" name="هل تلقيت الدعم المناسب من مديرك المباشر ؟" dataDxfId="8"/>
    <tableColumn id="11" name="كيف ترى توجهات الشركة الإستراتيجية وقدرتها على التغيير؟" dataDxfId="7"/>
    <tableColumn id="12" name="هل تلقيت التدريب المناسب؟" dataDxfId="6"/>
    <tableColumn id="13" name="هل كان لديك وضوح تام بالمهام والمسؤوليات الموكلة إليك ؟" dataDxfId="5"/>
    <tableColumn id="14" name="هل حصلت على فرصة الزيادة والترقية بطريقة عادلة ومنصفة ؟" dataDxfId="4"/>
    <tableColumn id="15" name="مدى التعاون والعلاقات البنائة بين فريق العمل." dataDxfId="3"/>
    <tableColumn id="16" name="ما هو أكثر شيء أعجبك في العمل مع الشركة ؟"/>
    <tableColumn id="17" name="ما هو أكثر شيء لم يعجبك في العمل مع الشركة ؟"/>
    <tableColumn id="18" name="ماذا تقترح لتطوير بيئة العمل في قسمك"/>
    <tableColumn id="19" name="ماذا تقترح لتطوير بيئة العمل في الشركة"/>
    <tableColumn id="20" name="ما هو السبب الفعلي الذي جعلك تترك تغادر الشركة"/>
    <tableColumn id="21" name="أسباب أخرى"/>
    <tableColumn id="22" name="العمر بالشركة" dataCellStyle="Comma"/>
    <tableColumn id="23" name="Month" dataDxfId="2"/>
  </tableColumns>
  <tableStyleInfo name="TableStyleLight1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N829" totalsRowShown="0">
  <autoFilter ref="A1:N829"/>
  <tableColumns count="14">
    <tableColumn id="1" name="الرقم الوظيفي"/>
    <tableColumn id="2" name="الإسم"/>
    <tableColumn id="3" name="الجنسية"/>
    <tableColumn id="4" name="تاريخ الميلاد" dataDxfId="1"/>
    <tableColumn id="5" name="تاريخ المباشرة" dataDxfId="0"/>
    <tableColumn id="6" name="الوظيفة"/>
    <tableColumn id="7" name="القسم"/>
    <tableColumn id="8" name="رقم الجوال"/>
    <tableColumn id="9" name="رقم الهوية"/>
    <tableColumn id="10" name="الأساسي"/>
    <tableColumn id="11" name="بدل السكن"/>
    <tableColumn id="12" name="بدل النقل"/>
    <tableColumn id="13" name="الإجمالي"/>
    <tableColumn id="14" name="تقييم الأداء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etropolitan">
  <a:themeElements>
    <a:clrScheme name="Metropolitan">
      <a:dk1>
        <a:sysClr val="windowText" lastClr="000000"/>
      </a:dk1>
      <a:lt1>
        <a:sysClr val="window" lastClr="FFFFFF"/>
      </a:lt1>
      <a:dk2>
        <a:srgbClr val="162F33"/>
      </a:dk2>
      <a:lt2>
        <a:srgbClr val="EAF0E0"/>
      </a:lt2>
      <a:accent1>
        <a:srgbClr val="50B4C8"/>
      </a:accent1>
      <a:accent2>
        <a:srgbClr val="A8B97F"/>
      </a:accent2>
      <a:accent3>
        <a:srgbClr val="9B9256"/>
      </a:accent3>
      <a:accent4>
        <a:srgbClr val="657689"/>
      </a:accent4>
      <a:accent5>
        <a:srgbClr val="7A855D"/>
      </a:accent5>
      <a:accent6>
        <a:srgbClr val="84AC9D"/>
      </a:accent6>
      <a:hlink>
        <a:srgbClr val="2370CD"/>
      </a:hlink>
      <a:folHlink>
        <a:srgbClr val="877589"/>
      </a:folHlink>
    </a:clrScheme>
    <a:fontScheme name="Metropolitan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Metropolitan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00000"/>
                <a:lumMod val="110000"/>
              </a:schemeClr>
            </a:gs>
            <a:gs pos="50000">
              <a:schemeClr val="phClr">
                <a:tint val="75000"/>
                <a:satMod val="101000"/>
                <a:lumMod val="105000"/>
              </a:schemeClr>
            </a:gs>
            <a:gs pos="100000">
              <a:schemeClr val="phClr">
                <a:tint val="82000"/>
                <a:satMod val="104000"/>
                <a:lumMod val="105000"/>
              </a:schemeClr>
            </a:gs>
          </a:gsLst>
          <a:lin ang="2700000" scaled="0"/>
        </a:gradFill>
        <a:gradFill rotWithShape="1">
          <a:gsLst>
            <a:gs pos="0">
              <a:schemeClr val="phClr">
                <a:tint val="97000"/>
                <a:satMod val="100000"/>
                <a:lumMod val="102000"/>
              </a:schemeClr>
            </a:gs>
            <a:gs pos="50000">
              <a:schemeClr val="phClr">
                <a:shade val="100000"/>
                <a:satMod val="100000"/>
                <a:lumMod val="100000"/>
              </a:schemeClr>
            </a:gs>
            <a:gs pos="100000">
              <a:schemeClr val="phClr">
                <a:shade val="80000"/>
                <a:satMod val="100000"/>
                <a:lumMod val="99000"/>
              </a:schemeClr>
            </a:gs>
          </a:gsLst>
          <a:lin ang="27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solidFill>
          <a:schemeClr val="phClr">
            <a:shade val="95000"/>
            <a:satMod val="170000"/>
          </a:schemeClr>
        </a:soli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Metropolitan" id="{4C5440D6-04D2-4954-96CF-F251137069B2}" vid="{79CFCA13-9412-4290-BB4B-85112F88857B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2:AO53"/>
  <sheetViews>
    <sheetView showGridLines="0" rightToLeft="1" workbookViewId="0">
      <selection activeCell="AO46" sqref="AO46"/>
    </sheetView>
  </sheetViews>
  <sheetFormatPr defaultColWidth="5.5703125" defaultRowHeight="15" x14ac:dyDescent="0.25"/>
  <cols>
    <col min="5" max="5" width="1.28515625" customWidth="1"/>
    <col min="35" max="35" width="1.28515625" customWidth="1"/>
  </cols>
  <sheetData>
    <row r="2" spans="5:35" x14ac:dyDescent="0.25">
      <c r="E2" s="33" t="s">
        <v>43</v>
      </c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</row>
    <row r="3" spans="5:35" ht="27" customHeight="1" thickBot="1" x14ac:dyDescent="0.3"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</row>
    <row r="4" spans="5:35" ht="21" customHeight="1" x14ac:dyDescent="0.25">
      <c r="E4" s="86" t="s">
        <v>10</v>
      </c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87"/>
      <c r="AH4" s="87"/>
      <c r="AI4" s="88"/>
    </row>
    <row r="5" spans="5:35" ht="5.25" customHeight="1" x14ac:dyDescent="0.25">
      <c r="E5" s="12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13"/>
    </row>
    <row r="6" spans="5:35" x14ac:dyDescent="0.25">
      <c r="E6" s="14"/>
      <c r="F6" s="76" t="s">
        <v>0</v>
      </c>
      <c r="G6" s="77"/>
      <c r="H6" s="94"/>
      <c r="I6" s="82"/>
      <c r="J6" s="8"/>
      <c r="K6" s="76" t="s">
        <v>2</v>
      </c>
      <c r="L6" s="77"/>
      <c r="M6" s="94" t="str">
        <f>IFERROR(VLOOKUP(H6,Table2[],2,0),"")</f>
        <v/>
      </c>
      <c r="N6" s="81"/>
      <c r="O6" s="81"/>
      <c r="P6" s="82"/>
      <c r="Q6" s="8"/>
      <c r="R6" s="76" t="s">
        <v>4</v>
      </c>
      <c r="S6" s="77"/>
      <c r="T6" s="94" t="str">
        <f>IFERROR(VLOOKUP(H6,Table2[],7,0),"")</f>
        <v/>
      </c>
      <c r="U6" s="81"/>
      <c r="V6" s="82"/>
      <c r="W6" s="8"/>
      <c r="X6" s="76" t="s">
        <v>6</v>
      </c>
      <c r="Y6" s="77"/>
      <c r="Z6" s="80" t="str">
        <f>IFERROR(VLOOKUP(H6,Table2[],5,0),"")</f>
        <v/>
      </c>
      <c r="AA6" s="89"/>
      <c r="AB6" s="90"/>
      <c r="AC6" s="8"/>
      <c r="AD6" s="76" t="s">
        <v>8</v>
      </c>
      <c r="AE6" s="77"/>
      <c r="AF6" s="80"/>
      <c r="AG6" s="81"/>
      <c r="AH6" s="82"/>
      <c r="AI6" s="15"/>
    </row>
    <row r="7" spans="5:35" x14ac:dyDescent="0.25">
      <c r="E7" s="14"/>
      <c r="F7" s="78" t="s">
        <v>1</v>
      </c>
      <c r="G7" s="79"/>
      <c r="H7" s="83"/>
      <c r="I7" s="85"/>
      <c r="J7" s="8"/>
      <c r="K7" s="78" t="s">
        <v>3</v>
      </c>
      <c r="L7" s="79"/>
      <c r="M7" s="83"/>
      <c r="N7" s="84"/>
      <c r="O7" s="84"/>
      <c r="P7" s="85"/>
      <c r="Q7" s="8"/>
      <c r="R7" s="78" t="s">
        <v>5</v>
      </c>
      <c r="S7" s="79"/>
      <c r="T7" s="83"/>
      <c r="U7" s="84"/>
      <c r="V7" s="85"/>
      <c r="W7" s="8"/>
      <c r="X7" s="78" t="s">
        <v>7</v>
      </c>
      <c r="Y7" s="79"/>
      <c r="Z7" s="91"/>
      <c r="AA7" s="92"/>
      <c r="AB7" s="93"/>
      <c r="AC7" s="8"/>
      <c r="AD7" s="78" t="s">
        <v>9</v>
      </c>
      <c r="AE7" s="79"/>
      <c r="AF7" s="83"/>
      <c r="AG7" s="84"/>
      <c r="AH7" s="85"/>
      <c r="AI7" s="15"/>
    </row>
    <row r="8" spans="5:35" ht="5.25" customHeight="1" x14ac:dyDescent="0.25">
      <c r="E8" s="1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17"/>
    </row>
    <row r="9" spans="5:35" x14ac:dyDescent="0.25">
      <c r="E9" s="14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15"/>
    </row>
    <row r="10" spans="5:35" ht="29.25" customHeight="1" x14ac:dyDescent="0.25">
      <c r="E10" s="14"/>
      <c r="F10" s="74" t="s">
        <v>11</v>
      </c>
      <c r="G10" s="74"/>
      <c r="H10" s="74"/>
      <c r="I10" s="74"/>
      <c r="J10" s="74"/>
      <c r="K10" s="74"/>
      <c r="L10" s="74"/>
      <c r="M10" s="75" t="s">
        <v>12</v>
      </c>
      <c r="N10" s="75"/>
      <c r="O10" s="75"/>
      <c r="P10" s="75"/>
      <c r="Q10" s="75"/>
      <c r="R10" s="75"/>
      <c r="S10" s="75"/>
      <c r="T10" s="8"/>
      <c r="U10" s="45" t="s">
        <v>23</v>
      </c>
      <c r="V10" s="45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 t="s">
        <v>24</v>
      </c>
      <c r="AI10" s="15"/>
    </row>
    <row r="11" spans="5:35" x14ac:dyDescent="0.25">
      <c r="E11" s="14"/>
      <c r="F11" s="1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2"/>
      <c r="T11" s="8"/>
      <c r="U11" s="1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2"/>
      <c r="AI11" s="15"/>
    </row>
    <row r="12" spans="5:35" x14ac:dyDescent="0.25">
      <c r="E12" s="14"/>
      <c r="F12" s="7"/>
      <c r="G12" s="49"/>
      <c r="H12" s="51" t="s">
        <v>13</v>
      </c>
      <c r="I12" s="52"/>
      <c r="J12" s="52"/>
      <c r="K12" s="52"/>
      <c r="L12" s="52"/>
      <c r="M12" s="52"/>
      <c r="N12" s="52"/>
      <c r="O12" s="52"/>
      <c r="P12" s="52"/>
      <c r="Q12" s="52"/>
      <c r="R12" s="53"/>
      <c r="S12" s="9"/>
      <c r="T12" s="8"/>
      <c r="U12" s="7"/>
      <c r="V12" s="35" t="s">
        <v>25</v>
      </c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9"/>
      <c r="AI12" s="15"/>
    </row>
    <row r="13" spans="5:35" x14ac:dyDescent="0.25">
      <c r="E13" s="14"/>
      <c r="F13" s="7"/>
      <c r="G13" s="50"/>
      <c r="H13" s="46" t="s">
        <v>44</v>
      </c>
      <c r="I13" s="47"/>
      <c r="J13" s="47"/>
      <c r="K13" s="47"/>
      <c r="L13" s="47"/>
      <c r="M13" s="47"/>
      <c r="N13" s="47"/>
      <c r="O13" s="47"/>
      <c r="P13" s="47"/>
      <c r="Q13" s="47"/>
      <c r="R13" s="48"/>
      <c r="S13" s="9"/>
      <c r="T13" s="8"/>
      <c r="U13" s="7"/>
      <c r="V13" s="35" t="s">
        <v>28</v>
      </c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9"/>
      <c r="AI13" s="15"/>
    </row>
    <row r="14" spans="5:35" ht="6.75" customHeight="1" x14ac:dyDescent="0.25">
      <c r="E14" s="14"/>
      <c r="F14" s="7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9"/>
      <c r="T14" s="8"/>
      <c r="U14" s="7"/>
      <c r="V14" s="36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8"/>
      <c r="AH14" s="9"/>
      <c r="AI14" s="15"/>
    </row>
    <row r="15" spans="5:35" x14ac:dyDescent="0.25">
      <c r="E15" s="14"/>
      <c r="F15" s="7"/>
      <c r="G15" s="49"/>
      <c r="H15" s="51" t="s">
        <v>14</v>
      </c>
      <c r="I15" s="52"/>
      <c r="J15" s="52"/>
      <c r="K15" s="52"/>
      <c r="L15" s="52"/>
      <c r="M15" s="52"/>
      <c r="N15" s="52"/>
      <c r="O15" s="52"/>
      <c r="P15" s="52"/>
      <c r="Q15" s="52"/>
      <c r="R15" s="53"/>
      <c r="S15" s="9"/>
      <c r="T15" s="8"/>
      <c r="U15" s="7"/>
      <c r="V15" s="39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1"/>
      <c r="AH15" s="9"/>
      <c r="AI15" s="15"/>
    </row>
    <row r="16" spans="5:35" x14ac:dyDescent="0.25">
      <c r="E16" s="14"/>
      <c r="F16" s="7"/>
      <c r="G16" s="50"/>
      <c r="H16" s="46" t="s">
        <v>45</v>
      </c>
      <c r="I16" s="47"/>
      <c r="J16" s="47"/>
      <c r="K16" s="47"/>
      <c r="L16" s="47"/>
      <c r="M16" s="47"/>
      <c r="N16" s="47"/>
      <c r="O16" s="47"/>
      <c r="P16" s="47"/>
      <c r="Q16" s="47"/>
      <c r="R16" s="48"/>
      <c r="S16" s="9"/>
      <c r="T16" s="8"/>
      <c r="U16" s="7"/>
      <c r="V16" s="42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4"/>
      <c r="AH16" s="9"/>
      <c r="AI16" s="15"/>
    </row>
    <row r="17" spans="5:35" ht="6.75" customHeight="1" x14ac:dyDescent="0.25">
      <c r="E17" s="14"/>
      <c r="F17" s="7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9"/>
      <c r="T17" s="8"/>
      <c r="U17" s="7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9"/>
      <c r="AI17" s="15"/>
    </row>
    <row r="18" spans="5:35" x14ac:dyDescent="0.25">
      <c r="E18" s="14"/>
      <c r="F18" s="7"/>
      <c r="G18" s="49"/>
      <c r="H18" s="51" t="s">
        <v>15</v>
      </c>
      <c r="I18" s="52"/>
      <c r="J18" s="52"/>
      <c r="K18" s="52"/>
      <c r="L18" s="52"/>
      <c r="M18" s="52"/>
      <c r="N18" s="52"/>
      <c r="O18" s="52"/>
      <c r="P18" s="52"/>
      <c r="Q18" s="52"/>
      <c r="R18" s="53"/>
      <c r="S18" s="9"/>
      <c r="T18" s="8"/>
      <c r="U18" s="7"/>
      <c r="V18" s="35" t="s">
        <v>26</v>
      </c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9"/>
      <c r="AI18" s="15"/>
    </row>
    <row r="19" spans="5:35" x14ac:dyDescent="0.25">
      <c r="E19" s="14"/>
      <c r="F19" s="7"/>
      <c r="G19" s="50"/>
      <c r="H19" s="46" t="s">
        <v>46</v>
      </c>
      <c r="I19" s="47"/>
      <c r="J19" s="47"/>
      <c r="K19" s="47"/>
      <c r="L19" s="47"/>
      <c r="M19" s="47"/>
      <c r="N19" s="47"/>
      <c r="O19" s="47"/>
      <c r="P19" s="47"/>
      <c r="Q19" s="47"/>
      <c r="R19" s="48"/>
      <c r="S19" s="9"/>
      <c r="T19" s="8"/>
      <c r="U19" s="7"/>
      <c r="V19" s="35" t="s">
        <v>27</v>
      </c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9"/>
      <c r="AI19" s="15"/>
    </row>
    <row r="20" spans="5:35" ht="6.75" customHeight="1" x14ac:dyDescent="0.25">
      <c r="E20" s="14"/>
      <c r="F20" s="7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9"/>
      <c r="T20" s="8"/>
      <c r="U20" s="7"/>
      <c r="V20" s="36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8"/>
      <c r="AH20" s="9"/>
      <c r="AI20" s="15"/>
    </row>
    <row r="21" spans="5:35" x14ac:dyDescent="0.25">
      <c r="E21" s="14"/>
      <c r="F21" s="7"/>
      <c r="G21" s="49"/>
      <c r="H21" s="51" t="s">
        <v>16</v>
      </c>
      <c r="I21" s="52"/>
      <c r="J21" s="52"/>
      <c r="K21" s="52"/>
      <c r="L21" s="52"/>
      <c r="M21" s="52"/>
      <c r="N21" s="52"/>
      <c r="O21" s="52"/>
      <c r="P21" s="52"/>
      <c r="Q21" s="52"/>
      <c r="R21" s="53"/>
      <c r="S21" s="9"/>
      <c r="T21" s="8"/>
      <c r="U21" s="7"/>
      <c r="V21" s="39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1"/>
      <c r="AH21" s="9"/>
      <c r="AI21" s="15"/>
    </row>
    <row r="22" spans="5:35" x14ac:dyDescent="0.25">
      <c r="E22" s="14"/>
      <c r="F22" s="7"/>
      <c r="G22" s="50"/>
      <c r="H22" s="46" t="s">
        <v>47</v>
      </c>
      <c r="I22" s="47"/>
      <c r="J22" s="47"/>
      <c r="K22" s="47"/>
      <c r="L22" s="47"/>
      <c r="M22" s="47"/>
      <c r="N22" s="47"/>
      <c r="O22" s="47"/>
      <c r="P22" s="47"/>
      <c r="Q22" s="47"/>
      <c r="R22" s="48"/>
      <c r="S22" s="9"/>
      <c r="T22" s="8"/>
      <c r="U22" s="7"/>
      <c r="V22" s="42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4"/>
      <c r="AH22" s="9"/>
      <c r="AI22" s="15"/>
    </row>
    <row r="23" spans="5:35" ht="6.75" customHeight="1" x14ac:dyDescent="0.25">
      <c r="E23" s="14"/>
      <c r="F23" s="7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9"/>
      <c r="T23" s="8"/>
      <c r="U23" s="7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9"/>
      <c r="AI23" s="15"/>
    </row>
    <row r="24" spans="5:35" x14ac:dyDescent="0.25">
      <c r="E24" s="14"/>
      <c r="F24" s="7"/>
      <c r="G24" s="49"/>
      <c r="H24" s="51" t="s">
        <v>17</v>
      </c>
      <c r="I24" s="52"/>
      <c r="J24" s="52"/>
      <c r="K24" s="52"/>
      <c r="L24" s="52"/>
      <c r="M24" s="52"/>
      <c r="N24" s="52"/>
      <c r="O24" s="52"/>
      <c r="P24" s="52"/>
      <c r="Q24" s="52"/>
      <c r="R24" s="53"/>
      <c r="S24" s="9"/>
      <c r="T24" s="8"/>
      <c r="U24" s="7"/>
      <c r="V24" s="35" t="s">
        <v>29</v>
      </c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9"/>
      <c r="AI24" s="15"/>
    </row>
    <row r="25" spans="5:35" x14ac:dyDescent="0.25">
      <c r="E25" s="14"/>
      <c r="F25" s="7"/>
      <c r="G25" s="50"/>
      <c r="H25" s="46" t="s">
        <v>48</v>
      </c>
      <c r="I25" s="47"/>
      <c r="J25" s="47"/>
      <c r="K25" s="47"/>
      <c r="L25" s="47"/>
      <c r="M25" s="47"/>
      <c r="N25" s="47"/>
      <c r="O25" s="47"/>
      <c r="P25" s="47"/>
      <c r="Q25" s="47"/>
      <c r="R25" s="48"/>
      <c r="S25" s="9"/>
      <c r="T25" s="8"/>
      <c r="U25" s="7"/>
      <c r="V25" s="35" t="s">
        <v>30</v>
      </c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9"/>
      <c r="AI25" s="15"/>
    </row>
    <row r="26" spans="5:35" ht="6.75" customHeight="1" x14ac:dyDescent="0.25">
      <c r="E26" s="14"/>
      <c r="F26" s="7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9"/>
      <c r="T26" s="8"/>
      <c r="U26" s="7"/>
      <c r="V26" s="36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8"/>
      <c r="AH26" s="9"/>
      <c r="AI26" s="15"/>
    </row>
    <row r="27" spans="5:35" x14ac:dyDescent="0.25">
      <c r="E27" s="14"/>
      <c r="F27" s="7"/>
      <c r="G27" s="49"/>
      <c r="H27" s="51" t="s">
        <v>18</v>
      </c>
      <c r="I27" s="52"/>
      <c r="J27" s="52"/>
      <c r="K27" s="52"/>
      <c r="L27" s="52"/>
      <c r="M27" s="52"/>
      <c r="N27" s="52"/>
      <c r="O27" s="52"/>
      <c r="P27" s="52"/>
      <c r="Q27" s="52"/>
      <c r="R27" s="53"/>
      <c r="S27" s="9"/>
      <c r="T27" s="8"/>
      <c r="U27" s="7"/>
      <c r="V27" s="39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1"/>
      <c r="AH27" s="9"/>
      <c r="AI27" s="15"/>
    </row>
    <row r="28" spans="5:35" x14ac:dyDescent="0.25">
      <c r="E28" s="14"/>
      <c r="F28" s="7"/>
      <c r="G28" s="50"/>
      <c r="H28" s="46" t="s">
        <v>49</v>
      </c>
      <c r="I28" s="47"/>
      <c r="J28" s="47"/>
      <c r="K28" s="47"/>
      <c r="L28" s="47"/>
      <c r="M28" s="47"/>
      <c r="N28" s="47"/>
      <c r="O28" s="47"/>
      <c r="P28" s="47"/>
      <c r="Q28" s="47"/>
      <c r="R28" s="48"/>
      <c r="S28" s="9"/>
      <c r="T28" s="8"/>
      <c r="U28" s="7"/>
      <c r="V28" s="42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4"/>
      <c r="AH28" s="9"/>
      <c r="AI28" s="15"/>
    </row>
    <row r="29" spans="5:35" ht="6.75" customHeight="1" x14ac:dyDescent="0.25">
      <c r="E29" s="14"/>
      <c r="F29" s="7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9"/>
      <c r="T29" s="8"/>
      <c r="U29" s="7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9"/>
      <c r="AI29" s="15"/>
    </row>
    <row r="30" spans="5:35" x14ac:dyDescent="0.25">
      <c r="E30" s="14"/>
      <c r="F30" s="7"/>
      <c r="G30" s="49"/>
      <c r="H30" s="51" t="s">
        <v>19</v>
      </c>
      <c r="I30" s="52"/>
      <c r="J30" s="52"/>
      <c r="K30" s="52"/>
      <c r="L30" s="52"/>
      <c r="M30" s="52"/>
      <c r="N30" s="52"/>
      <c r="O30" s="52"/>
      <c r="P30" s="52"/>
      <c r="Q30" s="52"/>
      <c r="R30" s="53"/>
      <c r="S30" s="9"/>
      <c r="T30" s="8"/>
      <c r="U30" s="7"/>
      <c r="V30" s="35" t="s">
        <v>32</v>
      </c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9"/>
      <c r="AI30" s="15"/>
    </row>
    <row r="31" spans="5:35" x14ac:dyDescent="0.25">
      <c r="E31" s="14"/>
      <c r="F31" s="7"/>
      <c r="G31" s="50"/>
      <c r="H31" s="46" t="s">
        <v>50</v>
      </c>
      <c r="I31" s="47"/>
      <c r="J31" s="47"/>
      <c r="K31" s="47"/>
      <c r="L31" s="47"/>
      <c r="M31" s="47"/>
      <c r="N31" s="47"/>
      <c r="O31" s="47"/>
      <c r="P31" s="47"/>
      <c r="Q31" s="47"/>
      <c r="R31" s="48"/>
      <c r="S31" s="9"/>
      <c r="T31" s="8"/>
      <c r="U31" s="7"/>
      <c r="V31" s="35" t="s">
        <v>31</v>
      </c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9"/>
      <c r="AI31" s="15"/>
    </row>
    <row r="32" spans="5:35" ht="6.75" customHeight="1" x14ac:dyDescent="0.25">
      <c r="E32" s="14"/>
      <c r="F32" s="7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9"/>
      <c r="T32" s="8"/>
      <c r="U32" s="7"/>
      <c r="V32" s="36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8"/>
      <c r="AH32" s="9"/>
      <c r="AI32" s="15"/>
    </row>
    <row r="33" spans="5:41" x14ac:dyDescent="0.25">
      <c r="E33" s="14"/>
      <c r="F33" s="7"/>
      <c r="G33" s="49"/>
      <c r="H33" s="51" t="s">
        <v>20</v>
      </c>
      <c r="I33" s="52"/>
      <c r="J33" s="52"/>
      <c r="K33" s="52"/>
      <c r="L33" s="52"/>
      <c r="M33" s="52"/>
      <c r="N33" s="52"/>
      <c r="O33" s="52"/>
      <c r="P33" s="52"/>
      <c r="Q33" s="52"/>
      <c r="R33" s="53"/>
      <c r="S33" s="9"/>
      <c r="T33" s="8"/>
      <c r="U33" s="7"/>
      <c r="V33" s="39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1"/>
      <c r="AH33" s="9"/>
      <c r="AI33" s="15"/>
    </row>
    <row r="34" spans="5:41" x14ac:dyDescent="0.25">
      <c r="E34" s="14"/>
      <c r="F34" s="7"/>
      <c r="G34" s="50"/>
      <c r="H34" s="46" t="s">
        <v>51</v>
      </c>
      <c r="I34" s="47"/>
      <c r="J34" s="47"/>
      <c r="K34" s="47"/>
      <c r="L34" s="47"/>
      <c r="M34" s="47"/>
      <c r="N34" s="47"/>
      <c r="O34" s="47"/>
      <c r="P34" s="47"/>
      <c r="Q34" s="47"/>
      <c r="R34" s="48"/>
      <c r="S34" s="9"/>
      <c r="T34" s="8"/>
      <c r="U34" s="7"/>
      <c r="V34" s="42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4"/>
      <c r="AH34" s="9"/>
      <c r="AI34" s="15"/>
    </row>
    <row r="35" spans="5:41" ht="6.75" customHeight="1" x14ac:dyDescent="0.25">
      <c r="E35" s="14"/>
      <c r="F35" s="7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9"/>
      <c r="T35" s="8"/>
      <c r="U35" s="7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9"/>
      <c r="AI35" s="15"/>
    </row>
    <row r="36" spans="5:41" x14ac:dyDescent="0.25">
      <c r="E36" s="14"/>
      <c r="F36" s="7"/>
      <c r="G36" s="49"/>
      <c r="H36" s="51" t="s">
        <v>21</v>
      </c>
      <c r="I36" s="52"/>
      <c r="J36" s="52"/>
      <c r="K36" s="52"/>
      <c r="L36" s="52"/>
      <c r="M36" s="52"/>
      <c r="N36" s="52"/>
      <c r="O36" s="52"/>
      <c r="P36" s="52"/>
      <c r="Q36" s="52"/>
      <c r="R36" s="53"/>
      <c r="S36" s="9"/>
      <c r="T36" s="8"/>
      <c r="U36" s="7"/>
      <c r="V36" s="35" t="s">
        <v>103</v>
      </c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9"/>
      <c r="AI36" s="15"/>
    </row>
    <row r="37" spans="5:41" x14ac:dyDescent="0.25">
      <c r="E37" s="14"/>
      <c r="F37" s="7"/>
      <c r="G37" s="50"/>
      <c r="H37" s="46" t="s">
        <v>52</v>
      </c>
      <c r="I37" s="47"/>
      <c r="J37" s="47"/>
      <c r="K37" s="47"/>
      <c r="L37" s="47"/>
      <c r="M37" s="47"/>
      <c r="N37" s="47"/>
      <c r="O37" s="47"/>
      <c r="P37" s="47"/>
      <c r="Q37" s="47"/>
      <c r="R37" s="48"/>
      <c r="S37" s="9"/>
      <c r="T37" s="8"/>
      <c r="U37" s="7"/>
      <c r="V37" s="35" t="s">
        <v>31</v>
      </c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9"/>
      <c r="AI37" s="15"/>
    </row>
    <row r="38" spans="5:41" ht="6.75" customHeight="1" x14ac:dyDescent="0.25">
      <c r="E38" s="14"/>
      <c r="F38" s="7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9"/>
      <c r="T38" s="8"/>
      <c r="U38" s="7"/>
      <c r="V38" s="54"/>
      <c r="W38" s="55"/>
      <c r="X38" s="55"/>
      <c r="Y38" s="55"/>
      <c r="Z38" s="56"/>
      <c r="AA38" s="10"/>
      <c r="AB38" s="10"/>
      <c r="AC38" s="10"/>
      <c r="AD38" s="65"/>
      <c r="AE38" s="66"/>
      <c r="AF38" s="66"/>
      <c r="AG38" s="67"/>
      <c r="AH38" s="9"/>
      <c r="AI38" s="15"/>
    </row>
    <row r="39" spans="5:41" x14ac:dyDescent="0.25">
      <c r="E39" s="14"/>
      <c r="F39" s="7"/>
      <c r="G39" s="49"/>
      <c r="H39" s="51" t="s">
        <v>22</v>
      </c>
      <c r="I39" s="52"/>
      <c r="J39" s="52"/>
      <c r="K39" s="52"/>
      <c r="L39" s="52"/>
      <c r="M39" s="52"/>
      <c r="N39" s="52"/>
      <c r="O39" s="52"/>
      <c r="P39" s="52"/>
      <c r="Q39" s="52"/>
      <c r="R39" s="53"/>
      <c r="S39" s="9"/>
      <c r="T39" s="8"/>
      <c r="U39" s="7"/>
      <c r="V39" s="57"/>
      <c r="W39" s="58"/>
      <c r="X39" s="58"/>
      <c r="Y39" s="58"/>
      <c r="Z39" s="59"/>
      <c r="AA39" s="63" t="s">
        <v>42</v>
      </c>
      <c r="AB39" s="64"/>
      <c r="AC39" s="64"/>
      <c r="AD39" s="68"/>
      <c r="AE39" s="69"/>
      <c r="AF39" s="69"/>
      <c r="AG39" s="70"/>
      <c r="AH39" s="9"/>
      <c r="AI39" s="15"/>
    </row>
    <row r="40" spans="5:41" x14ac:dyDescent="0.25">
      <c r="E40" s="14"/>
      <c r="F40" s="7"/>
      <c r="G40" s="50"/>
      <c r="H40" s="46" t="s">
        <v>53</v>
      </c>
      <c r="I40" s="47"/>
      <c r="J40" s="47"/>
      <c r="K40" s="47"/>
      <c r="L40" s="47"/>
      <c r="M40" s="47"/>
      <c r="N40" s="47"/>
      <c r="O40" s="47"/>
      <c r="P40" s="47"/>
      <c r="Q40" s="47"/>
      <c r="R40" s="48"/>
      <c r="S40" s="9"/>
      <c r="T40" s="8"/>
      <c r="U40" s="7"/>
      <c r="V40" s="60"/>
      <c r="W40" s="61"/>
      <c r="X40" s="61"/>
      <c r="Y40" s="61"/>
      <c r="Z40" s="62"/>
      <c r="AA40" s="11"/>
      <c r="AB40" s="11"/>
      <c r="AC40" s="11"/>
      <c r="AD40" s="71"/>
      <c r="AE40" s="72"/>
      <c r="AF40" s="72"/>
      <c r="AG40" s="73"/>
      <c r="AH40" s="9"/>
      <c r="AI40" s="15"/>
    </row>
    <row r="41" spans="5:41" x14ac:dyDescent="0.25">
      <c r="E41" s="14"/>
      <c r="F41" s="3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4"/>
      <c r="T41" s="8"/>
      <c r="U41" s="3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4"/>
      <c r="AI41" s="15"/>
    </row>
    <row r="42" spans="5:41" ht="15.75" thickBot="1" x14ac:dyDescent="0.3">
      <c r="E42" s="18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20"/>
    </row>
    <row r="46" spans="5:41" x14ac:dyDescent="0.25">
      <c r="AO46" t="s">
        <v>40</v>
      </c>
    </row>
    <row r="47" spans="5:41" x14ac:dyDescent="0.25">
      <c r="AO47" t="s">
        <v>34</v>
      </c>
    </row>
    <row r="48" spans="5:41" x14ac:dyDescent="0.25">
      <c r="AO48" t="s">
        <v>35</v>
      </c>
    </row>
    <row r="49" spans="41:41" x14ac:dyDescent="0.25">
      <c r="AO49" t="s">
        <v>36</v>
      </c>
    </row>
    <row r="50" spans="41:41" x14ac:dyDescent="0.25">
      <c r="AO50" t="s">
        <v>37</v>
      </c>
    </row>
    <row r="51" spans="41:41" x14ac:dyDescent="0.25">
      <c r="AO51" t="s">
        <v>41</v>
      </c>
    </row>
    <row r="52" spans="41:41" x14ac:dyDescent="0.25">
      <c r="AO52" t="s">
        <v>38</v>
      </c>
    </row>
    <row r="53" spans="41:41" x14ac:dyDescent="0.25">
      <c r="AO53" t="s">
        <v>39</v>
      </c>
    </row>
  </sheetData>
  <mergeCells count="67">
    <mergeCell ref="H13:R13"/>
    <mergeCell ref="G12:G13"/>
    <mergeCell ref="R6:S6"/>
    <mergeCell ref="R7:S7"/>
    <mergeCell ref="T6:V7"/>
    <mergeCell ref="F6:G6"/>
    <mergeCell ref="F7:G7"/>
    <mergeCell ref="H6:I7"/>
    <mergeCell ref="K6:L6"/>
    <mergeCell ref="K7:L7"/>
    <mergeCell ref="M6:P7"/>
    <mergeCell ref="AD6:AE6"/>
    <mergeCell ref="AD7:AE7"/>
    <mergeCell ref="AF6:AH7"/>
    <mergeCell ref="E4:AI4"/>
    <mergeCell ref="H12:R12"/>
    <mergeCell ref="X6:Y6"/>
    <mergeCell ref="X7:Y7"/>
    <mergeCell ref="Z6:AB7"/>
    <mergeCell ref="H25:R25"/>
    <mergeCell ref="G15:G16"/>
    <mergeCell ref="H15:R15"/>
    <mergeCell ref="H16:R16"/>
    <mergeCell ref="G18:G19"/>
    <mergeCell ref="H18:R18"/>
    <mergeCell ref="H19:R19"/>
    <mergeCell ref="G39:G40"/>
    <mergeCell ref="H39:R39"/>
    <mergeCell ref="H40:R40"/>
    <mergeCell ref="F10:L10"/>
    <mergeCell ref="M10:S10"/>
    <mergeCell ref="G33:G34"/>
    <mergeCell ref="H33:R33"/>
    <mergeCell ref="H34:R34"/>
    <mergeCell ref="G36:G37"/>
    <mergeCell ref="H36:R36"/>
    <mergeCell ref="H37:R37"/>
    <mergeCell ref="G27:G28"/>
    <mergeCell ref="H27:R27"/>
    <mergeCell ref="H28:R28"/>
    <mergeCell ref="G30:G31"/>
    <mergeCell ref="H30:R30"/>
    <mergeCell ref="V38:Z40"/>
    <mergeCell ref="AA39:AC39"/>
    <mergeCell ref="AD38:AG40"/>
    <mergeCell ref="V19:AG19"/>
    <mergeCell ref="V20:AG22"/>
    <mergeCell ref="V24:AG24"/>
    <mergeCell ref="V25:AG25"/>
    <mergeCell ref="V26:AG28"/>
    <mergeCell ref="V30:AG30"/>
    <mergeCell ref="E2:AI3"/>
    <mergeCell ref="V31:AG31"/>
    <mergeCell ref="V32:AG34"/>
    <mergeCell ref="V36:AG36"/>
    <mergeCell ref="V37:AG37"/>
    <mergeCell ref="U10:V10"/>
    <mergeCell ref="V12:AG12"/>
    <mergeCell ref="V13:AG13"/>
    <mergeCell ref="V14:AG16"/>
    <mergeCell ref="V18:AG18"/>
    <mergeCell ref="H31:R31"/>
    <mergeCell ref="G21:G22"/>
    <mergeCell ref="H21:R21"/>
    <mergeCell ref="H22:R22"/>
    <mergeCell ref="G24:G25"/>
    <mergeCell ref="H24:R24"/>
  </mergeCells>
  <conditionalFormatting sqref="AA39:AC39">
    <cfRule type="expression" dxfId="17" priority="2">
      <formula>$V$38&lt;&gt;"أخرى Other"</formula>
    </cfRule>
  </conditionalFormatting>
  <conditionalFormatting sqref="AD38:AG40">
    <cfRule type="expression" dxfId="16" priority="1">
      <formula>$V$38&lt;&gt;"أخرى Other"</formula>
    </cfRule>
  </conditionalFormatting>
  <dataValidations count="2">
    <dataValidation type="list" allowBlank="1" showInputMessage="1" showErrorMessage="1" sqref="V38:Z40">
      <formula1>$AO$46:$AO$53</formula1>
    </dataValidation>
    <dataValidation type="list" allowBlank="1" showInputMessage="1" showErrorMessage="1" sqref="G12:G13 G15:G16 G18:G19 G21:G22 G24:G25 G27:G28 G30:G31 G33:G34 G36:G37 G39:G40">
      <formula1>"1,2,3,4,5"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59"/>
  <sheetViews>
    <sheetView rightToLeft="1" topLeftCell="A4" workbookViewId="0">
      <selection activeCell="C15" sqref="C14:C15"/>
    </sheetView>
  </sheetViews>
  <sheetFormatPr defaultRowHeight="15" x14ac:dyDescent="0.25"/>
  <cols>
    <col min="1" max="1" width="12.28515625" customWidth="1"/>
    <col min="2" max="2" width="19" customWidth="1"/>
    <col min="3" max="3" width="13.140625" customWidth="1"/>
    <col min="4" max="4" width="13.5703125" customWidth="1"/>
    <col min="5" max="5" width="13.28515625" customWidth="1"/>
    <col min="6" max="20" width="14.140625" customWidth="1"/>
    <col min="23" max="23" width="10.7109375" bestFit="1" customWidth="1"/>
  </cols>
  <sheetData>
    <row r="1" spans="1:23" s="23" customFormat="1" ht="75" x14ac:dyDescent="0.25">
      <c r="A1" s="23" t="s">
        <v>0</v>
      </c>
      <c r="B1" s="23" t="s">
        <v>2</v>
      </c>
      <c r="C1" s="23" t="s">
        <v>4</v>
      </c>
      <c r="D1" s="23" t="s">
        <v>56</v>
      </c>
      <c r="E1" s="23" t="s">
        <v>70</v>
      </c>
      <c r="F1" s="23" t="s">
        <v>13</v>
      </c>
      <c r="G1" s="23" t="s">
        <v>14</v>
      </c>
      <c r="H1" s="23" t="s">
        <v>15</v>
      </c>
      <c r="I1" s="23" t="s">
        <v>16</v>
      </c>
      <c r="J1" s="23" t="s">
        <v>17</v>
      </c>
      <c r="K1" s="23" t="s">
        <v>18</v>
      </c>
      <c r="L1" s="23" t="s">
        <v>19</v>
      </c>
      <c r="M1" s="23" t="s">
        <v>20</v>
      </c>
      <c r="N1" s="23" t="s">
        <v>21</v>
      </c>
      <c r="O1" s="23" t="s">
        <v>22</v>
      </c>
      <c r="P1" s="23" t="s">
        <v>25</v>
      </c>
      <c r="Q1" s="23" t="s">
        <v>26</v>
      </c>
      <c r="R1" s="23" t="s">
        <v>29</v>
      </c>
      <c r="S1" s="23" t="s">
        <v>32</v>
      </c>
      <c r="T1" s="23" t="s">
        <v>33</v>
      </c>
      <c r="U1" s="23" t="s">
        <v>71</v>
      </c>
      <c r="V1" s="23" t="s">
        <v>81</v>
      </c>
      <c r="W1" s="23" t="s">
        <v>100</v>
      </c>
    </row>
    <row r="2" spans="1:23" x14ac:dyDescent="0.25">
      <c r="A2">
        <v>4029</v>
      </c>
      <c r="D2" s="22"/>
      <c r="E2" s="22"/>
      <c r="F2" s="24"/>
      <c r="G2" s="24"/>
      <c r="H2" s="24"/>
      <c r="I2" s="24"/>
      <c r="J2" s="24"/>
      <c r="K2" s="24"/>
      <c r="L2" s="24"/>
      <c r="M2" s="24"/>
      <c r="N2" s="24"/>
      <c r="O2" s="24"/>
      <c r="V2" s="31"/>
    </row>
    <row r="3" spans="1:23" x14ac:dyDescent="0.25">
      <c r="A3">
        <v>3645</v>
      </c>
      <c r="D3" s="22"/>
      <c r="E3" s="22"/>
      <c r="F3" s="24"/>
      <c r="G3" s="24"/>
      <c r="H3" s="24"/>
      <c r="I3" s="24"/>
      <c r="J3" s="24"/>
      <c r="K3" s="24"/>
      <c r="L3" s="24"/>
      <c r="M3" s="24"/>
      <c r="N3" s="24"/>
      <c r="O3" s="24"/>
      <c r="V3" s="31"/>
    </row>
    <row r="4" spans="1:23" x14ac:dyDescent="0.25">
      <c r="A4">
        <v>3747</v>
      </c>
      <c r="D4" s="22"/>
      <c r="E4" s="22"/>
      <c r="F4" s="24"/>
      <c r="G4" s="24"/>
      <c r="H4" s="24"/>
      <c r="I4" s="24"/>
      <c r="J4" s="24"/>
      <c r="K4" s="24"/>
      <c r="L4" s="24"/>
      <c r="M4" s="24"/>
      <c r="N4" s="24"/>
      <c r="O4" s="24"/>
      <c r="V4" s="31"/>
      <c r="W4" s="28"/>
    </row>
    <row r="5" spans="1:23" x14ac:dyDescent="0.25">
      <c r="A5">
        <v>4788</v>
      </c>
      <c r="D5" s="22"/>
      <c r="E5" s="22"/>
      <c r="F5" s="24"/>
      <c r="G5" s="24"/>
      <c r="H5" s="24"/>
      <c r="I5" s="24"/>
      <c r="J5" s="24"/>
      <c r="K5" s="24"/>
      <c r="L5" s="24"/>
      <c r="M5" s="24"/>
      <c r="N5" s="24"/>
      <c r="O5" s="24"/>
      <c r="V5" s="31"/>
      <c r="W5" s="28"/>
    </row>
    <row r="6" spans="1:23" x14ac:dyDescent="0.25">
      <c r="A6">
        <v>9719</v>
      </c>
      <c r="D6" s="22"/>
      <c r="E6" s="22"/>
      <c r="F6" s="24"/>
      <c r="G6" s="24"/>
      <c r="H6" s="24"/>
      <c r="I6" s="24"/>
      <c r="J6" s="24"/>
      <c r="K6" s="24"/>
      <c r="L6" s="24"/>
      <c r="M6" s="24"/>
      <c r="N6" s="24"/>
      <c r="O6" s="24"/>
      <c r="V6" s="31"/>
    </row>
    <row r="7" spans="1:23" x14ac:dyDescent="0.25">
      <c r="A7">
        <v>1217</v>
      </c>
      <c r="D7" s="22"/>
      <c r="E7" s="22"/>
      <c r="F7" s="24"/>
      <c r="G7" s="24"/>
      <c r="H7" s="24"/>
      <c r="I7" s="24"/>
      <c r="J7" s="24"/>
      <c r="K7" s="24"/>
      <c r="L7" s="24"/>
      <c r="M7" s="24"/>
      <c r="N7" s="24"/>
      <c r="O7" s="24"/>
      <c r="V7" s="31"/>
    </row>
    <row r="8" spans="1:23" x14ac:dyDescent="0.25">
      <c r="A8">
        <v>3444</v>
      </c>
      <c r="D8" s="22"/>
      <c r="E8" s="22"/>
      <c r="F8" s="24"/>
      <c r="G8" s="24"/>
      <c r="H8" s="24"/>
      <c r="I8" s="24"/>
      <c r="J8" s="24"/>
      <c r="K8" s="24"/>
      <c r="L8" s="24"/>
      <c r="M8" s="24"/>
      <c r="N8" s="24"/>
      <c r="O8" s="24"/>
      <c r="V8" s="31"/>
    </row>
    <row r="9" spans="1:23" x14ac:dyDescent="0.25">
      <c r="A9">
        <v>3497</v>
      </c>
      <c r="D9" s="22"/>
      <c r="E9" s="22"/>
      <c r="F9" s="24"/>
      <c r="G9" s="24"/>
      <c r="H9" s="24"/>
      <c r="I9" s="24"/>
      <c r="J9" s="24"/>
      <c r="K9" s="24"/>
      <c r="L9" s="24"/>
      <c r="M9" s="24"/>
      <c r="N9" s="24"/>
      <c r="O9" s="24"/>
      <c r="V9" s="31"/>
    </row>
    <row r="10" spans="1:23" x14ac:dyDescent="0.25">
      <c r="A10">
        <v>5412</v>
      </c>
      <c r="D10" s="22"/>
      <c r="E10" s="22"/>
      <c r="F10" s="24"/>
      <c r="G10" s="24"/>
      <c r="H10" s="24"/>
      <c r="I10" s="24"/>
      <c r="J10" s="24"/>
      <c r="K10" s="24"/>
      <c r="L10" s="24"/>
      <c r="M10" s="24"/>
      <c r="N10" s="24"/>
      <c r="O10" s="24"/>
      <c r="V10" s="31"/>
    </row>
    <row r="11" spans="1:23" x14ac:dyDescent="0.25">
      <c r="A11">
        <v>3399</v>
      </c>
      <c r="D11" s="22"/>
      <c r="E11" s="22"/>
      <c r="F11" s="24"/>
      <c r="G11" s="24"/>
      <c r="H11" s="24"/>
      <c r="I11" s="24"/>
      <c r="J11" s="24"/>
      <c r="K11" s="24"/>
      <c r="L11" s="24"/>
      <c r="M11" s="24"/>
      <c r="N11" s="24"/>
      <c r="O11" s="24"/>
      <c r="V11" s="31"/>
    </row>
    <row r="12" spans="1:23" x14ac:dyDescent="0.25">
      <c r="A12">
        <v>2414</v>
      </c>
      <c r="D12" s="22"/>
      <c r="E12" s="22"/>
      <c r="F12" s="24"/>
      <c r="G12" s="24"/>
      <c r="H12" s="24"/>
      <c r="I12" s="24"/>
      <c r="J12" s="24"/>
      <c r="K12" s="24"/>
      <c r="L12" s="24"/>
      <c r="M12" s="24"/>
      <c r="N12" s="24"/>
      <c r="O12" s="24"/>
      <c r="V12" s="31"/>
    </row>
    <row r="13" spans="1:23" x14ac:dyDescent="0.25">
      <c r="A13">
        <v>6424</v>
      </c>
      <c r="D13" s="22"/>
      <c r="E13" s="22"/>
      <c r="F13" s="24"/>
      <c r="G13" s="24"/>
      <c r="H13" s="24"/>
      <c r="I13" s="24"/>
      <c r="J13" s="24"/>
      <c r="K13" s="24"/>
      <c r="L13" s="24"/>
      <c r="M13" s="24"/>
      <c r="N13" s="24"/>
      <c r="O13" s="24"/>
      <c r="V13" s="31"/>
    </row>
    <row r="14" spans="1:23" x14ac:dyDescent="0.25">
      <c r="A14">
        <v>9000</v>
      </c>
      <c r="D14" s="22"/>
      <c r="E14" s="22"/>
      <c r="F14" s="24"/>
      <c r="G14" s="24"/>
      <c r="H14" s="24"/>
      <c r="I14" s="24"/>
      <c r="J14" s="24"/>
      <c r="K14" s="24"/>
      <c r="L14" s="24"/>
      <c r="M14" s="24"/>
      <c r="N14" s="24"/>
      <c r="O14" s="24"/>
      <c r="V14" s="31"/>
    </row>
    <row r="15" spans="1:23" x14ac:dyDescent="0.25">
      <c r="A15">
        <v>7673</v>
      </c>
      <c r="D15" s="22"/>
      <c r="E15" s="22"/>
      <c r="F15" s="24"/>
      <c r="G15" s="24"/>
      <c r="H15" s="24"/>
      <c r="I15" s="24"/>
      <c r="J15" s="24"/>
      <c r="K15" s="24"/>
      <c r="L15" s="24"/>
      <c r="M15" s="24"/>
      <c r="N15" s="24"/>
      <c r="O15" s="24"/>
      <c r="V15" s="31"/>
    </row>
    <row r="16" spans="1:23" x14ac:dyDescent="0.25">
      <c r="A16">
        <v>3639</v>
      </c>
      <c r="D16" s="22"/>
      <c r="E16" s="22"/>
      <c r="F16" s="24"/>
      <c r="G16" s="24"/>
      <c r="H16" s="24"/>
      <c r="I16" s="24"/>
      <c r="J16" s="24"/>
      <c r="K16" s="24"/>
      <c r="L16" s="24"/>
      <c r="M16" s="24"/>
      <c r="N16" s="24"/>
      <c r="O16" s="24"/>
      <c r="V16" s="31"/>
    </row>
    <row r="17" spans="1:22" x14ac:dyDescent="0.25">
      <c r="A17">
        <v>7540</v>
      </c>
      <c r="D17" s="22"/>
      <c r="E17" s="22"/>
      <c r="F17" s="24"/>
      <c r="G17" s="24"/>
      <c r="H17" s="24"/>
      <c r="I17" s="24"/>
      <c r="J17" s="24"/>
      <c r="K17" s="24"/>
      <c r="L17" s="24"/>
      <c r="M17" s="24"/>
      <c r="N17" s="24"/>
      <c r="O17" s="24"/>
      <c r="V17" s="31"/>
    </row>
    <row r="18" spans="1:22" x14ac:dyDescent="0.25">
      <c r="A18">
        <v>5371</v>
      </c>
      <c r="D18" s="22"/>
      <c r="E18" s="22"/>
      <c r="F18" s="24"/>
      <c r="G18" s="24"/>
      <c r="H18" s="24"/>
      <c r="I18" s="24"/>
      <c r="J18" s="24"/>
      <c r="K18" s="24"/>
      <c r="L18" s="24"/>
      <c r="M18" s="24"/>
      <c r="N18" s="24"/>
      <c r="O18" s="24"/>
      <c r="V18" s="31"/>
    </row>
    <row r="19" spans="1:22" x14ac:dyDescent="0.25">
      <c r="A19">
        <v>5616</v>
      </c>
      <c r="D19" s="22"/>
      <c r="E19" s="22"/>
      <c r="F19" s="24"/>
      <c r="G19" s="24"/>
      <c r="H19" s="24"/>
      <c r="I19" s="24"/>
      <c r="J19" s="24"/>
      <c r="K19" s="24"/>
      <c r="L19" s="24"/>
      <c r="M19" s="24"/>
      <c r="N19" s="24"/>
      <c r="O19" s="24"/>
      <c r="V19" s="31"/>
    </row>
    <row r="20" spans="1:22" x14ac:dyDescent="0.25">
      <c r="A20">
        <v>4941</v>
      </c>
      <c r="D20" s="22"/>
      <c r="E20" s="22"/>
      <c r="F20" s="24"/>
      <c r="G20" s="24"/>
      <c r="H20" s="24"/>
      <c r="I20" s="24"/>
      <c r="J20" s="24"/>
      <c r="K20" s="24"/>
      <c r="L20" s="24"/>
      <c r="M20" s="24"/>
      <c r="N20" s="24"/>
      <c r="O20" s="24"/>
      <c r="V20" s="31"/>
    </row>
    <row r="21" spans="1:22" x14ac:dyDescent="0.25">
      <c r="A21">
        <v>2986</v>
      </c>
      <c r="D21" s="22"/>
      <c r="E21" s="22"/>
      <c r="F21" s="24"/>
      <c r="G21" s="24"/>
      <c r="H21" s="24"/>
      <c r="I21" s="24"/>
      <c r="J21" s="24"/>
      <c r="K21" s="24"/>
      <c r="L21" s="24"/>
      <c r="M21" s="24"/>
      <c r="N21" s="24"/>
      <c r="O21" s="24"/>
      <c r="V21" s="31"/>
    </row>
    <row r="22" spans="1:22" x14ac:dyDescent="0.25">
      <c r="A22">
        <v>7862</v>
      </c>
      <c r="D22" s="22"/>
      <c r="E22" s="22"/>
      <c r="F22" s="24"/>
      <c r="G22" s="24"/>
      <c r="H22" s="24"/>
      <c r="I22" s="24"/>
      <c r="J22" s="24"/>
      <c r="K22" s="24"/>
      <c r="L22" s="24"/>
      <c r="M22" s="24"/>
      <c r="N22" s="24"/>
      <c r="O22" s="24"/>
      <c r="V22" s="31"/>
    </row>
    <row r="23" spans="1:22" x14ac:dyDescent="0.25">
      <c r="A23">
        <v>8014</v>
      </c>
      <c r="D23" s="22"/>
      <c r="E23" s="22"/>
      <c r="F23" s="24"/>
      <c r="G23" s="24"/>
      <c r="H23" s="24"/>
      <c r="I23" s="24"/>
      <c r="J23" s="24"/>
      <c r="K23" s="24"/>
      <c r="L23" s="24"/>
      <c r="M23" s="24"/>
      <c r="N23" s="24"/>
      <c r="O23" s="24"/>
      <c r="V23" s="31"/>
    </row>
    <row r="24" spans="1:22" x14ac:dyDescent="0.25">
      <c r="A24">
        <v>4383</v>
      </c>
      <c r="D24" s="22"/>
      <c r="E24" s="22"/>
      <c r="F24" s="24"/>
      <c r="G24" s="24"/>
      <c r="H24" s="24"/>
      <c r="I24" s="24"/>
      <c r="J24" s="24"/>
      <c r="K24" s="24"/>
      <c r="L24" s="24"/>
      <c r="M24" s="24"/>
      <c r="N24" s="24"/>
      <c r="O24" s="24"/>
      <c r="V24" s="31"/>
    </row>
    <row r="25" spans="1:22" x14ac:dyDescent="0.25">
      <c r="A25">
        <v>7003</v>
      </c>
      <c r="D25" s="22"/>
      <c r="E25" s="22"/>
      <c r="F25" s="24"/>
      <c r="G25" s="24"/>
      <c r="H25" s="24"/>
      <c r="I25" s="24"/>
      <c r="J25" s="24"/>
      <c r="K25" s="24"/>
      <c r="L25" s="24"/>
      <c r="M25" s="24"/>
      <c r="N25" s="24"/>
      <c r="O25" s="24"/>
      <c r="V25" s="31"/>
    </row>
    <row r="26" spans="1:22" x14ac:dyDescent="0.25">
      <c r="A26">
        <v>2190</v>
      </c>
      <c r="D26" s="22"/>
      <c r="E26" s="22"/>
      <c r="F26" s="24"/>
      <c r="G26" s="24"/>
      <c r="H26" s="24"/>
      <c r="I26" s="24"/>
      <c r="J26" s="24"/>
      <c r="K26" s="24"/>
      <c r="L26" s="24"/>
      <c r="M26" s="24"/>
      <c r="N26" s="24"/>
      <c r="O26" s="24"/>
      <c r="V26" s="31"/>
    </row>
    <row r="27" spans="1:22" x14ac:dyDescent="0.25">
      <c r="A27">
        <v>1994</v>
      </c>
      <c r="D27" s="22"/>
      <c r="E27" s="22"/>
      <c r="F27" s="24"/>
      <c r="G27" s="24"/>
      <c r="H27" s="24"/>
      <c r="I27" s="24"/>
      <c r="J27" s="24"/>
      <c r="K27" s="24"/>
      <c r="L27" s="24"/>
      <c r="M27" s="24"/>
      <c r="N27" s="24"/>
      <c r="O27" s="24"/>
      <c r="V27" s="31"/>
    </row>
    <row r="28" spans="1:22" x14ac:dyDescent="0.25">
      <c r="A28">
        <v>3324</v>
      </c>
      <c r="D28" s="22"/>
      <c r="E28" s="22"/>
      <c r="F28" s="24"/>
      <c r="G28" s="24"/>
      <c r="H28" s="24"/>
      <c r="I28" s="24"/>
      <c r="J28" s="24"/>
      <c r="K28" s="24"/>
      <c r="L28" s="24"/>
      <c r="M28" s="24"/>
      <c r="N28" s="24"/>
      <c r="O28" s="24"/>
      <c r="V28" s="31"/>
    </row>
    <row r="29" spans="1:22" x14ac:dyDescent="0.25">
      <c r="A29">
        <v>5571</v>
      </c>
      <c r="D29" s="22"/>
      <c r="E29" s="22"/>
      <c r="F29" s="24"/>
      <c r="G29" s="24"/>
      <c r="H29" s="24"/>
      <c r="I29" s="24"/>
      <c r="J29" s="24"/>
      <c r="K29" s="24"/>
      <c r="L29" s="24"/>
      <c r="M29" s="24"/>
      <c r="N29" s="24"/>
      <c r="O29" s="24"/>
      <c r="V29" s="31"/>
    </row>
    <row r="30" spans="1:22" x14ac:dyDescent="0.25">
      <c r="A30">
        <v>6629</v>
      </c>
      <c r="D30" s="22"/>
      <c r="E30" s="22"/>
      <c r="F30" s="24"/>
      <c r="G30" s="24"/>
      <c r="H30" s="24"/>
      <c r="I30" s="24"/>
      <c r="J30" s="24"/>
      <c r="K30" s="24"/>
      <c r="L30" s="24"/>
      <c r="M30" s="24"/>
      <c r="N30" s="24"/>
      <c r="O30" s="24"/>
      <c r="V30" s="31"/>
    </row>
    <row r="31" spans="1:22" x14ac:dyDescent="0.25">
      <c r="A31">
        <v>4923</v>
      </c>
      <c r="D31" s="22"/>
      <c r="E31" s="22"/>
      <c r="F31" s="24"/>
      <c r="G31" s="24"/>
      <c r="H31" s="24"/>
      <c r="I31" s="24"/>
      <c r="J31" s="24"/>
      <c r="K31" s="24"/>
      <c r="L31" s="24"/>
      <c r="M31" s="24"/>
      <c r="N31" s="24"/>
      <c r="O31" s="24"/>
      <c r="V31" s="31"/>
    </row>
    <row r="32" spans="1:22" x14ac:dyDescent="0.25">
      <c r="A32">
        <v>6974</v>
      </c>
      <c r="D32" s="22"/>
      <c r="E32" s="22"/>
      <c r="F32" s="24"/>
      <c r="G32" s="24"/>
      <c r="H32" s="24"/>
      <c r="I32" s="24"/>
      <c r="J32" s="24"/>
      <c r="K32" s="24"/>
      <c r="L32" s="24"/>
      <c r="M32" s="24"/>
      <c r="N32" s="24"/>
      <c r="O32" s="24"/>
      <c r="V32" s="31"/>
    </row>
    <row r="33" spans="1:22" x14ac:dyDescent="0.25">
      <c r="A33">
        <v>8834</v>
      </c>
      <c r="D33" s="22"/>
      <c r="E33" s="22"/>
      <c r="F33" s="24"/>
      <c r="G33" s="24"/>
      <c r="H33" s="24"/>
      <c r="I33" s="24"/>
      <c r="J33" s="24"/>
      <c r="K33" s="24"/>
      <c r="L33" s="24"/>
      <c r="M33" s="24"/>
      <c r="N33" s="24"/>
      <c r="O33" s="24"/>
      <c r="V33" s="31"/>
    </row>
    <row r="34" spans="1:22" x14ac:dyDescent="0.25">
      <c r="A34">
        <v>6128</v>
      </c>
      <c r="D34" s="22"/>
      <c r="E34" s="22"/>
      <c r="F34" s="24"/>
      <c r="G34" s="24"/>
      <c r="H34" s="24"/>
      <c r="I34" s="24"/>
      <c r="J34" s="24"/>
      <c r="K34" s="24"/>
      <c r="L34" s="24"/>
      <c r="M34" s="24"/>
      <c r="N34" s="24"/>
      <c r="O34" s="24"/>
      <c r="V34" s="31"/>
    </row>
    <row r="35" spans="1:22" x14ac:dyDescent="0.25">
      <c r="A35">
        <v>1742</v>
      </c>
      <c r="D35" s="22"/>
      <c r="E35" s="22"/>
      <c r="F35" s="24"/>
      <c r="G35" s="24"/>
      <c r="H35" s="24"/>
      <c r="I35" s="24"/>
      <c r="J35" s="24"/>
      <c r="K35" s="24"/>
      <c r="L35" s="24"/>
      <c r="M35" s="24"/>
      <c r="N35" s="24"/>
      <c r="O35" s="24"/>
      <c r="V35" s="31"/>
    </row>
    <row r="36" spans="1:22" x14ac:dyDescent="0.25">
      <c r="A36">
        <v>9809</v>
      </c>
      <c r="D36" s="22"/>
      <c r="E36" s="22"/>
      <c r="F36" s="24"/>
      <c r="G36" s="24"/>
      <c r="H36" s="24"/>
      <c r="I36" s="24"/>
      <c r="J36" s="24"/>
      <c r="K36" s="24"/>
      <c r="L36" s="24"/>
      <c r="M36" s="24"/>
      <c r="N36" s="24"/>
      <c r="O36" s="24"/>
      <c r="V36" s="31"/>
    </row>
    <row r="37" spans="1:22" x14ac:dyDescent="0.25">
      <c r="A37">
        <v>7727</v>
      </c>
      <c r="D37" s="22"/>
      <c r="E37" s="22"/>
      <c r="F37" s="24"/>
      <c r="G37" s="24"/>
      <c r="H37" s="24"/>
      <c r="I37" s="24"/>
      <c r="J37" s="24"/>
      <c r="K37" s="24"/>
      <c r="L37" s="24"/>
      <c r="M37" s="24"/>
      <c r="N37" s="24"/>
      <c r="O37" s="24"/>
      <c r="V37" s="31"/>
    </row>
    <row r="38" spans="1:22" x14ac:dyDescent="0.25">
      <c r="A38">
        <v>3748</v>
      </c>
      <c r="D38" s="22"/>
      <c r="E38" s="22"/>
      <c r="F38" s="24"/>
      <c r="G38" s="24"/>
      <c r="H38" s="24"/>
      <c r="I38" s="24"/>
      <c r="J38" s="24"/>
      <c r="K38" s="24"/>
      <c r="L38" s="24"/>
      <c r="M38" s="24"/>
      <c r="N38" s="24"/>
      <c r="O38" s="24"/>
      <c r="V38" s="31"/>
    </row>
    <row r="39" spans="1:22" x14ac:dyDescent="0.25">
      <c r="A39">
        <v>5583</v>
      </c>
      <c r="D39" s="22"/>
      <c r="E39" s="22"/>
      <c r="F39" s="24"/>
      <c r="G39" s="24"/>
      <c r="H39" s="24"/>
      <c r="I39" s="24"/>
      <c r="J39" s="24"/>
      <c r="K39" s="24"/>
      <c r="L39" s="24"/>
      <c r="M39" s="24"/>
      <c r="N39" s="24"/>
      <c r="O39" s="24"/>
      <c r="V39" s="31"/>
    </row>
    <row r="40" spans="1:22" x14ac:dyDescent="0.25">
      <c r="A40">
        <v>5356</v>
      </c>
      <c r="D40" s="22"/>
      <c r="E40" s="22"/>
      <c r="F40" s="24"/>
      <c r="G40" s="24"/>
      <c r="H40" s="24"/>
      <c r="I40" s="24"/>
      <c r="J40" s="24"/>
      <c r="K40" s="24"/>
      <c r="L40" s="24"/>
      <c r="M40" s="24"/>
      <c r="N40" s="24"/>
      <c r="O40" s="24"/>
      <c r="V40" s="31"/>
    </row>
    <row r="41" spans="1:22" x14ac:dyDescent="0.25">
      <c r="A41">
        <v>5546</v>
      </c>
      <c r="D41" s="22"/>
      <c r="E41" s="22"/>
      <c r="F41" s="24"/>
      <c r="G41" s="24"/>
      <c r="H41" s="24"/>
      <c r="I41" s="24"/>
      <c r="J41" s="24"/>
      <c r="K41" s="24"/>
      <c r="L41" s="24"/>
      <c r="M41" s="24"/>
      <c r="N41" s="24"/>
      <c r="O41" s="24"/>
      <c r="V41" s="31"/>
    </row>
    <row r="42" spans="1:22" x14ac:dyDescent="0.25">
      <c r="A42">
        <v>8501</v>
      </c>
      <c r="D42" s="22"/>
      <c r="E42" s="22"/>
      <c r="F42" s="24"/>
      <c r="G42" s="24"/>
      <c r="H42" s="24"/>
      <c r="I42" s="24"/>
      <c r="J42" s="24"/>
      <c r="K42" s="24"/>
      <c r="L42" s="24"/>
      <c r="M42" s="24"/>
      <c r="N42" s="24"/>
      <c r="O42" s="24"/>
      <c r="V42" s="31"/>
    </row>
    <row r="43" spans="1:22" x14ac:dyDescent="0.25">
      <c r="A43">
        <v>5556</v>
      </c>
      <c r="D43" s="22"/>
      <c r="E43" s="22"/>
      <c r="F43" s="24"/>
      <c r="G43" s="24"/>
      <c r="H43" s="24"/>
      <c r="I43" s="24"/>
      <c r="J43" s="24"/>
      <c r="K43" s="24"/>
      <c r="L43" s="24"/>
      <c r="M43" s="24"/>
      <c r="N43" s="24"/>
      <c r="O43" s="24"/>
      <c r="V43" s="31"/>
    </row>
    <row r="44" spans="1:22" x14ac:dyDescent="0.25">
      <c r="A44">
        <v>3656</v>
      </c>
      <c r="D44" s="22"/>
      <c r="E44" s="22"/>
      <c r="F44" s="24"/>
      <c r="G44" s="24"/>
      <c r="H44" s="24"/>
      <c r="I44" s="24"/>
      <c r="J44" s="24"/>
      <c r="K44" s="24"/>
      <c r="L44" s="24"/>
      <c r="M44" s="24"/>
      <c r="N44" s="24"/>
      <c r="O44" s="24"/>
      <c r="V44" s="31"/>
    </row>
    <row r="45" spans="1:22" x14ac:dyDescent="0.25">
      <c r="A45">
        <v>3970</v>
      </c>
      <c r="D45" s="22"/>
      <c r="E45" s="22"/>
      <c r="F45" s="24"/>
      <c r="G45" s="24"/>
      <c r="H45" s="24"/>
      <c r="I45" s="24"/>
      <c r="J45" s="24"/>
      <c r="K45" s="24"/>
      <c r="L45" s="24"/>
      <c r="M45" s="24"/>
      <c r="N45" s="24"/>
      <c r="O45" s="24"/>
      <c r="V45" s="31"/>
    </row>
    <row r="46" spans="1:22" x14ac:dyDescent="0.25">
      <c r="A46">
        <v>6617</v>
      </c>
      <c r="D46" s="22"/>
      <c r="E46" s="22"/>
      <c r="F46" s="24"/>
      <c r="G46" s="24"/>
      <c r="H46" s="24"/>
      <c r="I46" s="24"/>
      <c r="J46" s="24"/>
      <c r="K46" s="24"/>
      <c r="L46" s="24"/>
      <c r="M46" s="24"/>
      <c r="N46" s="24"/>
      <c r="O46" s="24"/>
      <c r="V46" s="31"/>
    </row>
    <row r="47" spans="1:22" x14ac:dyDescent="0.25">
      <c r="A47">
        <v>7532</v>
      </c>
      <c r="D47" s="22"/>
      <c r="E47" s="22"/>
      <c r="F47" s="24"/>
      <c r="G47" s="24"/>
      <c r="H47" s="24"/>
      <c r="I47" s="24"/>
      <c r="J47" s="24"/>
      <c r="K47" s="24"/>
      <c r="L47" s="24"/>
      <c r="M47" s="24"/>
      <c r="N47" s="24"/>
      <c r="O47" s="24"/>
      <c r="V47" s="31"/>
    </row>
    <row r="48" spans="1:22" x14ac:dyDescent="0.25">
      <c r="A48">
        <v>1809</v>
      </c>
      <c r="D48" s="22"/>
      <c r="E48" s="22"/>
      <c r="F48" s="24"/>
      <c r="G48" s="24"/>
      <c r="H48" s="24"/>
      <c r="I48" s="24"/>
      <c r="J48" s="24"/>
      <c r="K48" s="24"/>
      <c r="L48" s="24"/>
      <c r="M48" s="24"/>
      <c r="N48" s="24"/>
      <c r="O48" s="24"/>
      <c r="V48" s="31"/>
    </row>
    <row r="49" spans="1:22" x14ac:dyDescent="0.25">
      <c r="A49">
        <v>9681</v>
      </c>
      <c r="D49" s="22"/>
      <c r="E49" s="22"/>
      <c r="F49" s="24"/>
      <c r="G49" s="24"/>
      <c r="H49" s="24"/>
      <c r="I49" s="24"/>
      <c r="J49" s="24"/>
      <c r="K49" s="24"/>
      <c r="L49" s="24"/>
      <c r="M49" s="24"/>
      <c r="N49" s="24"/>
      <c r="O49" s="24"/>
      <c r="V49" s="31"/>
    </row>
    <row r="50" spans="1:22" x14ac:dyDescent="0.25">
      <c r="A50">
        <v>3990</v>
      </c>
      <c r="D50" s="22"/>
      <c r="E50" s="22"/>
      <c r="F50" s="24"/>
      <c r="G50" s="24"/>
      <c r="H50" s="24"/>
      <c r="I50" s="24"/>
      <c r="J50" s="24"/>
      <c r="K50" s="24"/>
      <c r="L50" s="24"/>
      <c r="M50" s="24"/>
      <c r="N50" s="24"/>
      <c r="O50" s="24"/>
      <c r="V50" s="31"/>
    </row>
    <row r="51" spans="1:22" x14ac:dyDescent="0.25">
      <c r="A51">
        <v>5985</v>
      </c>
      <c r="D51" s="22"/>
      <c r="E51" s="22"/>
      <c r="F51" s="24"/>
      <c r="G51" s="24"/>
      <c r="H51" s="24"/>
      <c r="I51" s="24"/>
      <c r="J51" s="24"/>
      <c r="K51" s="24"/>
      <c r="L51" s="24"/>
      <c r="M51" s="24"/>
      <c r="N51" s="24"/>
      <c r="O51" s="24"/>
      <c r="V51" s="31"/>
    </row>
    <row r="52" spans="1:22" x14ac:dyDescent="0.25">
      <c r="A52">
        <v>7163</v>
      </c>
      <c r="D52" s="22"/>
      <c r="E52" s="22"/>
      <c r="F52" s="24"/>
      <c r="G52" s="24"/>
      <c r="H52" s="24"/>
      <c r="I52" s="24"/>
      <c r="J52" s="24"/>
      <c r="K52" s="24"/>
      <c r="L52" s="24"/>
      <c r="M52" s="24"/>
      <c r="N52" s="24"/>
      <c r="O52" s="24"/>
      <c r="V52" s="31"/>
    </row>
    <row r="53" spans="1:22" x14ac:dyDescent="0.25">
      <c r="A53">
        <v>7043</v>
      </c>
      <c r="D53" s="22"/>
      <c r="E53" s="22"/>
      <c r="F53" s="24"/>
      <c r="G53" s="24"/>
      <c r="H53" s="24"/>
      <c r="I53" s="24"/>
      <c r="J53" s="24"/>
      <c r="K53" s="24"/>
      <c r="L53" s="24"/>
      <c r="M53" s="24"/>
      <c r="N53" s="24"/>
      <c r="O53" s="24"/>
      <c r="V53" s="31"/>
    </row>
    <row r="54" spans="1:22" x14ac:dyDescent="0.25">
      <c r="A54">
        <v>5250</v>
      </c>
      <c r="D54" s="22"/>
      <c r="E54" s="22"/>
      <c r="F54" s="24"/>
      <c r="G54" s="24"/>
      <c r="H54" s="24"/>
      <c r="I54" s="24"/>
      <c r="J54" s="24"/>
      <c r="K54" s="24"/>
      <c r="L54" s="24"/>
      <c r="M54" s="24"/>
      <c r="N54" s="24"/>
      <c r="O54" s="24"/>
      <c r="V54" s="31"/>
    </row>
    <row r="55" spans="1:22" x14ac:dyDescent="0.25">
      <c r="A55">
        <v>1591</v>
      </c>
      <c r="D55" s="22"/>
      <c r="E55" s="22"/>
      <c r="F55" s="24"/>
      <c r="G55" s="24"/>
      <c r="H55" s="24"/>
      <c r="I55" s="24"/>
      <c r="J55" s="24"/>
      <c r="K55" s="24"/>
      <c r="L55" s="24"/>
      <c r="M55" s="24"/>
      <c r="N55" s="24"/>
      <c r="O55" s="24"/>
      <c r="V55" s="31"/>
    </row>
    <row r="56" spans="1:22" x14ac:dyDescent="0.25">
      <c r="A56">
        <v>4746</v>
      </c>
      <c r="D56" s="22"/>
      <c r="E56" s="22"/>
      <c r="F56" s="24"/>
      <c r="G56" s="24"/>
      <c r="H56" s="24"/>
      <c r="I56" s="24"/>
      <c r="J56" s="24"/>
      <c r="K56" s="24"/>
      <c r="L56" s="24"/>
      <c r="M56" s="24"/>
      <c r="N56" s="24"/>
      <c r="O56" s="24"/>
      <c r="V56" s="31"/>
    </row>
    <row r="57" spans="1:22" x14ac:dyDescent="0.25">
      <c r="A57">
        <v>6023</v>
      </c>
      <c r="D57" s="22"/>
      <c r="E57" s="22"/>
      <c r="F57" s="24"/>
      <c r="G57" s="24"/>
      <c r="H57" s="24"/>
      <c r="I57" s="24"/>
      <c r="J57" s="24"/>
      <c r="K57" s="24"/>
      <c r="L57" s="24"/>
      <c r="M57" s="24"/>
      <c r="N57" s="24"/>
      <c r="O57" s="24"/>
      <c r="V57" s="31"/>
    </row>
    <row r="58" spans="1:22" x14ac:dyDescent="0.25">
      <c r="A58">
        <v>1593</v>
      </c>
      <c r="D58" s="22"/>
      <c r="E58" s="22"/>
      <c r="F58" s="24"/>
      <c r="G58" s="24"/>
      <c r="H58" s="24"/>
      <c r="I58" s="24"/>
      <c r="J58" s="24"/>
      <c r="K58" s="24"/>
      <c r="L58" s="24"/>
      <c r="M58" s="24"/>
      <c r="N58" s="24"/>
      <c r="O58" s="24"/>
      <c r="V58" s="31"/>
    </row>
    <row r="59" spans="1:22" x14ac:dyDescent="0.25">
      <c r="A59">
        <v>6164</v>
      </c>
      <c r="D59" s="22"/>
      <c r="E59" s="22"/>
      <c r="F59" s="24"/>
      <c r="G59" s="24"/>
      <c r="H59" s="24"/>
      <c r="I59" s="24"/>
      <c r="J59" s="24"/>
      <c r="K59" s="24"/>
      <c r="L59" s="24"/>
      <c r="M59" s="24"/>
      <c r="N59" s="24"/>
      <c r="O59" s="24"/>
      <c r="V59" s="31"/>
    </row>
    <row r="60" spans="1:22" x14ac:dyDescent="0.25">
      <c r="A60">
        <v>2467</v>
      </c>
      <c r="D60" s="22"/>
      <c r="E60" s="22"/>
      <c r="F60" s="24"/>
      <c r="G60" s="24"/>
      <c r="H60" s="24"/>
      <c r="I60" s="24"/>
      <c r="J60" s="24"/>
      <c r="K60" s="24"/>
      <c r="L60" s="24"/>
      <c r="M60" s="24"/>
      <c r="N60" s="24"/>
      <c r="O60" s="24"/>
      <c r="V60" s="31"/>
    </row>
    <row r="61" spans="1:22" x14ac:dyDescent="0.25">
      <c r="A61">
        <v>9185</v>
      </c>
      <c r="D61" s="22"/>
      <c r="E61" s="22"/>
      <c r="F61" s="24"/>
      <c r="G61" s="24"/>
      <c r="H61" s="24"/>
      <c r="I61" s="24"/>
      <c r="J61" s="24"/>
      <c r="K61" s="24"/>
      <c r="L61" s="24"/>
      <c r="M61" s="24"/>
      <c r="N61" s="24"/>
      <c r="O61" s="24"/>
      <c r="V61" s="31"/>
    </row>
    <row r="62" spans="1:22" x14ac:dyDescent="0.25">
      <c r="A62">
        <v>6885</v>
      </c>
      <c r="D62" s="22"/>
      <c r="E62" s="22"/>
      <c r="F62" s="24"/>
      <c r="G62" s="24"/>
      <c r="H62" s="24"/>
      <c r="I62" s="24"/>
      <c r="J62" s="24"/>
      <c r="K62" s="24"/>
      <c r="L62" s="24"/>
      <c r="M62" s="24"/>
      <c r="N62" s="24"/>
      <c r="O62" s="24"/>
      <c r="V62" s="31"/>
    </row>
    <row r="63" spans="1:22" x14ac:dyDescent="0.25">
      <c r="A63">
        <v>9913</v>
      </c>
      <c r="D63" s="22"/>
      <c r="E63" s="22"/>
      <c r="F63" s="24"/>
      <c r="G63" s="24"/>
      <c r="H63" s="24"/>
      <c r="I63" s="24"/>
      <c r="J63" s="24"/>
      <c r="K63" s="24"/>
      <c r="L63" s="24"/>
      <c r="M63" s="24"/>
      <c r="N63" s="24"/>
      <c r="O63" s="24"/>
      <c r="V63" s="31"/>
    </row>
    <row r="64" spans="1:22" x14ac:dyDescent="0.25">
      <c r="A64">
        <v>2927</v>
      </c>
      <c r="D64" s="22"/>
      <c r="E64" s="22"/>
      <c r="F64" s="24"/>
      <c r="G64" s="24"/>
      <c r="H64" s="24"/>
      <c r="I64" s="24"/>
      <c r="J64" s="24"/>
      <c r="K64" s="24"/>
      <c r="L64" s="24"/>
      <c r="M64" s="24"/>
      <c r="N64" s="24"/>
      <c r="O64" s="24"/>
      <c r="V64" s="31"/>
    </row>
    <row r="65" spans="1:22" x14ac:dyDescent="0.25">
      <c r="A65">
        <v>8437</v>
      </c>
      <c r="D65" s="22"/>
      <c r="E65" s="22"/>
      <c r="F65" s="24"/>
      <c r="G65" s="24"/>
      <c r="H65" s="24"/>
      <c r="I65" s="24"/>
      <c r="J65" s="24"/>
      <c r="K65" s="24"/>
      <c r="L65" s="24"/>
      <c r="M65" s="24"/>
      <c r="N65" s="24"/>
      <c r="O65" s="24"/>
      <c r="V65" s="31"/>
    </row>
    <row r="66" spans="1:22" x14ac:dyDescent="0.25">
      <c r="A66">
        <v>6624</v>
      </c>
      <c r="D66" s="22"/>
      <c r="E66" s="22"/>
      <c r="F66" s="24"/>
      <c r="G66" s="24"/>
      <c r="H66" s="24"/>
      <c r="I66" s="24"/>
      <c r="J66" s="24"/>
      <c r="K66" s="24"/>
      <c r="L66" s="24"/>
      <c r="M66" s="24"/>
      <c r="N66" s="24"/>
      <c r="O66" s="24"/>
      <c r="V66" s="31"/>
    </row>
    <row r="67" spans="1:22" x14ac:dyDescent="0.25">
      <c r="A67">
        <v>9142</v>
      </c>
      <c r="D67" s="22"/>
      <c r="E67" s="22"/>
      <c r="F67" s="24"/>
      <c r="G67" s="24"/>
      <c r="H67" s="24"/>
      <c r="I67" s="24"/>
      <c r="J67" s="24"/>
      <c r="K67" s="24"/>
      <c r="L67" s="24"/>
      <c r="M67" s="24"/>
      <c r="N67" s="24"/>
      <c r="O67" s="24"/>
      <c r="V67" s="31"/>
    </row>
    <row r="68" spans="1:22" x14ac:dyDescent="0.25">
      <c r="A68">
        <v>9476</v>
      </c>
      <c r="D68" s="22"/>
      <c r="E68" s="22"/>
      <c r="F68" s="24"/>
      <c r="G68" s="24"/>
      <c r="H68" s="24"/>
      <c r="I68" s="24"/>
      <c r="J68" s="24"/>
      <c r="K68" s="24"/>
      <c r="L68" s="24"/>
      <c r="M68" s="24"/>
      <c r="N68" s="24"/>
      <c r="O68" s="24"/>
      <c r="V68" s="31"/>
    </row>
    <row r="69" spans="1:22" x14ac:dyDescent="0.25">
      <c r="A69">
        <v>2335</v>
      </c>
      <c r="D69" s="22"/>
      <c r="E69" s="22"/>
      <c r="F69" s="24"/>
      <c r="G69" s="24"/>
      <c r="H69" s="24"/>
      <c r="I69" s="24"/>
      <c r="J69" s="24"/>
      <c r="K69" s="24"/>
      <c r="L69" s="24"/>
      <c r="M69" s="24"/>
      <c r="N69" s="24"/>
      <c r="O69" s="24"/>
      <c r="V69" s="31"/>
    </row>
    <row r="70" spans="1:22" x14ac:dyDescent="0.25">
      <c r="A70">
        <v>5750</v>
      </c>
      <c r="D70" s="22"/>
      <c r="E70" s="22"/>
      <c r="F70" s="24"/>
      <c r="G70" s="24"/>
      <c r="H70" s="24"/>
      <c r="I70" s="24"/>
      <c r="J70" s="24"/>
      <c r="K70" s="24"/>
      <c r="L70" s="24"/>
      <c r="M70" s="24"/>
      <c r="N70" s="24"/>
      <c r="O70" s="24"/>
      <c r="V70" s="31"/>
    </row>
    <row r="71" spans="1:22" x14ac:dyDescent="0.25">
      <c r="A71">
        <v>5173</v>
      </c>
      <c r="D71" s="22"/>
      <c r="E71" s="22"/>
      <c r="F71" s="24"/>
      <c r="G71" s="24"/>
      <c r="H71" s="24"/>
      <c r="I71" s="24"/>
      <c r="J71" s="24"/>
      <c r="K71" s="24"/>
      <c r="L71" s="24"/>
      <c r="M71" s="24"/>
      <c r="N71" s="24"/>
      <c r="O71" s="24"/>
      <c r="V71" s="31"/>
    </row>
    <row r="72" spans="1:22" x14ac:dyDescent="0.25">
      <c r="A72">
        <v>5642</v>
      </c>
      <c r="D72" s="22"/>
      <c r="E72" s="22"/>
      <c r="F72" s="24"/>
      <c r="G72" s="24"/>
      <c r="H72" s="24"/>
      <c r="I72" s="24"/>
      <c r="J72" s="24"/>
      <c r="K72" s="24"/>
      <c r="L72" s="24"/>
      <c r="M72" s="24"/>
      <c r="N72" s="24"/>
      <c r="O72" s="24"/>
      <c r="V72" s="31"/>
    </row>
    <row r="73" spans="1:22" x14ac:dyDescent="0.25">
      <c r="A73">
        <v>6996</v>
      </c>
      <c r="D73" s="22"/>
      <c r="E73" s="22"/>
      <c r="F73" s="24"/>
      <c r="G73" s="24"/>
      <c r="H73" s="24"/>
      <c r="I73" s="24"/>
      <c r="J73" s="24"/>
      <c r="K73" s="24"/>
      <c r="L73" s="24"/>
      <c r="M73" s="24"/>
      <c r="N73" s="24"/>
      <c r="O73" s="24"/>
      <c r="V73" s="31"/>
    </row>
    <row r="74" spans="1:22" x14ac:dyDescent="0.25">
      <c r="A74">
        <v>9035</v>
      </c>
      <c r="D74" s="22"/>
      <c r="E74" s="22"/>
      <c r="F74" s="24"/>
      <c r="G74" s="24"/>
      <c r="H74" s="24"/>
      <c r="I74" s="24"/>
      <c r="J74" s="24"/>
      <c r="K74" s="24"/>
      <c r="L74" s="24"/>
      <c r="M74" s="24"/>
      <c r="N74" s="24"/>
      <c r="O74" s="24"/>
      <c r="V74" s="31"/>
    </row>
    <row r="75" spans="1:22" x14ac:dyDescent="0.25">
      <c r="A75">
        <v>5536</v>
      </c>
      <c r="D75" s="22"/>
      <c r="E75" s="22"/>
      <c r="F75" s="24"/>
      <c r="G75" s="24"/>
      <c r="H75" s="24"/>
      <c r="I75" s="24"/>
      <c r="J75" s="24"/>
      <c r="K75" s="24"/>
      <c r="L75" s="24"/>
      <c r="M75" s="24"/>
      <c r="N75" s="24"/>
      <c r="O75" s="24"/>
      <c r="V75" s="31"/>
    </row>
    <row r="76" spans="1:22" x14ac:dyDescent="0.25">
      <c r="A76">
        <v>3766</v>
      </c>
      <c r="D76" s="22"/>
      <c r="E76" s="22"/>
      <c r="F76" s="24"/>
      <c r="G76" s="24"/>
      <c r="H76" s="24"/>
      <c r="I76" s="24"/>
      <c r="J76" s="24"/>
      <c r="K76" s="24"/>
      <c r="L76" s="24"/>
      <c r="M76" s="24"/>
      <c r="N76" s="24"/>
      <c r="O76" s="24"/>
      <c r="V76" s="31"/>
    </row>
    <row r="77" spans="1:22" x14ac:dyDescent="0.25">
      <c r="A77">
        <v>4906</v>
      </c>
      <c r="D77" s="22"/>
      <c r="E77" s="22"/>
      <c r="F77" s="24"/>
      <c r="G77" s="24"/>
      <c r="H77" s="24"/>
      <c r="I77" s="24"/>
      <c r="J77" s="24"/>
      <c r="K77" s="24"/>
      <c r="L77" s="24"/>
      <c r="M77" s="24"/>
      <c r="N77" s="24"/>
      <c r="O77" s="24"/>
      <c r="V77" s="31"/>
    </row>
    <row r="78" spans="1:22" x14ac:dyDescent="0.25">
      <c r="A78">
        <v>7275</v>
      </c>
      <c r="D78" s="22"/>
      <c r="E78" s="22"/>
      <c r="F78" s="24"/>
      <c r="G78" s="24"/>
      <c r="H78" s="24"/>
      <c r="I78" s="24"/>
      <c r="J78" s="24"/>
      <c r="K78" s="24"/>
      <c r="L78" s="24"/>
      <c r="M78" s="24"/>
      <c r="N78" s="24"/>
      <c r="O78" s="24"/>
      <c r="V78" s="31"/>
    </row>
    <row r="79" spans="1:22" x14ac:dyDescent="0.25">
      <c r="A79">
        <v>3004</v>
      </c>
      <c r="D79" s="22"/>
      <c r="E79" s="22"/>
      <c r="F79" s="24"/>
      <c r="G79" s="24"/>
      <c r="H79" s="24"/>
      <c r="I79" s="24"/>
      <c r="J79" s="24"/>
      <c r="K79" s="24"/>
      <c r="L79" s="24"/>
      <c r="M79" s="24"/>
      <c r="N79" s="24"/>
      <c r="O79" s="24"/>
      <c r="V79" s="31"/>
    </row>
    <row r="80" spans="1:22" x14ac:dyDescent="0.25">
      <c r="A80">
        <v>7284</v>
      </c>
      <c r="D80" s="22"/>
      <c r="E80" s="22"/>
      <c r="F80" s="24"/>
      <c r="G80" s="24"/>
      <c r="H80" s="24"/>
      <c r="I80" s="24"/>
      <c r="J80" s="24"/>
      <c r="K80" s="24"/>
      <c r="L80" s="24"/>
      <c r="M80" s="24"/>
      <c r="N80" s="24"/>
      <c r="O80" s="24"/>
      <c r="V80" s="31"/>
    </row>
    <row r="81" spans="1:22" x14ac:dyDescent="0.25">
      <c r="A81">
        <v>1317</v>
      </c>
      <c r="D81" s="22"/>
      <c r="E81" s="22"/>
      <c r="F81" s="24"/>
      <c r="G81" s="24"/>
      <c r="H81" s="24"/>
      <c r="I81" s="24"/>
      <c r="J81" s="24"/>
      <c r="K81" s="24"/>
      <c r="L81" s="24"/>
      <c r="M81" s="24"/>
      <c r="N81" s="24"/>
      <c r="O81" s="24"/>
      <c r="V81" s="31"/>
    </row>
    <row r="82" spans="1:22" x14ac:dyDescent="0.25">
      <c r="A82">
        <v>5063</v>
      </c>
      <c r="D82" s="22"/>
      <c r="E82" s="22"/>
      <c r="F82" s="24"/>
      <c r="G82" s="24"/>
      <c r="H82" s="24"/>
      <c r="I82" s="24"/>
      <c r="J82" s="24"/>
      <c r="K82" s="24"/>
      <c r="L82" s="24"/>
      <c r="M82" s="24"/>
      <c r="N82" s="24"/>
      <c r="O82" s="24"/>
      <c r="V82" s="31"/>
    </row>
    <row r="83" spans="1:22" x14ac:dyDescent="0.25">
      <c r="A83">
        <v>5439</v>
      </c>
      <c r="D83" s="22"/>
      <c r="E83" s="22"/>
      <c r="F83" s="24"/>
      <c r="G83" s="24"/>
      <c r="H83" s="24"/>
      <c r="I83" s="24"/>
      <c r="J83" s="24"/>
      <c r="K83" s="24"/>
      <c r="L83" s="24"/>
      <c r="M83" s="24"/>
      <c r="N83" s="24"/>
      <c r="O83" s="24"/>
      <c r="V83" s="31"/>
    </row>
    <row r="84" spans="1:22" x14ac:dyDescent="0.25">
      <c r="A84">
        <v>1964</v>
      </c>
      <c r="D84" s="22"/>
      <c r="E84" s="22"/>
      <c r="F84" s="24"/>
      <c r="G84" s="24"/>
      <c r="H84" s="24"/>
      <c r="I84" s="24"/>
      <c r="J84" s="24"/>
      <c r="K84" s="24"/>
      <c r="L84" s="24"/>
      <c r="M84" s="24"/>
      <c r="N84" s="24"/>
      <c r="O84" s="24"/>
      <c r="V84" s="31"/>
    </row>
    <row r="85" spans="1:22" x14ac:dyDescent="0.25">
      <c r="A85">
        <v>9959</v>
      </c>
      <c r="D85" s="22"/>
      <c r="E85" s="22"/>
      <c r="F85" s="24"/>
      <c r="G85" s="24"/>
      <c r="H85" s="24"/>
      <c r="I85" s="24"/>
      <c r="J85" s="24"/>
      <c r="K85" s="24"/>
      <c r="L85" s="24"/>
      <c r="M85" s="24"/>
      <c r="N85" s="24"/>
      <c r="O85" s="24"/>
      <c r="V85" s="31"/>
    </row>
    <row r="86" spans="1:22" x14ac:dyDescent="0.25">
      <c r="A86">
        <v>6779</v>
      </c>
      <c r="D86" s="22"/>
      <c r="E86" s="22"/>
      <c r="F86" s="24"/>
      <c r="G86" s="24"/>
      <c r="H86" s="24"/>
      <c r="I86" s="24"/>
      <c r="J86" s="24"/>
      <c r="K86" s="24"/>
      <c r="L86" s="24"/>
      <c r="M86" s="24"/>
      <c r="N86" s="24"/>
      <c r="O86" s="24"/>
      <c r="V86" s="31"/>
    </row>
    <row r="87" spans="1:22" x14ac:dyDescent="0.25">
      <c r="A87">
        <v>9351</v>
      </c>
      <c r="D87" s="22"/>
      <c r="E87" s="22"/>
      <c r="F87" s="24"/>
      <c r="G87" s="24"/>
      <c r="H87" s="24"/>
      <c r="I87" s="24"/>
      <c r="J87" s="24"/>
      <c r="K87" s="24"/>
      <c r="L87" s="24"/>
      <c r="M87" s="24"/>
      <c r="N87" s="24"/>
      <c r="O87" s="24"/>
      <c r="V87" s="31"/>
    </row>
    <row r="88" spans="1:22" x14ac:dyDescent="0.25">
      <c r="A88">
        <v>5038</v>
      </c>
      <c r="D88" s="22"/>
      <c r="E88" s="22"/>
      <c r="F88" s="24"/>
      <c r="G88" s="24"/>
      <c r="H88" s="24"/>
      <c r="I88" s="24"/>
      <c r="J88" s="24"/>
      <c r="K88" s="24"/>
      <c r="L88" s="24"/>
      <c r="M88" s="24"/>
      <c r="N88" s="24"/>
      <c r="O88" s="24"/>
      <c r="V88" s="31"/>
    </row>
    <row r="89" spans="1:22" x14ac:dyDescent="0.25">
      <c r="A89">
        <v>9512</v>
      </c>
      <c r="D89" s="22"/>
      <c r="E89" s="22"/>
      <c r="F89" s="24"/>
      <c r="G89" s="24"/>
      <c r="H89" s="24"/>
      <c r="I89" s="24"/>
      <c r="J89" s="24"/>
      <c r="K89" s="24"/>
      <c r="L89" s="24"/>
      <c r="M89" s="24"/>
      <c r="N89" s="24"/>
      <c r="O89" s="24"/>
      <c r="V89" s="31"/>
    </row>
    <row r="90" spans="1:22" x14ac:dyDescent="0.25">
      <c r="A90">
        <v>2713</v>
      </c>
      <c r="D90" s="22"/>
      <c r="E90" s="22"/>
      <c r="F90" s="24"/>
      <c r="G90" s="24"/>
      <c r="H90" s="24"/>
      <c r="I90" s="24"/>
      <c r="J90" s="24"/>
      <c r="K90" s="24"/>
      <c r="L90" s="24"/>
      <c r="M90" s="24"/>
      <c r="N90" s="24"/>
      <c r="O90" s="24"/>
      <c r="V90" s="31"/>
    </row>
    <row r="91" spans="1:22" x14ac:dyDescent="0.25">
      <c r="A91">
        <v>6113</v>
      </c>
      <c r="D91" s="22"/>
      <c r="E91" s="22"/>
      <c r="F91" s="24"/>
      <c r="G91" s="24"/>
      <c r="H91" s="24"/>
      <c r="I91" s="24"/>
      <c r="J91" s="24"/>
      <c r="K91" s="24"/>
      <c r="L91" s="24"/>
      <c r="M91" s="24"/>
      <c r="N91" s="24"/>
      <c r="O91" s="24"/>
      <c r="V91" s="31"/>
    </row>
    <row r="92" spans="1:22" x14ac:dyDescent="0.25">
      <c r="A92">
        <v>1437</v>
      </c>
      <c r="D92" s="22"/>
      <c r="E92" s="22"/>
      <c r="F92" s="24"/>
      <c r="G92" s="24"/>
      <c r="H92" s="24"/>
      <c r="I92" s="24"/>
      <c r="J92" s="24"/>
      <c r="K92" s="24"/>
      <c r="L92" s="24"/>
      <c r="M92" s="24"/>
      <c r="N92" s="24"/>
      <c r="O92" s="24"/>
      <c r="V92" s="31"/>
    </row>
    <row r="93" spans="1:22" x14ac:dyDescent="0.25">
      <c r="A93">
        <v>8327</v>
      </c>
      <c r="D93" s="22"/>
      <c r="E93" s="22"/>
      <c r="F93" s="24"/>
      <c r="G93" s="24"/>
      <c r="H93" s="24"/>
      <c r="I93" s="24"/>
      <c r="J93" s="24"/>
      <c r="K93" s="24"/>
      <c r="L93" s="24"/>
      <c r="M93" s="24"/>
      <c r="N93" s="24"/>
      <c r="O93" s="24"/>
      <c r="V93" s="31"/>
    </row>
    <row r="94" spans="1:22" x14ac:dyDescent="0.25">
      <c r="A94">
        <v>6787</v>
      </c>
      <c r="D94" s="22"/>
      <c r="E94" s="22"/>
      <c r="F94" s="24"/>
      <c r="G94" s="24"/>
      <c r="H94" s="24"/>
      <c r="I94" s="24"/>
      <c r="J94" s="24"/>
      <c r="K94" s="24"/>
      <c r="L94" s="24"/>
      <c r="M94" s="24"/>
      <c r="N94" s="24"/>
      <c r="O94" s="24"/>
      <c r="V94" s="31"/>
    </row>
    <row r="95" spans="1:22" x14ac:dyDescent="0.25">
      <c r="A95">
        <v>4480</v>
      </c>
      <c r="D95" s="22"/>
      <c r="E95" s="22"/>
      <c r="F95" s="24"/>
      <c r="G95" s="24"/>
      <c r="H95" s="24"/>
      <c r="I95" s="24"/>
      <c r="J95" s="24"/>
      <c r="K95" s="24"/>
      <c r="L95" s="24"/>
      <c r="M95" s="24"/>
      <c r="N95" s="24"/>
      <c r="O95" s="24"/>
      <c r="V95" s="31"/>
    </row>
    <row r="96" spans="1:22" x14ac:dyDescent="0.25">
      <c r="A96">
        <v>2997</v>
      </c>
      <c r="D96" s="22"/>
      <c r="E96" s="22"/>
      <c r="F96" s="24"/>
      <c r="G96" s="24"/>
      <c r="H96" s="24"/>
      <c r="I96" s="24"/>
      <c r="J96" s="24"/>
      <c r="K96" s="24"/>
      <c r="L96" s="24"/>
      <c r="M96" s="24"/>
      <c r="N96" s="24"/>
      <c r="O96" s="24"/>
      <c r="V96" s="31"/>
    </row>
    <row r="97" spans="1:22" x14ac:dyDescent="0.25">
      <c r="A97">
        <v>2050</v>
      </c>
      <c r="D97" s="22"/>
      <c r="E97" s="22"/>
      <c r="F97" s="24"/>
      <c r="G97" s="24"/>
      <c r="H97" s="24"/>
      <c r="I97" s="24"/>
      <c r="J97" s="24"/>
      <c r="K97" s="24"/>
      <c r="L97" s="24"/>
      <c r="M97" s="24"/>
      <c r="N97" s="24"/>
      <c r="O97" s="24"/>
      <c r="V97" s="31"/>
    </row>
    <row r="98" spans="1:22" x14ac:dyDescent="0.25">
      <c r="A98">
        <v>5987</v>
      </c>
      <c r="D98" s="22"/>
      <c r="E98" s="22"/>
      <c r="F98" s="24"/>
      <c r="G98" s="24"/>
      <c r="H98" s="24"/>
      <c r="I98" s="24"/>
      <c r="J98" s="24"/>
      <c r="K98" s="24"/>
      <c r="L98" s="24"/>
      <c r="M98" s="24"/>
      <c r="N98" s="24"/>
      <c r="O98" s="24"/>
      <c r="V98" s="31"/>
    </row>
    <row r="99" spans="1:22" x14ac:dyDescent="0.25">
      <c r="A99">
        <v>1039</v>
      </c>
      <c r="D99" s="22"/>
      <c r="E99" s="22"/>
      <c r="F99" s="24"/>
      <c r="G99" s="24"/>
      <c r="H99" s="24"/>
      <c r="I99" s="24"/>
      <c r="J99" s="24"/>
      <c r="K99" s="24"/>
      <c r="L99" s="24"/>
      <c r="M99" s="24"/>
      <c r="N99" s="24"/>
      <c r="O99" s="24"/>
      <c r="V99" s="31"/>
    </row>
    <row r="100" spans="1:22" x14ac:dyDescent="0.25">
      <c r="A100">
        <v>9564</v>
      </c>
      <c r="D100" s="22"/>
      <c r="E100" s="22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V100" s="31"/>
    </row>
    <row r="101" spans="1:22" x14ac:dyDescent="0.25">
      <c r="A101">
        <v>5041</v>
      </c>
      <c r="D101" s="22"/>
      <c r="E101" s="22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V101" s="31"/>
    </row>
    <row r="102" spans="1:22" x14ac:dyDescent="0.25">
      <c r="A102">
        <v>3826</v>
      </c>
      <c r="D102" s="22"/>
      <c r="E102" s="22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V102" s="31"/>
    </row>
    <row r="103" spans="1:22" x14ac:dyDescent="0.25">
      <c r="A103">
        <v>8316</v>
      </c>
      <c r="D103" s="22"/>
      <c r="E103" s="22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V103" s="31"/>
    </row>
    <row r="104" spans="1:22" x14ac:dyDescent="0.25">
      <c r="A104">
        <v>9398</v>
      </c>
      <c r="D104" s="22"/>
      <c r="E104" s="22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V104" s="31"/>
    </row>
    <row r="105" spans="1:22" x14ac:dyDescent="0.25">
      <c r="A105">
        <v>5642</v>
      </c>
      <c r="D105" s="22"/>
      <c r="E105" s="22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V105" s="31"/>
    </row>
    <row r="106" spans="1:22" x14ac:dyDescent="0.25">
      <c r="A106">
        <v>8511</v>
      </c>
      <c r="D106" s="22"/>
      <c r="E106" s="22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V106" s="31"/>
    </row>
    <row r="107" spans="1:22" x14ac:dyDescent="0.25">
      <c r="A107">
        <v>2558</v>
      </c>
      <c r="D107" s="22"/>
      <c r="E107" s="22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V107" s="31"/>
    </row>
    <row r="108" spans="1:22" x14ac:dyDescent="0.25">
      <c r="A108">
        <v>4472</v>
      </c>
      <c r="D108" s="22"/>
      <c r="E108" s="22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V108" s="31"/>
    </row>
    <row r="109" spans="1:22" x14ac:dyDescent="0.25">
      <c r="A109">
        <v>8554</v>
      </c>
      <c r="D109" s="22"/>
      <c r="E109" s="22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V109" s="31"/>
    </row>
    <row r="110" spans="1:22" x14ac:dyDescent="0.25">
      <c r="A110">
        <v>4159</v>
      </c>
      <c r="D110" s="22"/>
      <c r="E110" s="22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V110" s="31"/>
    </row>
    <row r="111" spans="1:22" x14ac:dyDescent="0.25">
      <c r="A111">
        <v>8422</v>
      </c>
      <c r="D111" s="22"/>
      <c r="E111" s="22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V111" s="31"/>
    </row>
    <row r="112" spans="1:22" x14ac:dyDescent="0.25">
      <c r="A112">
        <v>3308</v>
      </c>
      <c r="D112" s="22"/>
      <c r="E112" s="22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V112" s="31"/>
    </row>
    <row r="113" spans="1:22" x14ac:dyDescent="0.25">
      <c r="A113">
        <v>7630</v>
      </c>
      <c r="D113" s="22"/>
      <c r="E113" s="22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V113" s="31"/>
    </row>
    <row r="114" spans="1:22" x14ac:dyDescent="0.25">
      <c r="A114">
        <v>4087</v>
      </c>
      <c r="D114" s="22"/>
      <c r="E114" s="22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V114" s="31"/>
    </row>
    <row r="115" spans="1:22" x14ac:dyDescent="0.25">
      <c r="A115">
        <v>5199</v>
      </c>
      <c r="D115" s="22"/>
      <c r="E115" s="22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V115" s="31"/>
    </row>
    <row r="116" spans="1:22" x14ac:dyDescent="0.25">
      <c r="A116">
        <v>1068</v>
      </c>
      <c r="D116" s="22"/>
      <c r="E116" s="22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V116" s="31"/>
    </row>
    <row r="117" spans="1:22" x14ac:dyDescent="0.25">
      <c r="A117">
        <v>6401</v>
      </c>
      <c r="D117" s="22"/>
      <c r="E117" s="22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V117" s="31"/>
    </row>
    <row r="118" spans="1:22" x14ac:dyDescent="0.25">
      <c r="A118">
        <v>8560</v>
      </c>
      <c r="D118" s="22"/>
      <c r="E118" s="22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V118" s="31"/>
    </row>
    <row r="119" spans="1:22" x14ac:dyDescent="0.25">
      <c r="A119">
        <v>8725</v>
      </c>
      <c r="D119" s="22"/>
      <c r="E119" s="22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V119" s="31"/>
    </row>
    <row r="120" spans="1:22" x14ac:dyDescent="0.25">
      <c r="A120">
        <v>8328</v>
      </c>
      <c r="D120" s="22"/>
      <c r="E120" s="22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V120" s="31"/>
    </row>
    <row r="121" spans="1:22" x14ac:dyDescent="0.25">
      <c r="A121">
        <v>9921</v>
      </c>
      <c r="D121" s="22"/>
      <c r="E121" s="22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V121" s="31"/>
    </row>
    <row r="122" spans="1:22" x14ac:dyDescent="0.25">
      <c r="A122">
        <v>6797</v>
      </c>
      <c r="D122" s="22"/>
      <c r="E122" s="22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V122" s="31"/>
    </row>
    <row r="123" spans="1:22" x14ac:dyDescent="0.25">
      <c r="A123">
        <v>7918</v>
      </c>
      <c r="D123" s="22"/>
      <c r="E123" s="22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V123" s="31"/>
    </row>
    <row r="124" spans="1:22" x14ac:dyDescent="0.25">
      <c r="A124">
        <v>2284</v>
      </c>
      <c r="D124" s="22"/>
      <c r="E124" s="22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V124" s="31"/>
    </row>
    <row r="125" spans="1:22" x14ac:dyDescent="0.25">
      <c r="A125">
        <v>3516</v>
      </c>
      <c r="D125" s="22"/>
      <c r="E125" s="22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V125" s="31"/>
    </row>
    <row r="126" spans="1:22" x14ac:dyDescent="0.25">
      <c r="A126">
        <v>2804</v>
      </c>
      <c r="D126" s="22"/>
      <c r="E126" s="22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V126" s="31"/>
    </row>
    <row r="127" spans="1:22" x14ac:dyDescent="0.25">
      <c r="A127">
        <v>1216</v>
      </c>
      <c r="D127" s="22"/>
      <c r="E127" s="22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V127" s="31"/>
    </row>
    <row r="128" spans="1:22" x14ac:dyDescent="0.25">
      <c r="A128">
        <v>2651</v>
      </c>
      <c r="D128" s="22"/>
      <c r="E128" s="22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V128" s="31"/>
    </row>
    <row r="129" spans="1:22" x14ac:dyDescent="0.25">
      <c r="A129">
        <v>9385</v>
      </c>
      <c r="D129" s="22"/>
      <c r="E129" s="22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V129" s="31"/>
    </row>
    <row r="130" spans="1:22" x14ac:dyDescent="0.25">
      <c r="A130">
        <v>5212</v>
      </c>
      <c r="D130" s="22"/>
      <c r="E130" s="22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V130" s="31"/>
    </row>
    <row r="131" spans="1:22" x14ac:dyDescent="0.25">
      <c r="A131">
        <v>4333</v>
      </c>
      <c r="D131" s="22"/>
      <c r="E131" s="22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V131" s="31"/>
    </row>
    <row r="132" spans="1:22" x14ac:dyDescent="0.25">
      <c r="A132">
        <v>6582</v>
      </c>
      <c r="D132" s="22"/>
      <c r="E132" s="22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V132" s="31"/>
    </row>
    <row r="133" spans="1:22" x14ac:dyDescent="0.25">
      <c r="A133">
        <v>8756</v>
      </c>
      <c r="D133" s="22"/>
      <c r="E133" s="22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V133" s="31"/>
    </row>
    <row r="134" spans="1:22" x14ac:dyDescent="0.25">
      <c r="A134">
        <v>7573</v>
      </c>
      <c r="D134" s="22"/>
      <c r="E134" s="22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V134" s="31"/>
    </row>
    <row r="135" spans="1:22" x14ac:dyDescent="0.25">
      <c r="A135">
        <v>4638</v>
      </c>
      <c r="D135" s="22"/>
      <c r="E135" s="22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V135" s="31"/>
    </row>
    <row r="136" spans="1:22" x14ac:dyDescent="0.25">
      <c r="A136">
        <v>5521</v>
      </c>
      <c r="D136" s="22"/>
      <c r="E136" s="22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V136" s="31"/>
    </row>
    <row r="137" spans="1:22" x14ac:dyDescent="0.25">
      <c r="A137">
        <v>2009</v>
      </c>
      <c r="D137" s="22"/>
      <c r="E137" s="22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V137" s="31"/>
    </row>
    <row r="138" spans="1:22" x14ac:dyDescent="0.25">
      <c r="A138">
        <v>7746</v>
      </c>
      <c r="D138" s="22"/>
      <c r="E138" s="22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V138" s="31"/>
    </row>
    <row r="139" spans="1:22" x14ac:dyDescent="0.25">
      <c r="A139">
        <v>8837</v>
      </c>
      <c r="D139" s="22"/>
      <c r="E139" s="22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V139" s="31"/>
    </row>
    <row r="140" spans="1:22" x14ac:dyDescent="0.25">
      <c r="A140">
        <v>7217</v>
      </c>
      <c r="D140" s="22"/>
      <c r="E140" s="22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V140" s="31"/>
    </row>
    <row r="141" spans="1:22" x14ac:dyDescent="0.25">
      <c r="A141">
        <v>5887</v>
      </c>
      <c r="D141" s="22"/>
      <c r="E141" s="22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V141" s="31"/>
    </row>
    <row r="142" spans="1:22" x14ac:dyDescent="0.25">
      <c r="A142">
        <v>1056</v>
      </c>
      <c r="D142" s="22"/>
      <c r="E142" s="22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V142" s="31"/>
    </row>
    <row r="143" spans="1:22" x14ac:dyDescent="0.25">
      <c r="A143">
        <v>8351</v>
      </c>
      <c r="D143" s="22"/>
      <c r="E143" s="22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V143" s="31"/>
    </row>
    <row r="144" spans="1:22" x14ac:dyDescent="0.25">
      <c r="A144">
        <v>2955</v>
      </c>
      <c r="D144" s="22"/>
      <c r="E144" s="22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V144" s="31"/>
    </row>
    <row r="145" spans="1:23" x14ac:dyDescent="0.25">
      <c r="A145">
        <v>9597</v>
      </c>
      <c r="D145" s="22"/>
      <c r="E145" s="22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V145" s="31"/>
    </row>
    <row r="146" spans="1:23" x14ac:dyDescent="0.25">
      <c r="A146">
        <v>2022</v>
      </c>
      <c r="D146" s="22"/>
      <c r="E146" s="22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V146" s="31"/>
    </row>
    <row r="147" spans="1:23" x14ac:dyDescent="0.25">
      <c r="A147">
        <v>5562</v>
      </c>
      <c r="D147" s="22"/>
      <c r="E147" s="22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V147" s="31"/>
    </row>
    <row r="148" spans="1:23" x14ac:dyDescent="0.25">
      <c r="A148">
        <v>9942</v>
      </c>
      <c r="D148" s="22"/>
      <c r="E148" s="22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V148" s="31"/>
    </row>
    <row r="149" spans="1:23" x14ac:dyDescent="0.25">
      <c r="A149">
        <v>6088</v>
      </c>
      <c r="D149" s="22"/>
      <c r="E149" s="22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V149" s="31"/>
    </row>
    <row r="150" spans="1:23" x14ac:dyDescent="0.25">
      <c r="A150">
        <v>6264</v>
      </c>
      <c r="D150" s="22"/>
      <c r="E150" s="22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V150" s="31"/>
    </row>
    <row r="151" spans="1:23" x14ac:dyDescent="0.25">
      <c r="A151">
        <v>5587</v>
      </c>
      <c r="D151" s="22"/>
      <c r="E151" s="22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V151" s="31"/>
    </row>
    <row r="152" spans="1:23" x14ac:dyDescent="0.25">
      <c r="A152">
        <v>5851</v>
      </c>
      <c r="D152" s="22"/>
      <c r="E152" s="22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V152" s="31"/>
    </row>
    <row r="153" spans="1:23" x14ac:dyDescent="0.25">
      <c r="A153">
        <v>9991</v>
      </c>
      <c r="D153" s="22"/>
      <c r="E153" s="22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V153" s="31"/>
    </row>
    <row r="154" spans="1:23" x14ac:dyDescent="0.25">
      <c r="A154">
        <v>3068</v>
      </c>
      <c r="D154" s="22"/>
      <c r="E154" s="22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V154" s="31"/>
    </row>
    <row r="155" spans="1:23" x14ac:dyDescent="0.25">
      <c r="A155">
        <v>1364</v>
      </c>
      <c r="D155" s="22"/>
      <c r="E155" s="22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V155" s="31"/>
    </row>
    <row r="156" spans="1:23" x14ac:dyDescent="0.25">
      <c r="A156">
        <v>9900</v>
      </c>
      <c r="D156" s="22"/>
      <c r="E156" s="22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V156" s="31"/>
    </row>
    <row r="157" spans="1:23" x14ac:dyDescent="0.25">
      <c r="A157">
        <v>4349</v>
      </c>
      <c r="D157" s="22"/>
      <c r="E157" s="22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V157" s="31"/>
    </row>
    <row r="158" spans="1:23" x14ac:dyDescent="0.25">
      <c r="A158">
        <v>2884</v>
      </c>
      <c r="D158" s="22"/>
      <c r="E158" s="22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V158" s="31"/>
    </row>
    <row r="159" spans="1:23" x14ac:dyDescent="0.25">
      <c r="A159">
        <v>4029</v>
      </c>
      <c r="D159" s="22"/>
      <c r="E159" s="22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V159" s="31"/>
      <c r="W159" s="28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O108"/>
  <sheetViews>
    <sheetView rightToLeft="1" topLeftCell="A76" workbookViewId="0">
      <selection activeCell="D97" sqref="D97"/>
    </sheetView>
  </sheetViews>
  <sheetFormatPr defaultRowHeight="15" x14ac:dyDescent="0.25"/>
  <cols>
    <col min="3" max="3" width="15.140625" bestFit="1" customWidth="1"/>
    <col min="4" max="4" width="13.42578125" bestFit="1" customWidth="1"/>
    <col min="15" max="15" width="10.7109375" bestFit="1" customWidth="1"/>
  </cols>
  <sheetData>
    <row r="3" spans="4:9" x14ac:dyDescent="0.25">
      <c r="E3">
        <v>5</v>
      </c>
      <c r="F3">
        <v>4</v>
      </c>
      <c r="G3">
        <v>3</v>
      </c>
      <c r="H3">
        <v>2</v>
      </c>
      <c r="I3">
        <v>1</v>
      </c>
    </row>
    <row r="4" spans="4:9" x14ac:dyDescent="0.25">
      <c r="E4" t="s">
        <v>72</v>
      </c>
      <c r="F4" t="s">
        <v>73</v>
      </c>
      <c r="G4" t="s">
        <v>74</v>
      </c>
      <c r="H4" t="s">
        <v>75</v>
      </c>
      <c r="I4" t="s">
        <v>76</v>
      </c>
    </row>
    <row r="5" spans="4:9" x14ac:dyDescent="0.25">
      <c r="D5" t="s">
        <v>13</v>
      </c>
      <c r="E5">
        <f>COUNTIF(EvalDB!$F:$F,E$3)</f>
        <v>0</v>
      </c>
      <c r="F5">
        <f>COUNTIF(EvalDB!$F:$F,F$3)</f>
        <v>0</v>
      </c>
      <c r="G5">
        <f>COUNTIF(EvalDB!$F:$F,G$3)</f>
        <v>0</v>
      </c>
      <c r="H5">
        <f>COUNTIF(EvalDB!$F:$F,H$3)</f>
        <v>0</v>
      </c>
      <c r="I5">
        <f>COUNTIF(EvalDB!$F:$F,I$3)</f>
        <v>0</v>
      </c>
    </row>
    <row r="6" spans="4:9" x14ac:dyDescent="0.25">
      <c r="D6" t="s">
        <v>14</v>
      </c>
      <c r="E6">
        <f>COUNTIF(EvalDB!$G:$G,E$3)</f>
        <v>0</v>
      </c>
      <c r="F6">
        <f>COUNTIF(EvalDB!$G:$G,F$3)</f>
        <v>0</v>
      </c>
      <c r="G6">
        <f>COUNTIF(EvalDB!$G:$G,G$3)</f>
        <v>0</v>
      </c>
      <c r="H6">
        <f>COUNTIF(EvalDB!$G:$G,H$3)</f>
        <v>0</v>
      </c>
      <c r="I6">
        <f>COUNTIF(EvalDB!$G:$G,I$3)</f>
        <v>0</v>
      </c>
    </row>
    <row r="7" spans="4:9" x14ac:dyDescent="0.25">
      <c r="D7" t="s">
        <v>15</v>
      </c>
      <c r="E7">
        <f>COUNTIF(EvalDB!$H:$H,E$3)</f>
        <v>0</v>
      </c>
      <c r="F7">
        <f>COUNTIF(EvalDB!$H:$H,F$3)</f>
        <v>0</v>
      </c>
      <c r="G7">
        <f>COUNTIF(EvalDB!$H:$H,G$3)</f>
        <v>0</v>
      </c>
      <c r="H7">
        <f>COUNTIF(EvalDB!$H:$H,H$3)</f>
        <v>0</v>
      </c>
      <c r="I7">
        <f>COUNTIF(EvalDB!$H:$H,I$3)</f>
        <v>0</v>
      </c>
    </row>
    <row r="8" spans="4:9" x14ac:dyDescent="0.25">
      <c r="D8" t="s">
        <v>16</v>
      </c>
      <c r="E8">
        <f>COUNTIF(EvalDB!$I:$I,E$3)</f>
        <v>0</v>
      </c>
      <c r="F8">
        <f>COUNTIF(EvalDB!$I:$I,F$3)</f>
        <v>0</v>
      </c>
      <c r="G8">
        <f>COUNTIF(EvalDB!$I:$I,G$3)</f>
        <v>0</v>
      </c>
      <c r="H8">
        <f>COUNTIF(EvalDB!$I:$I,H$3)</f>
        <v>0</v>
      </c>
      <c r="I8">
        <f>COUNTIF(EvalDB!$I:$I,I$3)</f>
        <v>0</v>
      </c>
    </row>
    <row r="9" spans="4:9" x14ac:dyDescent="0.25">
      <c r="D9" t="s">
        <v>17</v>
      </c>
      <c r="E9">
        <f>COUNTIF(EvalDB!$J:$J,E$3)</f>
        <v>0</v>
      </c>
      <c r="F9">
        <f>COUNTIF(EvalDB!$J:$J,F$3)</f>
        <v>0</v>
      </c>
      <c r="G9">
        <f>COUNTIF(EvalDB!$J:$J,G$3)</f>
        <v>0</v>
      </c>
      <c r="H9">
        <f>COUNTIF(EvalDB!$J:$J,H$3)</f>
        <v>0</v>
      </c>
      <c r="I9">
        <f>COUNTIF(EvalDB!$J:$J,I$3)</f>
        <v>0</v>
      </c>
    </row>
    <row r="10" spans="4:9" x14ac:dyDescent="0.25">
      <c r="D10" t="s">
        <v>18</v>
      </c>
      <c r="E10">
        <f>COUNTIF(EvalDB!$K:$K,E$3)</f>
        <v>0</v>
      </c>
      <c r="F10">
        <f>COUNTIF(EvalDB!$K:$K,F$3)</f>
        <v>0</v>
      </c>
      <c r="G10">
        <f>COUNTIF(EvalDB!$K:$K,G$3)</f>
        <v>0</v>
      </c>
      <c r="H10">
        <f>COUNTIF(EvalDB!$K:$K,H$3)</f>
        <v>0</v>
      </c>
      <c r="I10">
        <f>COUNTIF(EvalDB!$K:$K,I$3)</f>
        <v>0</v>
      </c>
    </row>
    <row r="11" spans="4:9" x14ac:dyDescent="0.25">
      <c r="D11" t="s">
        <v>19</v>
      </c>
      <c r="E11">
        <f>COUNTIF(EvalDB!$L:$L,E$3)</f>
        <v>0</v>
      </c>
      <c r="F11">
        <f>COUNTIF(EvalDB!$L:$L,F$3)</f>
        <v>0</v>
      </c>
      <c r="G11">
        <f>COUNTIF(EvalDB!$L:$L,G$3)</f>
        <v>0</v>
      </c>
      <c r="H11">
        <f>COUNTIF(EvalDB!$L:$L,H$3)</f>
        <v>0</v>
      </c>
      <c r="I11">
        <f>COUNTIF(EvalDB!$L:$L,I$3)</f>
        <v>0</v>
      </c>
    </row>
    <row r="12" spans="4:9" x14ac:dyDescent="0.25">
      <c r="D12" t="s">
        <v>20</v>
      </c>
      <c r="E12">
        <f>COUNTIF(EvalDB!$M:$M,E$3)</f>
        <v>0</v>
      </c>
      <c r="F12">
        <f>COUNTIF(EvalDB!$M:$M,F$3)</f>
        <v>0</v>
      </c>
      <c r="G12">
        <f>COUNTIF(EvalDB!$M:$M,G$3)</f>
        <v>0</v>
      </c>
      <c r="H12">
        <f>COUNTIF(EvalDB!$M:$M,H$3)</f>
        <v>0</v>
      </c>
      <c r="I12">
        <f>COUNTIF(EvalDB!$M:$M,I$3)</f>
        <v>0</v>
      </c>
    </row>
    <row r="13" spans="4:9" x14ac:dyDescent="0.25">
      <c r="D13" t="s">
        <v>21</v>
      </c>
      <c r="E13">
        <f>COUNTIF(EvalDB!$N:$N,E$3)</f>
        <v>0</v>
      </c>
      <c r="F13">
        <f>COUNTIF(EvalDB!$N:$N,F$3)</f>
        <v>0</v>
      </c>
      <c r="G13">
        <f>COUNTIF(EvalDB!$N:$N,G$3)</f>
        <v>0</v>
      </c>
      <c r="H13">
        <f>COUNTIF(EvalDB!$N:$N,H$3)</f>
        <v>0</v>
      </c>
      <c r="I13">
        <f>COUNTIF(EvalDB!$N:$N,I$3)</f>
        <v>0</v>
      </c>
    </row>
    <row r="14" spans="4:9" x14ac:dyDescent="0.25">
      <c r="D14" t="s">
        <v>22</v>
      </c>
      <c r="E14">
        <f>COUNTIF(EvalDB!$O:$O,E$3)</f>
        <v>0</v>
      </c>
      <c r="F14">
        <f>COUNTIF(EvalDB!$O:$O,F$3)</f>
        <v>0</v>
      </c>
      <c r="G14">
        <f>COUNTIF(EvalDB!$O:$O,G$3)</f>
        <v>0</v>
      </c>
      <c r="H14">
        <f>COUNTIF(EvalDB!$O:$O,H$3)</f>
        <v>0</v>
      </c>
      <c r="I14">
        <f>COUNTIF(EvalDB!$O:$O,I$3)</f>
        <v>0</v>
      </c>
    </row>
    <row r="20" spans="4:10" x14ac:dyDescent="0.25">
      <c r="E20" t="str">
        <f>F4</f>
        <v>راضي</v>
      </c>
      <c r="F20" t="str">
        <f>G4</f>
        <v>محايد</v>
      </c>
      <c r="G20" t="str">
        <f>E4</f>
        <v>راضي تماماً</v>
      </c>
      <c r="H20" t="s">
        <v>74</v>
      </c>
      <c r="I20" t="str">
        <f>H4</f>
        <v>مقبول</v>
      </c>
      <c r="J20" t="str">
        <f>I4</f>
        <v>غير راضي</v>
      </c>
    </row>
    <row r="21" spans="4:10" x14ac:dyDescent="0.25">
      <c r="D21" t="str">
        <f t="shared" ref="D21:D30" si="0">D5</f>
        <v>هل مكان العمل مناسب صحياً وعملياً ؟</v>
      </c>
      <c r="E21">
        <f>F5</f>
        <v>0</v>
      </c>
      <c r="F21">
        <f>G5/2</f>
        <v>0</v>
      </c>
      <c r="G21">
        <f>E5</f>
        <v>0</v>
      </c>
      <c r="H21">
        <f>-G5/2</f>
        <v>0</v>
      </c>
      <c r="I21">
        <f>-H5</f>
        <v>0</v>
      </c>
      <c r="J21">
        <f>-I5</f>
        <v>0</v>
      </c>
    </row>
    <row r="22" spans="4:10" x14ac:dyDescent="0.25">
      <c r="D22" t="str">
        <f t="shared" si="0"/>
        <v>هل لديك إطلاع بالسياسات والأجراءات وهل ترى أنها مناسبة وعادلة؟</v>
      </c>
      <c r="E22">
        <f t="shared" ref="E22:E30" si="1">F6</f>
        <v>0</v>
      </c>
      <c r="F22">
        <f t="shared" ref="F22:F30" si="2">G6/2</f>
        <v>0</v>
      </c>
      <c r="G22">
        <f t="shared" ref="G22:G30" si="3">E6</f>
        <v>0</v>
      </c>
      <c r="H22">
        <f t="shared" ref="H22:H30" si="4">-G6/2</f>
        <v>0</v>
      </c>
      <c r="I22">
        <f t="shared" ref="I22:J30" si="5">-H6</f>
        <v>0</v>
      </c>
      <c r="J22">
        <f t="shared" si="5"/>
        <v>0</v>
      </c>
    </row>
    <row r="23" spans="4:10" x14ac:dyDescent="0.25">
      <c r="D23" t="str">
        <f t="shared" si="0"/>
        <v>هل  الرواتب المميزات الممنوحة لك جيدة وتكافئ وزن المهام المكلة إليك؟</v>
      </c>
      <c r="E23">
        <f t="shared" si="1"/>
        <v>0</v>
      </c>
      <c r="F23">
        <f t="shared" si="2"/>
        <v>0</v>
      </c>
      <c r="G23">
        <f t="shared" si="3"/>
        <v>0</v>
      </c>
      <c r="H23">
        <f t="shared" si="4"/>
        <v>0</v>
      </c>
      <c r="I23">
        <f t="shared" si="5"/>
        <v>0</v>
      </c>
      <c r="J23">
        <f t="shared" si="5"/>
        <v>0</v>
      </c>
    </row>
    <row r="24" spans="4:10" x14ac:dyDescent="0.25">
      <c r="D24" t="str">
        <f t="shared" si="0"/>
        <v>هل ترى أن الشركة تولي اهتماماً بالموظفين؟</v>
      </c>
      <c r="E24">
        <f t="shared" si="1"/>
        <v>0</v>
      </c>
      <c r="F24">
        <f t="shared" si="2"/>
        <v>0</v>
      </c>
      <c r="G24">
        <f t="shared" si="3"/>
        <v>0</v>
      </c>
      <c r="H24">
        <f t="shared" si="4"/>
        <v>0</v>
      </c>
      <c r="I24">
        <f t="shared" si="5"/>
        <v>0</v>
      </c>
      <c r="J24">
        <f t="shared" si="5"/>
        <v>0</v>
      </c>
    </row>
    <row r="25" spans="4:10" x14ac:dyDescent="0.25">
      <c r="D25" t="str">
        <f t="shared" si="0"/>
        <v>هل تلقيت الدعم المناسب من مديرك المباشر ؟</v>
      </c>
      <c r="E25">
        <f t="shared" si="1"/>
        <v>0</v>
      </c>
      <c r="F25">
        <f t="shared" si="2"/>
        <v>0</v>
      </c>
      <c r="G25">
        <f t="shared" si="3"/>
        <v>0</v>
      </c>
      <c r="H25">
        <f t="shared" si="4"/>
        <v>0</v>
      </c>
      <c r="I25">
        <f t="shared" si="5"/>
        <v>0</v>
      </c>
      <c r="J25">
        <f t="shared" si="5"/>
        <v>0</v>
      </c>
    </row>
    <row r="26" spans="4:10" x14ac:dyDescent="0.25">
      <c r="D26" t="str">
        <f t="shared" si="0"/>
        <v>كيف ترى توجهات الشركة الإستراتيجية وقدرتها على التغيير؟</v>
      </c>
      <c r="E26">
        <f t="shared" si="1"/>
        <v>0</v>
      </c>
      <c r="F26">
        <f t="shared" si="2"/>
        <v>0</v>
      </c>
      <c r="G26">
        <f t="shared" si="3"/>
        <v>0</v>
      </c>
      <c r="H26">
        <f t="shared" si="4"/>
        <v>0</v>
      </c>
      <c r="I26">
        <f t="shared" si="5"/>
        <v>0</v>
      </c>
      <c r="J26">
        <f t="shared" si="5"/>
        <v>0</v>
      </c>
    </row>
    <row r="27" spans="4:10" x14ac:dyDescent="0.25">
      <c r="D27" t="str">
        <f t="shared" si="0"/>
        <v>هل تلقيت التدريب المناسب؟</v>
      </c>
      <c r="E27">
        <f t="shared" si="1"/>
        <v>0</v>
      </c>
      <c r="F27">
        <f t="shared" si="2"/>
        <v>0</v>
      </c>
      <c r="G27">
        <f t="shared" si="3"/>
        <v>0</v>
      </c>
      <c r="H27">
        <f t="shared" si="4"/>
        <v>0</v>
      </c>
      <c r="I27">
        <f t="shared" si="5"/>
        <v>0</v>
      </c>
      <c r="J27">
        <f t="shared" si="5"/>
        <v>0</v>
      </c>
    </row>
    <row r="28" spans="4:10" x14ac:dyDescent="0.25">
      <c r="D28" t="str">
        <f t="shared" si="0"/>
        <v>هل كان لديك وضوح تام بالمهام والمسؤوليات الموكلة إليك ؟</v>
      </c>
      <c r="E28">
        <f t="shared" si="1"/>
        <v>0</v>
      </c>
      <c r="F28">
        <f t="shared" si="2"/>
        <v>0</v>
      </c>
      <c r="G28">
        <f t="shared" si="3"/>
        <v>0</v>
      </c>
      <c r="H28">
        <f t="shared" si="4"/>
        <v>0</v>
      </c>
      <c r="I28">
        <f t="shared" si="5"/>
        <v>0</v>
      </c>
      <c r="J28">
        <f t="shared" si="5"/>
        <v>0</v>
      </c>
    </row>
    <row r="29" spans="4:10" x14ac:dyDescent="0.25">
      <c r="D29" t="str">
        <f t="shared" si="0"/>
        <v>هل حصلت على فرصة الزيادة والترقية بطريقة عادلة ومنصفة ؟</v>
      </c>
      <c r="E29">
        <f t="shared" si="1"/>
        <v>0</v>
      </c>
      <c r="F29">
        <f t="shared" si="2"/>
        <v>0</v>
      </c>
      <c r="G29">
        <f t="shared" si="3"/>
        <v>0</v>
      </c>
      <c r="H29">
        <f t="shared" si="4"/>
        <v>0</v>
      </c>
      <c r="I29">
        <f t="shared" si="5"/>
        <v>0</v>
      </c>
      <c r="J29">
        <f t="shared" si="5"/>
        <v>0</v>
      </c>
    </row>
    <row r="30" spans="4:10" x14ac:dyDescent="0.25">
      <c r="D30" t="str">
        <f t="shared" si="0"/>
        <v>مدى التعاون والعلاقات البنائة بين فريق العمل.</v>
      </c>
      <c r="E30">
        <f t="shared" si="1"/>
        <v>0</v>
      </c>
      <c r="F30">
        <f t="shared" si="2"/>
        <v>0</v>
      </c>
      <c r="G30">
        <f t="shared" si="3"/>
        <v>0</v>
      </c>
      <c r="H30">
        <f t="shared" si="4"/>
        <v>0</v>
      </c>
      <c r="I30">
        <f t="shared" si="5"/>
        <v>0</v>
      </c>
      <c r="J30">
        <f t="shared" si="5"/>
        <v>0</v>
      </c>
    </row>
    <row r="57" spans="3:4" x14ac:dyDescent="0.25">
      <c r="C57" s="29" t="s">
        <v>77</v>
      </c>
      <c r="D57" t="s">
        <v>79</v>
      </c>
    </row>
    <row r="58" spans="3:4" x14ac:dyDescent="0.25">
      <c r="C58" s="30" t="s">
        <v>68</v>
      </c>
      <c r="D58" s="28">
        <v>9</v>
      </c>
    </row>
    <row r="59" spans="3:4" x14ac:dyDescent="0.25">
      <c r="C59" s="30" t="s">
        <v>65</v>
      </c>
      <c r="D59" s="28">
        <v>31</v>
      </c>
    </row>
    <row r="60" spans="3:4" x14ac:dyDescent="0.25">
      <c r="C60" s="30" t="s">
        <v>69</v>
      </c>
      <c r="D60" s="28">
        <v>15</v>
      </c>
    </row>
    <row r="61" spans="3:4" x14ac:dyDescent="0.25">
      <c r="C61" s="30" t="s">
        <v>67</v>
      </c>
      <c r="D61" s="28">
        <v>26</v>
      </c>
    </row>
    <row r="62" spans="3:4" x14ac:dyDescent="0.25">
      <c r="C62" s="30" t="s">
        <v>66</v>
      </c>
      <c r="D62" s="28">
        <v>4</v>
      </c>
    </row>
    <row r="63" spans="3:4" x14ac:dyDescent="0.25">
      <c r="C63" s="30" t="s">
        <v>80</v>
      </c>
      <c r="D63" s="28">
        <v>72</v>
      </c>
    </row>
    <row r="64" spans="3:4" x14ac:dyDescent="0.25">
      <c r="C64" s="30" t="s">
        <v>78</v>
      </c>
      <c r="D64" s="28">
        <v>157</v>
      </c>
    </row>
    <row r="71" spans="3:4" x14ac:dyDescent="0.25">
      <c r="C71" s="29" t="s">
        <v>77</v>
      </c>
      <c r="D71" t="s">
        <v>79</v>
      </c>
    </row>
    <row r="72" spans="3:4" x14ac:dyDescent="0.25">
      <c r="C72" s="30" t="s">
        <v>39</v>
      </c>
      <c r="D72" s="28">
        <v>22</v>
      </c>
    </row>
    <row r="73" spans="3:4" x14ac:dyDescent="0.25">
      <c r="C73" s="30" t="s">
        <v>35</v>
      </c>
      <c r="D73" s="28">
        <v>13</v>
      </c>
    </row>
    <row r="74" spans="3:4" x14ac:dyDescent="0.25">
      <c r="C74" s="30" t="s">
        <v>34</v>
      </c>
      <c r="D74" s="28">
        <v>17</v>
      </c>
    </row>
    <row r="75" spans="3:4" x14ac:dyDescent="0.25">
      <c r="C75" s="30" t="s">
        <v>40</v>
      </c>
      <c r="D75" s="28">
        <v>39</v>
      </c>
    </row>
    <row r="76" spans="3:4" x14ac:dyDescent="0.25">
      <c r="C76" s="30" t="s">
        <v>41</v>
      </c>
      <c r="D76" s="28">
        <v>17</v>
      </c>
    </row>
    <row r="77" spans="3:4" x14ac:dyDescent="0.25">
      <c r="C77" s="30" t="s">
        <v>36</v>
      </c>
      <c r="D77" s="28">
        <v>12</v>
      </c>
    </row>
    <row r="78" spans="3:4" x14ac:dyDescent="0.25">
      <c r="C78" s="30" t="s">
        <v>38</v>
      </c>
      <c r="D78" s="28">
        <v>20</v>
      </c>
    </row>
    <row r="79" spans="3:4" x14ac:dyDescent="0.25">
      <c r="C79" s="30" t="s">
        <v>37</v>
      </c>
      <c r="D79" s="28">
        <v>17</v>
      </c>
    </row>
    <row r="80" spans="3:4" x14ac:dyDescent="0.25">
      <c r="C80" s="30" t="s">
        <v>78</v>
      </c>
      <c r="D80" s="28">
        <v>157</v>
      </c>
    </row>
    <row r="88" spans="3:15" x14ac:dyDescent="0.25">
      <c r="O88" s="22"/>
    </row>
    <row r="89" spans="3:15" x14ac:dyDescent="0.25">
      <c r="C89" t="s">
        <v>82</v>
      </c>
      <c r="D89" t="s">
        <v>86</v>
      </c>
    </row>
    <row r="90" spans="3:15" x14ac:dyDescent="0.25">
      <c r="C90" t="s">
        <v>85</v>
      </c>
      <c r="D90">
        <f>COUNTIF(EvalDB!$V:$V,"&gt;"&amp;10)</f>
        <v>0</v>
      </c>
    </row>
    <row r="91" spans="3:15" x14ac:dyDescent="0.25">
      <c r="C91" t="s">
        <v>84</v>
      </c>
      <c r="D91">
        <f>COUNTIFS(EvalDB!$V:$V,"&gt;="&amp;5,EvalDB!$V:$V,"&lt;"&amp;10)</f>
        <v>0</v>
      </c>
    </row>
    <row r="92" spans="3:15" x14ac:dyDescent="0.25">
      <c r="C92" t="s">
        <v>87</v>
      </c>
      <c r="D92">
        <f>COUNTIFS(EvalDB!$V:$V,"&gt;="&amp;2,EvalDB!$V:$V,"&lt;"&amp;5)</f>
        <v>0</v>
      </c>
    </row>
    <row r="93" spans="3:15" x14ac:dyDescent="0.25">
      <c r="C93" t="s">
        <v>83</v>
      </c>
      <c r="D93">
        <f>COUNTIF(EvalDB!$V:$V,"&lt;"&amp;2)</f>
        <v>0</v>
      </c>
    </row>
    <row r="96" spans="3:15" x14ac:dyDescent="0.25">
      <c r="C96" t="s">
        <v>101</v>
      </c>
      <c r="D96" t="s">
        <v>86</v>
      </c>
    </row>
    <row r="97" spans="2:4" x14ac:dyDescent="0.25">
      <c r="B97">
        <v>1</v>
      </c>
      <c r="C97" t="s">
        <v>88</v>
      </c>
      <c r="D97" t="e">
        <f>IF(COUNTIF(EvalDB!$W:$W,B97)=0,NA(),COUNTIF(EvalDB!$W:$W,B97))</f>
        <v>#N/A</v>
      </c>
    </row>
    <row r="98" spans="2:4" x14ac:dyDescent="0.25">
      <c r="B98">
        <v>2</v>
      </c>
      <c r="C98" t="s">
        <v>89</v>
      </c>
      <c r="D98" t="e">
        <f>IF(COUNTIF(EvalDB!$W:$W,B98)=0,NA(),COUNTIF(EvalDB!$W:$W,B98))</f>
        <v>#N/A</v>
      </c>
    </row>
    <row r="99" spans="2:4" x14ac:dyDescent="0.25">
      <c r="B99">
        <v>3</v>
      </c>
      <c r="C99" t="s">
        <v>90</v>
      </c>
      <c r="D99" t="e">
        <f>IF(COUNTIF(EvalDB!$W:$W,B99)=0,NA(),COUNTIF(EvalDB!$W:$W,B99))</f>
        <v>#N/A</v>
      </c>
    </row>
    <row r="100" spans="2:4" x14ac:dyDescent="0.25">
      <c r="B100">
        <v>4</v>
      </c>
      <c r="C100" t="s">
        <v>91</v>
      </c>
      <c r="D100" t="e">
        <f>IF(COUNTIF(EvalDB!$W:$W,B100)=0,NA(),COUNTIF(EvalDB!$W:$W,B100))</f>
        <v>#N/A</v>
      </c>
    </row>
    <row r="101" spans="2:4" x14ac:dyDescent="0.25">
      <c r="B101">
        <v>5</v>
      </c>
      <c r="C101" t="s">
        <v>92</v>
      </c>
      <c r="D101" t="e">
        <f>IF(COUNTIF(EvalDB!$W:$W,B101)=0,NA(),COUNTIF(EvalDB!$W:$W,B101))</f>
        <v>#N/A</v>
      </c>
    </row>
    <row r="102" spans="2:4" x14ac:dyDescent="0.25">
      <c r="B102">
        <v>6</v>
      </c>
      <c r="C102" t="s">
        <v>93</v>
      </c>
      <c r="D102" t="e">
        <f>IF(COUNTIF(EvalDB!$W:$W,B102)=0,NA(),COUNTIF(EvalDB!$W:$W,B102))</f>
        <v>#N/A</v>
      </c>
    </row>
    <row r="103" spans="2:4" x14ac:dyDescent="0.25">
      <c r="B103">
        <v>7</v>
      </c>
      <c r="C103" t="s">
        <v>94</v>
      </c>
      <c r="D103" t="e">
        <f>IF(COUNTIF(EvalDB!$W:$W,B103)=0,NA(),COUNTIF(EvalDB!$W:$W,B103))</f>
        <v>#N/A</v>
      </c>
    </row>
    <row r="104" spans="2:4" x14ac:dyDescent="0.25">
      <c r="B104">
        <v>8</v>
      </c>
      <c r="C104" t="s">
        <v>95</v>
      </c>
      <c r="D104" t="e">
        <f>IF(COUNTIF(EvalDB!$W:$W,B104)=0,NA(),COUNTIF(EvalDB!$W:$W,B104))</f>
        <v>#N/A</v>
      </c>
    </row>
    <row r="105" spans="2:4" x14ac:dyDescent="0.25">
      <c r="B105">
        <v>9</v>
      </c>
      <c r="C105" t="s">
        <v>96</v>
      </c>
      <c r="D105" t="e">
        <f>IF(COUNTIF(EvalDB!$W:$W,B105)=0,NA(),COUNTIF(EvalDB!$W:$W,B105))</f>
        <v>#N/A</v>
      </c>
    </row>
    <row r="106" spans="2:4" x14ac:dyDescent="0.25">
      <c r="B106">
        <v>10</v>
      </c>
      <c r="C106" t="s">
        <v>97</v>
      </c>
      <c r="D106" t="e">
        <f>IF(COUNTIF(EvalDB!$W:$W,B106)=0,NA(),COUNTIF(EvalDB!$W:$W,B106))</f>
        <v>#N/A</v>
      </c>
    </row>
    <row r="107" spans="2:4" x14ac:dyDescent="0.25">
      <c r="B107">
        <v>11</v>
      </c>
      <c r="C107" t="s">
        <v>98</v>
      </c>
      <c r="D107" t="e">
        <f>IF(COUNTIF(EvalDB!$W:$W,B107)=0,NA(),COUNTIF(EvalDB!$W:$W,B107))</f>
        <v>#N/A</v>
      </c>
    </row>
    <row r="108" spans="2:4" x14ac:dyDescent="0.25">
      <c r="B108">
        <v>12</v>
      </c>
      <c r="C108" t="s">
        <v>99</v>
      </c>
      <c r="D108" t="e">
        <f>IF(COUNTIF(EvalDB!$W:$W,B108)=0,NA(),COUNTIF(EvalDB!$W:$W,B108))</f>
        <v>#N/A</v>
      </c>
    </row>
  </sheetData>
  <phoneticPr fontId="8" type="noConversion"/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1:X36"/>
  <sheetViews>
    <sheetView showGridLines="0" rightToLeft="1" workbookViewId="0">
      <selection activeCell="A28" sqref="A28"/>
    </sheetView>
  </sheetViews>
  <sheetFormatPr defaultRowHeight="15" x14ac:dyDescent="0.25"/>
  <sheetData>
    <row r="1" spans="3:24" ht="12.75" customHeight="1" thickBot="1" x14ac:dyDescent="0.3"/>
    <row r="2" spans="3:24" x14ac:dyDescent="0.25">
      <c r="C2" s="95" t="s">
        <v>102</v>
      </c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7"/>
    </row>
    <row r="3" spans="3:24" ht="15.75" thickBot="1" x14ac:dyDescent="0.3">
      <c r="C3" s="98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99"/>
      <c r="T3" s="99"/>
      <c r="U3" s="99"/>
      <c r="V3" s="99"/>
      <c r="W3" s="99"/>
      <c r="X3" s="100"/>
    </row>
    <row r="4" spans="3:24" x14ac:dyDescent="0.25">
      <c r="C4" s="25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7"/>
    </row>
    <row r="5" spans="3:24" x14ac:dyDescent="0.25">
      <c r="C5" s="14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15"/>
    </row>
    <row r="6" spans="3:24" x14ac:dyDescent="0.25">
      <c r="C6" s="14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15"/>
    </row>
    <row r="7" spans="3:24" x14ac:dyDescent="0.25">
      <c r="C7" s="14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15"/>
    </row>
    <row r="8" spans="3:24" x14ac:dyDescent="0.25">
      <c r="C8" s="1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15"/>
    </row>
    <row r="9" spans="3:24" x14ac:dyDescent="0.25">
      <c r="C9" s="14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15"/>
    </row>
    <row r="10" spans="3:24" x14ac:dyDescent="0.25">
      <c r="C10" s="14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15"/>
    </row>
    <row r="11" spans="3:24" x14ac:dyDescent="0.25">
      <c r="C11" s="14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15"/>
    </row>
    <row r="12" spans="3:24" x14ac:dyDescent="0.25">
      <c r="C12" s="14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15"/>
    </row>
    <row r="13" spans="3:24" x14ac:dyDescent="0.25">
      <c r="C13" s="14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15"/>
    </row>
    <row r="14" spans="3:24" x14ac:dyDescent="0.25">
      <c r="C14" s="14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15"/>
    </row>
    <row r="15" spans="3:24" x14ac:dyDescent="0.25">
      <c r="C15" s="14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15"/>
    </row>
    <row r="16" spans="3:24" x14ac:dyDescent="0.25">
      <c r="C16" s="14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15"/>
    </row>
    <row r="17" spans="3:24" x14ac:dyDescent="0.25">
      <c r="C17" s="14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15"/>
    </row>
    <row r="18" spans="3:24" x14ac:dyDescent="0.25">
      <c r="C18" s="14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15"/>
    </row>
    <row r="19" spans="3:24" x14ac:dyDescent="0.25">
      <c r="C19" s="14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15"/>
    </row>
    <row r="20" spans="3:24" x14ac:dyDescent="0.25">
      <c r="C20" s="14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15"/>
    </row>
    <row r="21" spans="3:24" x14ac:dyDescent="0.25">
      <c r="C21" s="14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15"/>
    </row>
    <row r="22" spans="3:24" x14ac:dyDescent="0.25">
      <c r="C22" s="14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15"/>
    </row>
    <row r="23" spans="3:24" x14ac:dyDescent="0.25">
      <c r="C23" s="14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15"/>
    </row>
    <row r="24" spans="3:24" x14ac:dyDescent="0.25">
      <c r="C24" s="14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15"/>
    </row>
    <row r="25" spans="3:24" x14ac:dyDescent="0.25">
      <c r="C25" s="14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15"/>
    </row>
    <row r="26" spans="3:24" x14ac:dyDescent="0.25">
      <c r="C26" s="14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15"/>
    </row>
    <row r="27" spans="3:24" x14ac:dyDescent="0.25">
      <c r="C27" s="14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15"/>
    </row>
    <row r="28" spans="3:24" x14ac:dyDescent="0.25">
      <c r="C28" s="14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15"/>
    </row>
    <row r="29" spans="3:24" x14ac:dyDescent="0.25">
      <c r="C29" s="1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15"/>
    </row>
    <row r="30" spans="3:24" x14ac:dyDescent="0.25">
      <c r="C30" s="14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15"/>
    </row>
    <row r="31" spans="3:24" x14ac:dyDescent="0.25">
      <c r="C31" s="14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15"/>
    </row>
    <row r="32" spans="3:24" x14ac:dyDescent="0.25">
      <c r="C32" s="14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15"/>
    </row>
    <row r="33" spans="3:24" x14ac:dyDescent="0.25">
      <c r="C33" s="14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15"/>
    </row>
    <row r="34" spans="3:24" x14ac:dyDescent="0.25">
      <c r="C34" s="14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15"/>
    </row>
    <row r="35" spans="3:24" x14ac:dyDescent="0.25">
      <c r="C35" s="14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15"/>
    </row>
    <row r="36" spans="3:24" ht="15.75" thickBot="1" x14ac:dyDescent="0.3">
      <c r="C36" s="18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20"/>
    </row>
  </sheetData>
  <mergeCells count="1">
    <mergeCell ref="C2:X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829"/>
  <sheetViews>
    <sheetView rightToLeft="1" tabSelected="1" workbookViewId="0">
      <selection activeCell="C21" sqref="C21"/>
    </sheetView>
  </sheetViews>
  <sheetFormatPr defaultRowHeight="15" x14ac:dyDescent="0.25"/>
  <cols>
    <col min="1" max="1" width="12.28515625" customWidth="1"/>
    <col min="2" max="2" width="32" bestFit="1" customWidth="1"/>
    <col min="4" max="4" width="12.140625" customWidth="1"/>
    <col min="5" max="5" width="13.140625" customWidth="1"/>
    <col min="6" max="6" width="15.85546875" bestFit="1" customWidth="1"/>
    <col min="7" max="7" width="15.140625" bestFit="1" customWidth="1"/>
    <col min="8" max="8" width="10.7109375" customWidth="1"/>
    <col min="9" max="9" width="11" bestFit="1" customWidth="1"/>
    <col min="10" max="10" width="8.85546875" customWidth="1"/>
    <col min="11" max="11" width="10.85546875" customWidth="1"/>
    <col min="12" max="12" width="9.85546875" customWidth="1"/>
    <col min="13" max="13" width="9" bestFit="1" customWidth="1"/>
    <col min="14" max="14" width="10.85546875" customWidth="1"/>
  </cols>
  <sheetData>
    <row r="1" spans="1:14" x14ac:dyDescent="0.25">
      <c r="A1" t="s">
        <v>0</v>
      </c>
      <c r="B1" t="s">
        <v>2</v>
      </c>
      <c r="C1" t="s">
        <v>54</v>
      </c>
      <c r="D1" t="s">
        <v>55</v>
      </c>
      <c r="E1" t="s">
        <v>56</v>
      </c>
      <c r="F1" t="s">
        <v>57</v>
      </c>
      <c r="G1" t="s">
        <v>4</v>
      </c>
      <c r="H1" t="s">
        <v>58</v>
      </c>
      <c r="I1" t="s">
        <v>59</v>
      </c>
      <c r="J1" t="s">
        <v>60</v>
      </c>
      <c r="K1" t="s">
        <v>61</v>
      </c>
      <c r="L1" t="s">
        <v>62</v>
      </c>
      <c r="M1" t="s">
        <v>63</v>
      </c>
      <c r="N1" t="s">
        <v>64</v>
      </c>
    </row>
    <row r="2" spans="1:14" x14ac:dyDescent="0.25">
      <c r="A2">
        <v>4029</v>
      </c>
      <c r="D2" s="22"/>
      <c r="E2" s="22"/>
    </row>
    <row r="3" spans="1:14" x14ac:dyDescent="0.25">
      <c r="A3">
        <v>3645</v>
      </c>
      <c r="D3" s="22"/>
      <c r="E3" s="22"/>
    </row>
    <row r="4" spans="1:14" x14ac:dyDescent="0.25">
      <c r="A4">
        <v>3747</v>
      </c>
      <c r="D4" s="22"/>
      <c r="E4" s="22"/>
    </row>
    <row r="5" spans="1:14" x14ac:dyDescent="0.25">
      <c r="A5">
        <v>4788</v>
      </c>
      <c r="D5" s="22"/>
      <c r="E5" s="22"/>
    </row>
    <row r="6" spans="1:14" x14ac:dyDescent="0.25">
      <c r="A6">
        <v>9719</v>
      </c>
      <c r="D6" s="22"/>
      <c r="E6" s="22"/>
    </row>
    <row r="7" spans="1:14" x14ac:dyDescent="0.25">
      <c r="A7">
        <v>1217</v>
      </c>
      <c r="D7" s="22"/>
      <c r="E7" s="22"/>
    </row>
    <row r="8" spans="1:14" x14ac:dyDescent="0.25">
      <c r="A8">
        <v>3444</v>
      </c>
      <c r="D8" s="22"/>
      <c r="E8" s="22"/>
    </row>
    <row r="9" spans="1:14" x14ac:dyDescent="0.25">
      <c r="A9">
        <v>3497</v>
      </c>
      <c r="D9" s="22"/>
      <c r="E9" s="22"/>
    </row>
    <row r="10" spans="1:14" x14ac:dyDescent="0.25">
      <c r="A10">
        <v>5412</v>
      </c>
      <c r="D10" s="22"/>
      <c r="E10" s="22"/>
    </row>
    <row r="11" spans="1:14" x14ac:dyDescent="0.25">
      <c r="A11">
        <v>3399</v>
      </c>
      <c r="D11" s="22"/>
      <c r="E11" s="22"/>
    </row>
    <row r="12" spans="1:14" x14ac:dyDescent="0.25">
      <c r="A12">
        <v>2414</v>
      </c>
      <c r="D12" s="22"/>
      <c r="E12" s="22"/>
    </row>
    <row r="13" spans="1:14" x14ac:dyDescent="0.25">
      <c r="A13">
        <v>6424</v>
      </c>
      <c r="D13" s="22"/>
      <c r="E13" s="22"/>
    </row>
    <row r="14" spans="1:14" x14ac:dyDescent="0.25">
      <c r="A14">
        <v>9000</v>
      </c>
      <c r="D14" s="22"/>
      <c r="E14" s="22"/>
    </row>
    <row r="15" spans="1:14" x14ac:dyDescent="0.25">
      <c r="A15">
        <v>7673</v>
      </c>
      <c r="D15" s="22"/>
      <c r="E15" s="22"/>
    </row>
    <row r="16" spans="1:14" x14ac:dyDescent="0.25">
      <c r="A16">
        <v>3639</v>
      </c>
      <c r="D16" s="22"/>
      <c r="E16" s="22"/>
    </row>
    <row r="17" spans="1:5" x14ac:dyDescent="0.25">
      <c r="A17">
        <v>7540</v>
      </c>
      <c r="D17" s="22"/>
      <c r="E17" s="22"/>
    </row>
    <row r="18" spans="1:5" x14ac:dyDescent="0.25">
      <c r="A18">
        <v>5371</v>
      </c>
      <c r="D18" s="22"/>
      <c r="E18" s="22"/>
    </row>
    <row r="19" spans="1:5" x14ac:dyDescent="0.25">
      <c r="A19">
        <v>5616</v>
      </c>
      <c r="D19" s="22"/>
      <c r="E19" s="22"/>
    </row>
    <row r="20" spans="1:5" x14ac:dyDescent="0.25">
      <c r="A20">
        <v>4941</v>
      </c>
      <c r="D20" s="22"/>
      <c r="E20" s="22"/>
    </row>
    <row r="21" spans="1:5" x14ac:dyDescent="0.25">
      <c r="A21">
        <v>2986</v>
      </c>
      <c r="D21" s="22"/>
      <c r="E21" s="22"/>
    </row>
    <row r="22" spans="1:5" x14ac:dyDescent="0.25">
      <c r="A22">
        <v>7862</v>
      </c>
      <c r="D22" s="22"/>
      <c r="E22" s="22"/>
    </row>
    <row r="23" spans="1:5" x14ac:dyDescent="0.25">
      <c r="A23">
        <v>8014</v>
      </c>
      <c r="D23" s="22"/>
      <c r="E23" s="22"/>
    </row>
    <row r="24" spans="1:5" x14ac:dyDescent="0.25">
      <c r="A24">
        <v>4383</v>
      </c>
      <c r="D24" s="22"/>
      <c r="E24" s="22"/>
    </row>
    <row r="25" spans="1:5" x14ac:dyDescent="0.25">
      <c r="A25">
        <v>7003</v>
      </c>
      <c r="D25" s="22"/>
      <c r="E25" s="22"/>
    </row>
    <row r="26" spans="1:5" x14ac:dyDescent="0.25">
      <c r="A26">
        <v>2190</v>
      </c>
      <c r="D26" s="22"/>
      <c r="E26" s="22"/>
    </row>
    <row r="27" spans="1:5" x14ac:dyDescent="0.25">
      <c r="A27">
        <v>1994</v>
      </c>
      <c r="D27" s="22"/>
      <c r="E27" s="22"/>
    </row>
    <row r="28" spans="1:5" x14ac:dyDescent="0.25">
      <c r="A28">
        <v>3324</v>
      </c>
      <c r="D28" s="22"/>
      <c r="E28" s="22"/>
    </row>
    <row r="29" spans="1:5" x14ac:dyDescent="0.25">
      <c r="A29">
        <v>5571</v>
      </c>
      <c r="D29" s="22"/>
      <c r="E29" s="22"/>
    </row>
    <row r="30" spans="1:5" x14ac:dyDescent="0.25">
      <c r="A30">
        <v>6629</v>
      </c>
      <c r="D30" s="22"/>
      <c r="E30" s="22"/>
    </row>
    <row r="31" spans="1:5" x14ac:dyDescent="0.25">
      <c r="A31">
        <v>4923</v>
      </c>
      <c r="D31" s="22"/>
      <c r="E31" s="22"/>
    </row>
    <row r="32" spans="1:5" x14ac:dyDescent="0.25">
      <c r="A32">
        <v>6974</v>
      </c>
      <c r="D32" s="22"/>
      <c r="E32" s="22"/>
    </row>
    <row r="33" spans="1:5" x14ac:dyDescent="0.25">
      <c r="A33">
        <v>8834</v>
      </c>
      <c r="D33" s="22"/>
      <c r="E33" s="22"/>
    </row>
    <row r="34" spans="1:5" x14ac:dyDescent="0.25">
      <c r="A34">
        <v>6128</v>
      </c>
      <c r="D34" s="22"/>
      <c r="E34" s="22"/>
    </row>
    <row r="35" spans="1:5" x14ac:dyDescent="0.25">
      <c r="A35">
        <v>1742</v>
      </c>
      <c r="D35" s="22"/>
      <c r="E35" s="22"/>
    </row>
    <row r="36" spans="1:5" x14ac:dyDescent="0.25">
      <c r="A36">
        <v>9809</v>
      </c>
      <c r="D36" s="22"/>
      <c r="E36" s="22"/>
    </row>
    <row r="37" spans="1:5" x14ac:dyDescent="0.25">
      <c r="A37">
        <v>7727</v>
      </c>
      <c r="D37" s="22"/>
      <c r="E37" s="22"/>
    </row>
    <row r="38" spans="1:5" x14ac:dyDescent="0.25">
      <c r="A38">
        <v>3748</v>
      </c>
      <c r="D38" s="22"/>
      <c r="E38" s="22"/>
    </row>
    <row r="39" spans="1:5" x14ac:dyDescent="0.25">
      <c r="A39">
        <v>5583</v>
      </c>
      <c r="D39" s="22"/>
      <c r="E39" s="22"/>
    </row>
    <row r="40" spans="1:5" x14ac:dyDescent="0.25">
      <c r="A40">
        <v>5356</v>
      </c>
      <c r="D40" s="22"/>
      <c r="E40" s="22"/>
    </row>
    <row r="41" spans="1:5" x14ac:dyDescent="0.25">
      <c r="A41">
        <v>5546</v>
      </c>
      <c r="D41" s="22"/>
      <c r="E41" s="22"/>
    </row>
    <row r="42" spans="1:5" x14ac:dyDescent="0.25">
      <c r="A42">
        <v>8501</v>
      </c>
      <c r="D42" s="22"/>
      <c r="E42" s="22"/>
    </row>
    <row r="43" spans="1:5" x14ac:dyDescent="0.25">
      <c r="A43">
        <v>5556</v>
      </c>
      <c r="D43" s="22"/>
      <c r="E43" s="22"/>
    </row>
    <row r="44" spans="1:5" x14ac:dyDescent="0.25">
      <c r="A44">
        <v>3656</v>
      </c>
      <c r="D44" s="22"/>
      <c r="E44" s="22"/>
    </row>
    <row r="45" spans="1:5" x14ac:dyDescent="0.25">
      <c r="A45">
        <v>3970</v>
      </c>
      <c r="D45" s="22"/>
      <c r="E45" s="22"/>
    </row>
    <row r="46" spans="1:5" x14ac:dyDescent="0.25">
      <c r="A46">
        <v>6617</v>
      </c>
      <c r="D46" s="22"/>
      <c r="E46" s="22"/>
    </row>
    <row r="47" spans="1:5" x14ac:dyDescent="0.25">
      <c r="A47">
        <v>7532</v>
      </c>
      <c r="D47" s="22"/>
      <c r="E47" s="22"/>
    </row>
    <row r="48" spans="1:5" x14ac:dyDescent="0.25">
      <c r="A48">
        <v>1809</v>
      </c>
      <c r="D48" s="22"/>
      <c r="E48" s="22"/>
    </row>
    <row r="49" spans="1:5" x14ac:dyDescent="0.25">
      <c r="A49">
        <v>9681</v>
      </c>
      <c r="D49" s="22"/>
      <c r="E49" s="22"/>
    </row>
    <row r="50" spans="1:5" x14ac:dyDescent="0.25">
      <c r="A50">
        <v>3990</v>
      </c>
      <c r="D50" s="22"/>
      <c r="E50" s="22"/>
    </row>
    <row r="51" spans="1:5" x14ac:dyDescent="0.25">
      <c r="A51">
        <v>5985</v>
      </c>
      <c r="D51" s="22"/>
      <c r="E51" s="22"/>
    </row>
    <row r="52" spans="1:5" x14ac:dyDescent="0.25">
      <c r="A52">
        <v>7163</v>
      </c>
      <c r="D52" s="22"/>
      <c r="E52" s="22"/>
    </row>
    <row r="53" spans="1:5" x14ac:dyDescent="0.25">
      <c r="A53">
        <v>7043</v>
      </c>
      <c r="D53" s="22"/>
      <c r="E53" s="22"/>
    </row>
    <row r="54" spans="1:5" x14ac:dyDescent="0.25">
      <c r="A54">
        <v>5250</v>
      </c>
      <c r="D54" s="22"/>
      <c r="E54" s="22"/>
    </row>
    <row r="55" spans="1:5" x14ac:dyDescent="0.25">
      <c r="A55">
        <v>1591</v>
      </c>
      <c r="D55" s="22"/>
      <c r="E55" s="22"/>
    </row>
    <row r="56" spans="1:5" x14ac:dyDescent="0.25">
      <c r="A56">
        <v>4746</v>
      </c>
      <c r="D56" s="22"/>
      <c r="E56" s="22"/>
    </row>
    <row r="57" spans="1:5" x14ac:dyDescent="0.25">
      <c r="A57">
        <v>6023</v>
      </c>
      <c r="D57" s="22"/>
      <c r="E57" s="22"/>
    </row>
    <row r="58" spans="1:5" x14ac:dyDescent="0.25">
      <c r="A58">
        <v>1593</v>
      </c>
      <c r="D58" s="22"/>
      <c r="E58" s="22"/>
    </row>
    <row r="59" spans="1:5" x14ac:dyDescent="0.25">
      <c r="A59">
        <v>6164</v>
      </c>
      <c r="D59" s="22"/>
      <c r="E59" s="22"/>
    </row>
    <row r="60" spans="1:5" x14ac:dyDescent="0.25">
      <c r="A60">
        <v>2467</v>
      </c>
      <c r="D60" s="22"/>
      <c r="E60" s="22"/>
    </row>
    <row r="61" spans="1:5" x14ac:dyDescent="0.25">
      <c r="A61">
        <v>9185</v>
      </c>
      <c r="D61" s="22"/>
      <c r="E61" s="22"/>
    </row>
    <row r="62" spans="1:5" x14ac:dyDescent="0.25">
      <c r="A62">
        <v>6885</v>
      </c>
      <c r="D62" s="22"/>
      <c r="E62" s="22"/>
    </row>
    <row r="63" spans="1:5" x14ac:dyDescent="0.25">
      <c r="A63">
        <v>9913</v>
      </c>
      <c r="D63" s="22"/>
      <c r="E63" s="22"/>
    </row>
    <row r="64" spans="1:5" x14ac:dyDescent="0.25">
      <c r="A64">
        <v>2927</v>
      </c>
      <c r="D64" s="22"/>
      <c r="E64" s="22"/>
    </row>
    <row r="65" spans="1:5" x14ac:dyDescent="0.25">
      <c r="A65">
        <v>8437</v>
      </c>
      <c r="D65" s="22"/>
      <c r="E65" s="22"/>
    </row>
    <row r="66" spans="1:5" x14ac:dyDescent="0.25">
      <c r="A66">
        <v>6624</v>
      </c>
      <c r="D66" s="22"/>
      <c r="E66" s="22"/>
    </row>
    <row r="67" spans="1:5" x14ac:dyDescent="0.25">
      <c r="A67">
        <v>9142</v>
      </c>
      <c r="D67" s="22"/>
      <c r="E67" s="22"/>
    </row>
    <row r="68" spans="1:5" x14ac:dyDescent="0.25">
      <c r="A68">
        <v>9476</v>
      </c>
      <c r="D68" s="22"/>
      <c r="E68" s="22"/>
    </row>
    <row r="69" spans="1:5" x14ac:dyDescent="0.25">
      <c r="A69">
        <v>2335</v>
      </c>
      <c r="D69" s="22"/>
      <c r="E69" s="22"/>
    </row>
    <row r="70" spans="1:5" x14ac:dyDescent="0.25">
      <c r="A70">
        <v>5750</v>
      </c>
      <c r="D70" s="22"/>
      <c r="E70" s="22"/>
    </row>
    <row r="71" spans="1:5" x14ac:dyDescent="0.25">
      <c r="A71">
        <v>5173</v>
      </c>
      <c r="D71" s="22"/>
      <c r="E71" s="22"/>
    </row>
    <row r="72" spans="1:5" x14ac:dyDescent="0.25">
      <c r="A72">
        <v>5642</v>
      </c>
      <c r="D72" s="22"/>
      <c r="E72" s="22"/>
    </row>
    <row r="73" spans="1:5" x14ac:dyDescent="0.25">
      <c r="A73">
        <v>6996</v>
      </c>
      <c r="D73" s="22"/>
      <c r="E73" s="22"/>
    </row>
    <row r="74" spans="1:5" x14ac:dyDescent="0.25">
      <c r="A74">
        <v>9035</v>
      </c>
      <c r="D74" s="22"/>
      <c r="E74" s="22"/>
    </row>
    <row r="75" spans="1:5" x14ac:dyDescent="0.25">
      <c r="A75">
        <v>5536</v>
      </c>
      <c r="D75" s="22"/>
      <c r="E75" s="22"/>
    </row>
    <row r="76" spans="1:5" x14ac:dyDescent="0.25">
      <c r="A76">
        <v>3766</v>
      </c>
      <c r="D76" s="22"/>
      <c r="E76" s="22"/>
    </row>
    <row r="77" spans="1:5" x14ac:dyDescent="0.25">
      <c r="A77">
        <v>4906</v>
      </c>
      <c r="D77" s="22"/>
      <c r="E77" s="22"/>
    </row>
    <row r="78" spans="1:5" x14ac:dyDescent="0.25">
      <c r="A78">
        <v>7275</v>
      </c>
      <c r="D78" s="22"/>
      <c r="E78" s="22"/>
    </row>
    <row r="79" spans="1:5" x14ac:dyDescent="0.25">
      <c r="A79">
        <v>3004</v>
      </c>
      <c r="D79" s="22"/>
      <c r="E79" s="22"/>
    </row>
    <row r="80" spans="1:5" x14ac:dyDescent="0.25">
      <c r="A80">
        <v>7284</v>
      </c>
      <c r="D80" s="22"/>
      <c r="E80" s="22"/>
    </row>
    <row r="81" spans="1:5" x14ac:dyDescent="0.25">
      <c r="A81">
        <v>1317</v>
      </c>
      <c r="D81" s="22"/>
      <c r="E81" s="22"/>
    </row>
    <row r="82" spans="1:5" x14ac:dyDescent="0.25">
      <c r="A82">
        <v>5063</v>
      </c>
      <c r="D82" s="22"/>
      <c r="E82" s="22"/>
    </row>
    <row r="83" spans="1:5" x14ac:dyDescent="0.25">
      <c r="A83">
        <v>5439</v>
      </c>
      <c r="D83" s="22"/>
      <c r="E83" s="22"/>
    </row>
    <row r="84" spans="1:5" x14ac:dyDescent="0.25">
      <c r="A84">
        <v>1964</v>
      </c>
      <c r="D84" s="22"/>
      <c r="E84" s="22"/>
    </row>
    <row r="85" spans="1:5" x14ac:dyDescent="0.25">
      <c r="A85">
        <v>9959</v>
      </c>
      <c r="D85" s="22"/>
      <c r="E85" s="22"/>
    </row>
    <row r="86" spans="1:5" x14ac:dyDescent="0.25">
      <c r="A86">
        <v>6779</v>
      </c>
      <c r="D86" s="22"/>
      <c r="E86" s="22"/>
    </row>
    <row r="87" spans="1:5" x14ac:dyDescent="0.25">
      <c r="A87">
        <v>9351</v>
      </c>
      <c r="D87" s="22"/>
      <c r="E87" s="22"/>
    </row>
    <row r="88" spans="1:5" x14ac:dyDescent="0.25">
      <c r="A88">
        <v>5038</v>
      </c>
      <c r="D88" s="22"/>
      <c r="E88" s="22"/>
    </row>
    <row r="89" spans="1:5" x14ac:dyDescent="0.25">
      <c r="A89">
        <v>9512</v>
      </c>
      <c r="D89" s="22"/>
      <c r="E89" s="22"/>
    </row>
    <row r="90" spans="1:5" x14ac:dyDescent="0.25">
      <c r="A90">
        <v>2713</v>
      </c>
      <c r="D90" s="22"/>
      <c r="E90" s="22"/>
    </row>
    <row r="91" spans="1:5" x14ac:dyDescent="0.25">
      <c r="A91">
        <v>6113</v>
      </c>
      <c r="D91" s="22"/>
      <c r="E91" s="22"/>
    </row>
    <row r="92" spans="1:5" x14ac:dyDescent="0.25">
      <c r="A92">
        <v>1437</v>
      </c>
      <c r="D92" s="22"/>
      <c r="E92" s="22"/>
    </row>
    <row r="93" spans="1:5" x14ac:dyDescent="0.25">
      <c r="A93">
        <v>8327</v>
      </c>
      <c r="D93" s="22"/>
      <c r="E93" s="22"/>
    </row>
    <row r="94" spans="1:5" x14ac:dyDescent="0.25">
      <c r="A94">
        <v>6787</v>
      </c>
      <c r="D94" s="22"/>
      <c r="E94" s="22"/>
    </row>
    <row r="95" spans="1:5" x14ac:dyDescent="0.25">
      <c r="A95">
        <v>4480</v>
      </c>
      <c r="D95" s="22"/>
      <c r="E95" s="22"/>
    </row>
    <row r="96" spans="1:5" x14ac:dyDescent="0.25">
      <c r="A96">
        <v>2997</v>
      </c>
      <c r="D96" s="22"/>
      <c r="E96" s="22"/>
    </row>
    <row r="97" spans="1:5" x14ac:dyDescent="0.25">
      <c r="A97">
        <v>2050</v>
      </c>
      <c r="D97" s="22"/>
      <c r="E97" s="22"/>
    </row>
    <row r="98" spans="1:5" x14ac:dyDescent="0.25">
      <c r="A98">
        <v>5987</v>
      </c>
      <c r="D98" s="22"/>
      <c r="E98" s="22"/>
    </row>
    <row r="99" spans="1:5" x14ac:dyDescent="0.25">
      <c r="A99">
        <v>1039</v>
      </c>
      <c r="D99" s="22"/>
      <c r="E99" s="22"/>
    </row>
    <row r="100" spans="1:5" x14ac:dyDescent="0.25">
      <c r="A100">
        <v>9564</v>
      </c>
      <c r="D100" s="22"/>
      <c r="E100" s="22"/>
    </row>
    <row r="101" spans="1:5" x14ac:dyDescent="0.25">
      <c r="A101">
        <v>5041</v>
      </c>
      <c r="D101" s="22"/>
      <c r="E101" s="22"/>
    </row>
    <row r="102" spans="1:5" x14ac:dyDescent="0.25">
      <c r="A102">
        <v>3826</v>
      </c>
      <c r="D102" s="22"/>
      <c r="E102" s="22"/>
    </row>
    <row r="103" spans="1:5" x14ac:dyDescent="0.25">
      <c r="A103">
        <v>8316</v>
      </c>
      <c r="D103" s="22"/>
      <c r="E103" s="22"/>
    </row>
    <row r="104" spans="1:5" x14ac:dyDescent="0.25">
      <c r="A104">
        <v>9398</v>
      </c>
      <c r="D104" s="22"/>
      <c r="E104" s="22"/>
    </row>
    <row r="105" spans="1:5" x14ac:dyDescent="0.25">
      <c r="A105">
        <v>5642</v>
      </c>
      <c r="D105" s="22"/>
      <c r="E105" s="22"/>
    </row>
    <row r="106" spans="1:5" x14ac:dyDescent="0.25">
      <c r="A106">
        <v>8511</v>
      </c>
      <c r="D106" s="22"/>
      <c r="E106" s="22"/>
    </row>
    <row r="107" spans="1:5" x14ac:dyDescent="0.25">
      <c r="A107">
        <v>2558</v>
      </c>
      <c r="D107" s="22"/>
      <c r="E107" s="22"/>
    </row>
    <row r="108" spans="1:5" x14ac:dyDescent="0.25">
      <c r="A108">
        <v>4472</v>
      </c>
      <c r="D108" s="22"/>
      <c r="E108" s="22"/>
    </row>
    <row r="109" spans="1:5" x14ac:dyDescent="0.25">
      <c r="A109">
        <v>8554</v>
      </c>
      <c r="D109" s="22"/>
      <c r="E109" s="22"/>
    </row>
    <row r="110" spans="1:5" x14ac:dyDescent="0.25">
      <c r="A110">
        <v>4159</v>
      </c>
      <c r="D110" s="22"/>
      <c r="E110" s="22"/>
    </row>
    <row r="111" spans="1:5" x14ac:dyDescent="0.25">
      <c r="A111">
        <v>8422</v>
      </c>
      <c r="D111" s="22"/>
      <c r="E111" s="22"/>
    </row>
    <row r="112" spans="1:5" x14ac:dyDescent="0.25">
      <c r="A112">
        <v>3308</v>
      </c>
      <c r="D112" s="22"/>
      <c r="E112" s="22"/>
    </row>
    <row r="113" spans="1:5" x14ac:dyDescent="0.25">
      <c r="A113">
        <v>7630</v>
      </c>
      <c r="D113" s="22"/>
      <c r="E113" s="22"/>
    </row>
    <row r="114" spans="1:5" x14ac:dyDescent="0.25">
      <c r="A114">
        <v>4087</v>
      </c>
      <c r="D114" s="22"/>
      <c r="E114" s="22"/>
    </row>
    <row r="115" spans="1:5" x14ac:dyDescent="0.25">
      <c r="A115">
        <v>5199</v>
      </c>
      <c r="D115" s="22"/>
      <c r="E115" s="22"/>
    </row>
    <row r="116" spans="1:5" x14ac:dyDescent="0.25">
      <c r="A116">
        <v>1068</v>
      </c>
      <c r="D116" s="22"/>
      <c r="E116" s="22"/>
    </row>
    <row r="117" spans="1:5" x14ac:dyDescent="0.25">
      <c r="A117">
        <v>6401</v>
      </c>
      <c r="D117" s="22"/>
      <c r="E117" s="22"/>
    </row>
    <row r="118" spans="1:5" x14ac:dyDescent="0.25">
      <c r="A118">
        <v>8560</v>
      </c>
      <c r="D118" s="22"/>
      <c r="E118" s="22"/>
    </row>
    <row r="119" spans="1:5" x14ac:dyDescent="0.25">
      <c r="A119">
        <v>8725</v>
      </c>
      <c r="D119" s="22"/>
      <c r="E119" s="22"/>
    </row>
    <row r="120" spans="1:5" x14ac:dyDescent="0.25">
      <c r="A120">
        <v>8328</v>
      </c>
      <c r="D120" s="22"/>
      <c r="E120" s="22"/>
    </row>
    <row r="121" spans="1:5" x14ac:dyDescent="0.25">
      <c r="A121">
        <v>9921</v>
      </c>
      <c r="D121" s="22"/>
      <c r="E121" s="22"/>
    </row>
    <row r="122" spans="1:5" x14ac:dyDescent="0.25">
      <c r="A122">
        <v>6797</v>
      </c>
      <c r="D122" s="22"/>
      <c r="E122" s="22"/>
    </row>
    <row r="123" spans="1:5" x14ac:dyDescent="0.25">
      <c r="A123">
        <v>7918</v>
      </c>
      <c r="D123" s="22"/>
      <c r="E123" s="22"/>
    </row>
    <row r="124" spans="1:5" x14ac:dyDescent="0.25">
      <c r="A124">
        <v>2284</v>
      </c>
      <c r="D124" s="22"/>
      <c r="E124" s="22"/>
    </row>
    <row r="125" spans="1:5" x14ac:dyDescent="0.25">
      <c r="A125">
        <v>3516</v>
      </c>
      <c r="D125" s="22"/>
      <c r="E125" s="22"/>
    </row>
    <row r="126" spans="1:5" x14ac:dyDescent="0.25">
      <c r="A126">
        <v>2804</v>
      </c>
      <c r="D126" s="22"/>
      <c r="E126" s="22"/>
    </row>
    <row r="127" spans="1:5" x14ac:dyDescent="0.25">
      <c r="A127">
        <v>1216</v>
      </c>
      <c r="D127" s="22"/>
      <c r="E127" s="22"/>
    </row>
    <row r="128" spans="1:5" x14ac:dyDescent="0.25">
      <c r="A128">
        <v>2651</v>
      </c>
      <c r="D128" s="22"/>
      <c r="E128" s="22"/>
    </row>
    <row r="129" spans="1:5" x14ac:dyDescent="0.25">
      <c r="A129">
        <v>9385</v>
      </c>
      <c r="D129" s="22"/>
      <c r="E129" s="22"/>
    </row>
    <row r="130" spans="1:5" x14ac:dyDescent="0.25">
      <c r="A130">
        <v>5212</v>
      </c>
      <c r="D130" s="22"/>
      <c r="E130" s="22"/>
    </row>
    <row r="131" spans="1:5" x14ac:dyDescent="0.25">
      <c r="A131">
        <v>4333</v>
      </c>
      <c r="D131" s="22"/>
      <c r="E131" s="22"/>
    </row>
    <row r="132" spans="1:5" x14ac:dyDescent="0.25">
      <c r="A132">
        <v>6582</v>
      </c>
      <c r="D132" s="22"/>
      <c r="E132" s="22"/>
    </row>
    <row r="133" spans="1:5" x14ac:dyDescent="0.25">
      <c r="A133">
        <v>8756</v>
      </c>
      <c r="D133" s="22"/>
      <c r="E133" s="22"/>
    </row>
    <row r="134" spans="1:5" x14ac:dyDescent="0.25">
      <c r="A134">
        <v>7573</v>
      </c>
      <c r="D134" s="22"/>
      <c r="E134" s="22"/>
    </row>
    <row r="135" spans="1:5" x14ac:dyDescent="0.25">
      <c r="A135">
        <v>4638</v>
      </c>
      <c r="D135" s="22"/>
      <c r="E135" s="22"/>
    </row>
    <row r="136" spans="1:5" x14ac:dyDescent="0.25">
      <c r="A136">
        <v>5521</v>
      </c>
      <c r="D136" s="22"/>
      <c r="E136" s="22"/>
    </row>
    <row r="137" spans="1:5" x14ac:dyDescent="0.25">
      <c r="A137">
        <v>2009</v>
      </c>
      <c r="D137" s="22"/>
      <c r="E137" s="22"/>
    </row>
    <row r="138" spans="1:5" x14ac:dyDescent="0.25">
      <c r="A138">
        <v>7746</v>
      </c>
      <c r="D138" s="22"/>
      <c r="E138" s="22"/>
    </row>
    <row r="139" spans="1:5" x14ac:dyDescent="0.25">
      <c r="A139">
        <v>8837</v>
      </c>
      <c r="D139" s="22"/>
      <c r="E139" s="22"/>
    </row>
    <row r="140" spans="1:5" x14ac:dyDescent="0.25">
      <c r="A140">
        <v>7217</v>
      </c>
      <c r="D140" s="22"/>
      <c r="E140" s="22"/>
    </row>
    <row r="141" spans="1:5" x14ac:dyDescent="0.25">
      <c r="A141">
        <v>5887</v>
      </c>
      <c r="D141" s="22"/>
      <c r="E141" s="22"/>
    </row>
    <row r="142" spans="1:5" x14ac:dyDescent="0.25">
      <c r="A142">
        <v>1056</v>
      </c>
      <c r="D142" s="22"/>
      <c r="E142" s="22"/>
    </row>
    <row r="143" spans="1:5" x14ac:dyDescent="0.25">
      <c r="A143">
        <v>8351</v>
      </c>
      <c r="D143" s="22"/>
      <c r="E143" s="22"/>
    </row>
    <row r="144" spans="1:5" x14ac:dyDescent="0.25">
      <c r="A144">
        <v>2955</v>
      </c>
      <c r="D144" s="22"/>
      <c r="E144" s="22"/>
    </row>
    <row r="145" spans="1:5" x14ac:dyDescent="0.25">
      <c r="A145">
        <v>9597</v>
      </c>
      <c r="D145" s="22"/>
      <c r="E145" s="22"/>
    </row>
    <row r="146" spans="1:5" x14ac:dyDescent="0.25">
      <c r="A146">
        <v>2022</v>
      </c>
      <c r="D146" s="22"/>
      <c r="E146" s="22"/>
    </row>
    <row r="147" spans="1:5" x14ac:dyDescent="0.25">
      <c r="A147">
        <v>5562</v>
      </c>
      <c r="D147" s="22"/>
      <c r="E147" s="22"/>
    </row>
    <row r="148" spans="1:5" x14ac:dyDescent="0.25">
      <c r="A148">
        <v>9942</v>
      </c>
      <c r="D148" s="22"/>
      <c r="E148" s="22"/>
    </row>
    <row r="149" spans="1:5" x14ac:dyDescent="0.25">
      <c r="A149">
        <v>6088</v>
      </c>
      <c r="D149" s="22"/>
      <c r="E149" s="22"/>
    </row>
    <row r="150" spans="1:5" x14ac:dyDescent="0.25">
      <c r="A150">
        <v>6264</v>
      </c>
      <c r="D150" s="22"/>
      <c r="E150" s="22"/>
    </row>
    <row r="151" spans="1:5" x14ac:dyDescent="0.25">
      <c r="A151">
        <v>5587</v>
      </c>
      <c r="D151" s="22"/>
      <c r="E151" s="22"/>
    </row>
    <row r="152" spans="1:5" x14ac:dyDescent="0.25">
      <c r="A152">
        <v>5851</v>
      </c>
      <c r="D152" s="22"/>
      <c r="E152" s="22"/>
    </row>
    <row r="153" spans="1:5" x14ac:dyDescent="0.25">
      <c r="A153">
        <v>9991</v>
      </c>
      <c r="D153" s="22"/>
      <c r="E153" s="22"/>
    </row>
    <row r="154" spans="1:5" x14ac:dyDescent="0.25">
      <c r="A154">
        <v>3068</v>
      </c>
      <c r="D154" s="22"/>
      <c r="E154" s="22"/>
    </row>
    <row r="155" spans="1:5" x14ac:dyDescent="0.25">
      <c r="A155">
        <v>1364</v>
      </c>
      <c r="D155" s="22"/>
      <c r="E155" s="22"/>
    </row>
    <row r="156" spans="1:5" x14ac:dyDescent="0.25">
      <c r="A156">
        <v>9900</v>
      </c>
      <c r="D156" s="22"/>
      <c r="E156" s="22"/>
    </row>
    <row r="157" spans="1:5" x14ac:dyDescent="0.25">
      <c r="A157">
        <v>4349</v>
      </c>
      <c r="D157" s="22"/>
      <c r="E157" s="22"/>
    </row>
    <row r="158" spans="1:5" x14ac:dyDescent="0.25">
      <c r="A158">
        <v>2884</v>
      </c>
      <c r="D158" s="22"/>
      <c r="E158" s="22"/>
    </row>
    <row r="159" spans="1:5" x14ac:dyDescent="0.25">
      <c r="A159">
        <v>1723</v>
      </c>
      <c r="D159" s="22"/>
      <c r="E159" s="22"/>
    </row>
    <row r="160" spans="1:5" x14ac:dyDescent="0.25">
      <c r="A160">
        <v>6717</v>
      </c>
      <c r="D160" s="22"/>
      <c r="E160" s="22"/>
    </row>
    <row r="161" spans="1:5" x14ac:dyDescent="0.25">
      <c r="A161">
        <v>5681</v>
      </c>
      <c r="D161" s="22"/>
      <c r="E161" s="22"/>
    </row>
    <row r="162" spans="1:5" x14ac:dyDescent="0.25">
      <c r="A162">
        <v>1694</v>
      </c>
      <c r="D162" s="22"/>
      <c r="E162" s="22"/>
    </row>
    <row r="163" spans="1:5" x14ac:dyDescent="0.25">
      <c r="A163">
        <v>5916</v>
      </c>
      <c r="D163" s="22"/>
      <c r="E163" s="22"/>
    </row>
    <row r="164" spans="1:5" x14ac:dyDescent="0.25">
      <c r="A164">
        <v>8662</v>
      </c>
      <c r="D164" s="22"/>
      <c r="E164" s="22"/>
    </row>
    <row r="165" spans="1:5" x14ac:dyDescent="0.25">
      <c r="A165">
        <v>2991</v>
      </c>
      <c r="D165" s="22"/>
      <c r="E165" s="22"/>
    </row>
    <row r="166" spans="1:5" x14ac:dyDescent="0.25">
      <c r="A166">
        <v>6051</v>
      </c>
      <c r="D166" s="22"/>
      <c r="E166" s="22"/>
    </row>
    <row r="167" spans="1:5" x14ac:dyDescent="0.25">
      <c r="A167">
        <v>1391</v>
      </c>
      <c r="D167" s="22"/>
      <c r="E167" s="22"/>
    </row>
    <row r="168" spans="1:5" x14ac:dyDescent="0.25">
      <c r="A168">
        <v>7994</v>
      </c>
      <c r="D168" s="22"/>
      <c r="E168" s="22"/>
    </row>
    <row r="169" spans="1:5" x14ac:dyDescent="0.25">
      <c r="A169">
        <v>7627</v>
      </c>
      <c r="D169" s="22"/>
      <c r="E169" s="22"/>
    </row>
    <row r="170" spans="1:5" x14ac:dyDescent="0.25">
      <c r="A170">
        <v>7566</v>
      </c>
      <c r="D170" s="22"/>
      <c r="E170" s="22"/>
    </row>
    <row r="171" spans="1:5" x14ac:dyDescent="0.25">
      <c r="A171">
        <v>7077</v>
      </c>
      <c r="D171" s="22"/>
      <c r="E171" s="22"/>
    </row>
    <row r="172" spans="1:5" x14ac:dyDescent="0.25">
      <c r="A172">
        <v>2258</v>
      </c>
      <c r="D172" s="22"/>
      <c r="E172" s="22"/>
    </row>
    <row r="173" spans="1:5" x14ac:dyDescent="0.25">
      <c r="A173">
        <v>3496</v>
      </c>
      <c r="D173" s="22"/>
      <c r="E173" s="22"/>
    </row>
    <row r="174" spans="1:5" x14ac:dyDescent="0.25">
      <c r="A174">
        <v>9901</v>
      </c>
      <c r="D174" s="22"/>
      <c r="E174" s="22"/>
    </row>
    <row r="175" spans="1:5" x14ac:dyDescent="0.25">
      <c r="A175">
        <v>2566</v>
      </c>
      <c r="D175" s="22"/>
      <c r="E175" s="22"/>
    </row>
    <row r="176" spans="1:5" x14ac:dyDescent="0.25">
      <c r="A176">
        <v>3358</v>
      </c>
      <c r="D176" s="22"/>
      <c r="E176" s="22"/>
    </row>
    <row r="177" spans="1:5" x14ac:dyDescent="0.25">
      <c r="A177">
        <v>3213</v>
      </c>
      <c r="D177" s="22"/>
      <c r="E177" s="22"/>
    </row>
    <row r="178" spans="1:5" x14ac:dyDescent="0.25">
      <c r="A178">
        <v>6853</v>
      </c>
      <c r="D178" s="22"/>
      <c r="E178" s="22"/>
    </row>
    <row r="179" spans="1:5" x14ac:dyDescent="0.25">
      <c r="A179">
        <v>8689</v>
      </c>
      <c r="D179" s="22"/>
      <c r="E179" s="22"/>
    </row>
    <row r="180" spans="1:5" x14ac:dyDescent="0.25">
      <c r="A180">
        <v>2879</v>
      </c>
      <c r="D180" s="22"/>
      <c r="E180" s="22"/>
    </row>
    <row r="181" spans="1:5" x14ac:dyDescent="0.25">
      <c r="A181">
        <v>4624</v>
      </c>
      <c r="D181" s="22"/>
      <c r="E181" s="22"/>
    </row>
    <row r="182" spans="1:5" x14ac:dyDescent="0.25">
      <c r="A182">
        <v>2770</v>
      </c>
      <c r="D182" s="22"/>
      <c r="E182" s="22"/>
    </row>
    <row r="183" spans="1:5" x14ac:dyDescent="0.25">
      <c r="A183">
        <v>1862</v>
      </c>
      <c r="D183" s="22"/>
      <c r="E183" s="22"/>
    </row>
    <row r="184" spans="1:5" x14ac:dyDescent="0.25">
      <c r="A184">
        <v>3679</v>
      </c>
      <c r="D184" s="22"/>
      <c r="E184" s="22"/>
    </row>
    <row r="185" spans="1:5" x14ac:dyDescent="0.25">
      <c r="A185">
        <v>2815</v>
      </c>
      <c r="D185" s="22"/>
      <c r="E185" s="22"/>
    </row>
    <row r="186" spans="1:5" x14ac:dyDescent="0.25">
      <c r="A186">
        <v>3168</v>
      </c>
      <c r="D186" s="22"/>
      <c r="E186" s="22"/>
    </row>
    <row r="187" spans="1:5" x14ac:dyDescent="0.25">
      <c r="A187">
        <v>3515</v>
      </c>
      <c r="D187" s="22"/>
      <c r="E187" s="22"/>
    </row>
    <row r="188" spans="1:5" x14ac:dyDescent="0.25">
      <c r="A188">
        <v>5471</v>
      </c>
      <c r="D188" s="22"/>
      <c r="E188" s="22"/>
    </row>
    <row r="189" spans="1:5" x14ac:dyDescent="0.25">
      <c r="A189">
        <v>1819</v>
      </c>
      <c r="D189" s="22"/>
      <c r="E189" s="22"/>
    </row>
    <row r="190" spans="1:5" x14ac:dyDescent="0.25">
      <c r="A190">
        <v>5118</v>
      </c>
      <c r="D190" s="22"/>
      <c r="E190" s="22"/>
    </row>
    <row r="191" spans="1:5" x14ac:dyDescent="0.25">
      <c r="A191">
        <v>2245</v>
      </c>
      <c r="D191" s="22"/>
      <c r="E191" s="22"/>
    </row>
    <row r="192" spans="1:5" x14ac:dyDescent="0.25">
      <c r="A192">
        <v>8330</v>
      </c>
      <c r="D192" s="22"/>
      <c r="E192" s="22"/>
    </row>
    <row r="193" spans="1:5" x14ac:dyDescent="0.25">
      <c r="A193">
        <v>2123</v>
      </c>
      <c r="D193" s="22"/>
      <c r="E193" s="22"/>
    </row>
    <row r="194" spans="1:5" x14ac:dyDescent="0.25">
      <c r="A194">
        <v>5079</v>
      </c>
      <c r="D194" s="22"/>
      <c r="E194" s="22"/>
    </row>
    <row r="195" spans="1:5" x14ac:dyDescent="0.25">
      <c r="A195">
        <v>5347</v>
      </c>
      <c r="D195" s="22"/>
      <c r="E195" s="22"/>
    </row>
    <row r="196" spans="1:5" x14ac:dyDescent="0.25">
      <c r="A196">
        <v>1710</v>
      </c>
      <c r="D196" s="22"/>
      <c r="E196" s="22"/>
    </row>
    <row r="197" spans="1:5" x14ac:dyDescent="0.25">
      <c r="A197">
        <v>5287</v>
      </c>
      <c r="D197" s="22"/>
      <c r="E197" s="22"/>
    </row>
    <row r="198" spans="1:5" x14ac:dyDescent="0.25">
      <c r="A198">
        <v>8978</v>
      </c>
      <c r="D198" s="22"/>
      <c r="E198" s="22"/>
    </row>
    <row r="199" spans="1:5" x14ac:dyDescent="0.25">
      <c r="A199">
        <v>7376</v>
      </c>
      <c r="D199" s="22"/>
      <c r="E199" s="22"/>
    </row>
    <row r="200" spans="1:5" x14ac:dyDescent="0.25">
      <c r="A200">
        <v>7341</v>
      </c>
      <c r="D200" s="22"/>
      <c r="E200" s="22"/>
    </row>
    <row r="201" spans="1:5" x14ac:dyDescent="0.25">
      <c r="A201">
        <v>6628</v>
      </c>
      <c r="D201" s="22"/>
      <c r="E201" s="22"/>
    </row>
    <row r="202" spans="1:5" x14ac:dyDescent="0.25">
      <c r="A202">
        <v>7106</v>
      </c>
      <c r="D202" s="22"/>
      <c r="E202" s="22"/>
    </row>
    <row r="203" spans="1:5" x14ac:dyDescent="0.25">
      <c r="A203">
        <v>5804</v>
      </c>
      <c r="D203" s="22"/>
      <c r="E203" s="22"/>
    </row>
    <row r="204" spans="1:5" x14ac:dyDescent="0.25">
      <c r="A204">
        <v>8202</v>
      </c>
      <c r="D204" s="22"/>
      <c r="E204" s="22"/>
    </row>
    <row r="205" spans="1:5" x14ac:dyDescent="0.25">
      <c r="A205">
        <v>6418</v>
      </c>
      <c r="D205" s="22"/>
      <c r="E205" s="22"/>
    </row>
    <row r="206" spans="1:5" x14ac:dyDescent="0.25">
      <c r="A206">
        <v>8548</v>
      </c>
      <c r="D206" s="22"/>
      <c r="E206" s="22"/>
    </row>
    <row r="207" spans="1:5" x14ac:dyDescent="0.25">
      <c r="A207">
        <v>8727</v>
      </c>
      <c r="D207" s="22"/>
      <c r="E207" s="22"/>
    </row>
    <row r="208" spans="1:5" x14ac:dyDescent="0.25">
      <c r="A208">
        <v>7270</v>
      </c>
      <c r="D208" s="22"/>
      <c r="E208" s="22"/>
    </row>
    <row r="209" spans="1:5" x14ac:dyDescent="0.25">
      <c r="A209">
        <v>1508</v>
      </c>
      <c r="D209" s="22"/>
      <c r="E209" s="22"/>
    </row>
    <row r="210" spans="1:5" x14ac:dyDescent="0.25">
      <c r="A210">
        <v>6911</v>
      </c>
      <c r="D210" s="22"/>
      <c r="E210" s="22"/>
    </row>
    <row r="211" spans="1:5" x14ac:dyDescent="0.25">
      <c r="A211">
        <v>3586</v>
      </c>
      <c r="D211" s="22"/>
      <c r="E211" s="22"/>
    </row>
    <row r="212" spans="1:5" x14ac:dyDescent="0.25">
      <c r="A212">
        <v>6275</v>
      </c>
      <c r="D212" s="22"/>
      <c r="E212" s="22"/>
    </row>
    <row r="213" spans="1:5" x14ac:dyDescent="0.25">
      <c r="A213">
        <v>1760</v>
      </c>
      <c r="D213" s="22"/>
      <c r="E213" s="22"/>
    </row>
    <row r="214" spans="1:5" x14ac:dyDescent="0.25">
      <c r="A214">
        <v>1912</v>
      </c>
      <c r="D214" s="22"/>
      <c r="E214" s="22"/>
    </row>
    <row r="215" spans="1:5" x14ac:dyDescent="0.25">
      <c r="A215">
        <v>6891</v>
      </c>
      <c r="D215" s="22"/>
      <c r="E215" s="22"/>
    </row>
    <row r="216" spans="1:5" x14ac:dyDescent="0.25">
      <c r="A216">
        <v>7133</v>
      </c>
      <c r="D216" s="22"/>
      <c r="E216" s="22"/>
    </row>
    <row r="217" spans="1:5" x14ac:dyDescent="0.25">
      <c r="A217">
        <v>5274</v>
      </c>
      <c r="D217" s="22"/>
      <c r="E217" s="22"/>
    </row>
    <row r="218" spans="1:5" x14ac:dyDescent="0.25">
      <c r="A218">
        <v>6420</v>
      </c>
      <c r="D218" s="22"/>
      <c r="E218" s="22"/>
    </row>
    <row r="219" spans="1:5" x14ac:dyDescent="0.25">
      <c r="A219">
        <v>6348</v>
      </c>
      <c r="D219" s="22"/>
      <c r="E219" s="22"/>
    </row>
    <row r="220" spans="1:5" x14ac:dyDescent="0.25">
      <c r="A220">
        <v>5540</v>
      </c>
      <c r="D220" s="22"/>
      <c r="E220" s="22"/>
    </row>
    <row r="221" spans="1:5" x14ac:dyDescent="0.25">
      <c r="A221">
        <v>6979</v>
      </c>
      <c r="D221" s="22"/>
      <c r="E221" s="22"/>
    </row>
    <row r="222" spans="1:5" x14ac:dyDescent="0.25">
      <c r="A222">
        <v>7795</v>
      </c>
      <c r="D222" s="22"/>
      <c r="E222" s="22"/>
    </row>
    <row r="223" spans="1:5" x14ac:dyDescent="0.25">
      <c r="A223">
        <v>6975</v>
      </c>
      <c r="D223" s="22"/>
      <c r="E223" s="22"/>
    </row>
    <row r="224" spans="1:5" x14ac:dyDescent="0.25">
      <c r="A224">
        <v>4489</v>
      </c>
      <c r="D224" s="22"/>
      <c r="E224" s="22"/>
    </row>
    <row r="225" spans="1:5" x14ac:dyDescent="0.25">
      <c r="A225">
        <v>1409</v>
      </c>
      <c r="D225" s="22"/>
      <c r="E225" s="22"/>
    </row>
    <row r="226" spans="1:5" x14ac:dyDescent="0.25">
      <c r="A226">
        <v>2541</v>
      </c>
      <c r="D226" s="22"/>
      <c r="E226" s="22"/>
    </row>
    <row r="227" spans="1:5" x14ac:dyDescent="0.25">
      <c r="A227">
        <v>6544</v>
      </c>
      <c r="D227" s="22"/>
      <c r="E227" s="22"/>
    </row>
    <row r="228" spans="1:5" x14ac:dyDescent="0.25">
      <c r="A228">
        <v>1874</v>
      </c>
      <c r="D228" s="22"/>
      <c r="E228" s="22"/>
    </row>
    <row r="229" spans="1:5" x14ac:dyDescent="0.25">
      <c r="A229">
        <v>7059</v>
      </c>
      <c r="D229" s="22"/>
      <c r="E229" s="22"/>
    </row>
    <row r="230" spans="1:5" x14ac:dyDescent="0.25">
      <c r="A230">
        <v>2181</v>
      </c>
      <c r="D230" s="22"/>
      <c r="E230" s="22"/>
    </row>
    <row r="231" spans="1:5" x14ac:dyDescent="0.25">
      <c r="A231">
        <v>4609</v>
      </c>
      <c r="D231" s="22"/>
      <c r="E231" s="22"/>
    </row>
    <row r="232" spans="1:5" x14ac:dyDescent="0.25">
      <c r="A232">
        <v>2279</v>
      </c>
      <c r="D232" s="22"/>
      <c r="E232" s="22"/>
    </row>
    <row r="233" spans="1:5" x14ac:dyDescent="0.25">
      <c r="A233">
        <v>8514</v>
      </c>
      <c r="D233" s="22"/>
      <c r="E233" s="22"/>
    </row>
    <row r="234" spans="1:5" x14ac:dyDescent="0.25">
      <c r="A234">
        <v>6033</v>
      </c>
      <c r="D234" s="22"/>
      <c r="E234" s="22"/>
    </row>
    <row r="235" spans="1:5" x14ac:dyDescent="0.25">
      <c r="A235">
        <v>2744</v>
      </c>
      <c r="D235" s="22"/>
      <c r="E235" s="22"/>
    </row>
    <row r="236" spans="1:5" x14ac:dyDescent="0.25">
      <c r="A236">
        <v>4793</v>
      </c>
      <c r="D236" s="22"/>
      <c r="E236" s="22"/>
    </row>
    <row r="237" spans="1:5" x14ac:dyDescent="0.25">
      <c r="A237">
        <v>1823</v>
      </c>
      <c r="D237" s="22"/>
      <c r="E237" s="22"/>
    </row>
    <row r="238" spans="1:5" x14ac:dyDescent="0.25">
      <c r="A238">
        <v>1047</v>
      </c>
      <c r="D238" s="22"/>
      <c r="E238" s="22"/>
    </row>
    <row r="239" spans="1:5" x14ac:dyDescent="0.25">
      <c r="A239">
        <v>6026</v>
      </c>
      <c r="D239" s="22"/>
      <c r="E239" s="22"/>
    </row>
    <row r="240" spans="1:5" x14ac:dyDescent="0.25">
      <c r="A240">
        <v>6100</v>
      </c>
      <c r="D240" s="22"/>
      <c r="E240" s="22"/>
    </row>
    <row r="241" spans="1:5" x14ac:dyDescent="0.25">
      <c r="A241">
        <v>2158</v>
      </c>
      <c r="D241" s="22"/>
      <c r="E241" s="22"/>
    </row>
    <row r="242" spans="1:5" x14ac:dyDescent="0.25">
      <c r="A242">
        <v>4742</v>
      </c>
      <c r="D242" s="22"/>
      <c r="E242" s="22"/>
    </row>
    <row r="243" spans="1:5" x14ac:dyDescent="0.25">
      <c r="A243">
        <v>5545</v>
      </c>
      <c r="D243" s="22"/>
      <c r="E243" s="22"/>
    </row>
    <row r="244" spans="1:5" x14ac:dyDescent="0.25">
      <c r="A244">
        <v>9491</v>
      </c>
      <c r="D244" s="22"/>
      <c r="E244" s="22"/>
    </row>
    <row r="245" spans="1:5" x14ac:dyDescent="0.25">
      <c r="A245">
        <v>7818</v>
      </c>
      <c r="D245" s="22"/>
      <c r="E245" s="22"/>
    </row>
    <row r="246" spans="1:5" x14ac:dyDescent="0.25">
      <c r="A246">
        <v>8744</v>
      </c>
      <c r="D246" s="22"/>
      <c r="E246" s="22"/>
    </row>
    <row r="247" spans="1:5" x14ac:dyDescent="0.25">
      <c r="A247">
        <v>3564</v>
      </c>
      <c r="D247" s="22"/>
      <c r="E247" s="22"/>
    </row>
    <row r="248" spans="1:5" x14ac:dyDescent="0.25">
      <c r="A248">
        <v>6203</v>
      </c>
      <c r="D248" s="22"/>
      <c r="E248" s="22"/>
    </row>
    <row r="249" spans="1:5" x14ac:dyDescent="0.25">
      <c r="A249">
        <v>5917</v>
      </c>
      <c r="D249" s="22"/>
      <c r="E249" s="22"/>
    </row>
    <row r="250" spans="1:5" x14ac:dyDescent="0.25">
      <c r="A250">
        <v>9617</v>
      </c>
      <c r="D250" s="22"/>
      <c r="E250" s="22"/>
    </row>
    <row r="251" spans="1:5" x14ac:dyDescent="0.25">
      <c r="A251">
        <v>3040</v>
      </c>
      <c r="D251" s="22"/>
      <c r="E251" s="22"/>
    </row>
    <row r="252" spans="1:5" x14ac:dyDescent="0.25">
      <c r="A252">
        <v>7311</v>
      </c>
      <c r="D252" s="22"/>
      <c r="E252" s="22"/>
    </row>
    <row r="253" spans="1:5" x14ac:dyDescent="0.25">
      <c r="A253">
        <v>4225</v>
      </c>
      <c r="D253" s="22"/>
      <c r="E253" s="22"/>
    </row>
    <row r="254" spans="1:5" x14ac:dyDescent="0.25">
      <c r="A254">
        <v>2979</v>
      </c>
      <c r="D254" s="22"/>
      <c r="E254" s="22"/>
    </row>
    <row r="255" spans="1:5" x14ac:dyDescent="0.25">
      <c r="A255">
        <v>6205</v>
      </c>
      <c r="D255" s="22"/>
      <c r="E255" s="22"/>
    </row>
    <row r="256" spans="1:5" x14ac:dyDescent="0.25">
      <c r="A256">
        <v>7887</v>
      </c>
      <c r="D256" s="22"/>
      <c r="E256" s="22"/>
    </row>
    <row r="257" spans="1:5" x14ac:dyDescent="0.25">
      <c r="A257">
        <v>7917</v>
      </c>
      <c r="D257" s="22"/>
      <c r="E257" s="22"/>
    </row>
    <row r="258" spans="1:5" x14ac:dyDescent="0.25">
      <c r="A258">
        <v>4410</v>
      </c>
      <c r="D258" s="22"/>
      <c r="E258" s="22"/>
    </row>
    <row r="259" spans="1:5" x14ac:dyDescent="0.25">
      <c r="A259">
        <v>4394</v>
      </c>
      <c r="D259" s="22"/>
      <c r="E259" s="22"/>
    </row>
    <row r="260" spans="1:5" x14ac:dyDescent="0.25">
      <c r="A260">
        <v>8156</v>
      </c>
      <c r="D260" s="22"/>
      <c r="E260" s="22"/>
    </row>
    <row r="261" spans="1:5" x14ac:dyDescent="0.25">
      <c r="A261">
        <v>5200</v>
      </c>
      <c r="D261" s="22"/>
      <c r="E261" s="22"/>
    </row>
    <row r="262" spans="1:5" x14ac:dyDescent="0.25">
      <c r="A262">
        <v>8658</v>
      </c>
      <c r="D262" s="22"/>
      <c r="E262" s="22"/>
    </row>
    <row r="263" spans="1:5" x14ac:dyDescent="0.25">
      <c r="A263">
        <v>9595</v>
      </c>
      <c r="D263" s="22"/>
      <c r="E263" s="22"/>
    </row>
    <row r="264" spans="1:5" x14ac:dyDescent="0.25">
      <c r="A264">
        <v>4619</v>
      </c>
      <c r="D264" s="22"/>
      <c r="E264" s="22"/>
    </row>
    <row r="265" spans="1:5" x14ac:dyDescent="0.25">
      <c r="A265">
        <v>8985</v>
      </c>
      <c r="D265" s="22"/>
      <c r="E265" s="22"/>
    </row>
    <row r="266" spans="1:5" x14ac:dyDescent="0.25">
      <c r="A266">
        <v>8974</v>
      </c>
      <c r="D266" s="22"/>
      <c r="E266" s="22"/>
    </row>
    <row r="267" spans="1:5" x14ac:dyDescent="0.25">
      <c r="A267">
        <v>5529</v>
      </c>
      <c r="D267" s="22"/>
      <c r="E267" s="22"/>
    </row>
    <row r="268" spans="1:5" x14ac:dyDescent="0.25">
      <c r="A268">
        <v>7951</v>
      </c>
      <c r="D268" s="22"/>
      <c r="E268" s="22"/>
    </row>
    <row r="269" spans="1:5" x14ac:dyDescent="0.25">
      <c r="A269">
        <v>1054</v>
      </c>
      <c r="D269" s="22"/>
      <c r="E269" s="22"/>
    </row>
    <row r="270" spans="1:5" x14ac:dyDescent="0.25">
      <c r="A270">
        <v>8539</v>
      </c>
      <c r="D270" s="22"/>
      <c r="E270" s="22"/>
    </row>
    <row r="271" spans="1:5" x14ac:dyDescent="0.25">
      <c r="A271">
        <v>3134</v>
      </c>
      <c r="D271" s="22"/>
      <c r="E271" s="22"/>
    </row>
    <row r="272" spans="1:5" x14ac:dyDescent="0.25">
      <c r="A272">
        <v>2011</v>
      </c>
      <c r="D272" s="22"/>
      <c r="E272" s="22"/>
    </row>
    <row r="273" spans="1:5" x14ac:dyDescent="0.25">
      <c r="A273">
        <v>8557</v>
      </c>
      <c r="D273" s="22"/>
      <c r="E273" s="22"/>
    </row>
    <row r="274" spans="1:5" x14ac:dyDescent="0.25">
      <c r="A274">
        <v>9869</v>
      </c>
      <c r="D274" s="22"/>
      <c r="E274" s="22"/>
    </row>
    <row r="275" spans="1:5" x14ac:dyDescent="0.25">
      <c r="A275">
        <v>5710</v>
      </c>
      <c r="D275" s="22"/>
      <c r="E275" s="22"/>
    </row>
    <row r="276" spans="1:5" x14ac:dyDescent="0.25">
      <c r="A276">
        <v>6778</v>
      </c>
      <c r="D276" s="22"/>
      <c r="E276" s="22"/>
    </row>
    <row r="277" spans="1:5" x14ac:dyDescent="0.25">
      <c r="A277">
        <v>7137</v>
      </c>
      <c r="D277" s="22"/>
      <c r="E277" s="22"/>
    </row>
    <row r="278" spans="1:5" x14ac:dyDescent="0.25">
      <c r="A278">
        <v>8052</v>
      </c>
      <c r="D278" s="22"/>
      <c r="E278" s="22"/>
    </row>
    <row r="279" spans="1:5" x14ac:dyDescent="0.25">
      <c r="A279">
        <v>6018</v>
      </c>
      <c r="D279" s="22"/>
      <c r="E279" s="22"/>
    </row>
    <row r="280" spans="1:5" x14ac:dyDescent="0.25">
      <c r="A280">
        <v>4980</v>
      </c>
      <c r="D280" s="22"/>
      <c r="E280" s="22"/>
    </row>
    <row r="281" spans="1:5" x14ac:dyDescent="0.25">
      <c r="A281">
        <v>2661</v>
      </c>
      <c r="D281" s="22"/>
      <c r="E281" s="22"/>
    </row>
    <row r="282" spans="1:5" x14ac:dyDescent="0.25">
      <c r="A282">
        <v>8461</v>
      </c>
      <c r="D282" s="22"/>
      <c r="E282" s="22"/>
    </row>
    <row r="283" spans="1:5" x14ac:dyDescent="0.25">
      <c r="A283">
        <v>9419</v>
      </c>
      <c r="D283" s="22"/>
      <c r="E283" s="22"/>
    </row>
    <row r="284" spans="1:5" x14ac:dyDescent="0.25">
      <c r="A284">
        <v>5392</v>
      </c>
      <c r="D284" s="22"/>
      <c r="E284" s="22"/>
    </row>
    <row r="285" spans="1:5" x14ac:dyDescent="0.25">
      <c r="A285">
        <v>7530</v>
      </c>
      <c r="D285" s="22"/>
      <c r="E285" s="22"/>
    </row>
    <row r="286" spans="1:5" x14ac:dyDescent="0.25">
      <c r="A286">
        <v>3326</v>
      </c>
      <c r="D286" s="22"/>
      <c r="E286" s="22"/>
    </row>
    <row r="287" spans="1:5" x14ac:dyDescent="0.25">
      <c r="A287">
        <v>7282</v>
      </c>
      <c r="D287" s="22"/>
      <c r="E287" s="22"/>
    </row>
    <row r="288" spans="1:5" x14ac:dyDescent="0.25">
      <c r="A288">
        <v>2464</v>
      </c>
      <c r="D288" s="22"/>
      <c r="E288" s="22"/>
    </row>
    <row r="289" spans="1:5" x14ac:dyDescent="0.25">
      <c r="A289">
        <v>3191</v>
      </c>
      <c r="D289" s="22"/>
      <c r="E289" s="22"/>
    </row>
    <row r="290" spans="1:5" x14ac:dyDescent="0.25">
      <c r="A290">
        <v>7565</v>
      </c>
      <c r="D290" s="22"/>
      <c r="E290" s="22"/>
    </row>
    <row r="291" spans="1:5" x14ac:dyDescent="0.25">
      <c r="A291">
        <v>1611</v>
      </c>
      <c r="D291" s="22"/>
      <c r="E291" s="22"/>
    </row>
    <row r="292" spans="1:5" x14ac:dyDescent="0.25">
      <c r="A292">
        <v>3877</v>
      </c>
      <c r="D292" s="22"/>
      <c r="E292" s="22"/>
    </row>
    <row r="293" spans="1:5" x14ac:dyDescent="0.25">
      <c r="A293">
        <v>3184</v>
      </c>
      <c r="D293" s="22"/>
      <c r="E293" s="22"/>
    </row>
    <row r="294" spans="1:5" x14ac:dyDescent="0.25">
      <c r="A294">
        <v>2354</v>
      </c>
      <c r="D294" s="22"/>
      <c r="E294" s="22"/>
    </row>
    <row r="295" spans="1:5" x14ac:dyDescent="0.25">
      <c r="A295">
        <v>1139</v>
      </c>
      <c r="D295" s="22"/>
      <c r="E295" s="22"/>
    </row>
    <row r="296" spans="1:5" x14ac:dyDescent="0.25">
      <c r="A296">
        <v>5467</v>
      </c>
      <c r="D296" s="22"/>
      <c r="E296" s="22"/>
    </row>
    <row r="297" spans="1:5" x14ac:dyDescent="0.25">
      <c r="A297">
        <v>1128</v>
      </c>
      <c r="D297" s="22"/>
      <c r="E297" s="22"/>
    </row>
    <row r="298" spans="1:5" x14ac:dyDescent="0.25">
      <c r="A298">
        <v>3958</v>
      </c>
      <c r="D298" s="22"/>
      <c r="E298" s="22"/>
    </row>
    <row r="299" spans="1:5" x14ac:dyDescent="0.25">
      <c r="A299">
        <v>5154</v>
      </c>
      <c r="D299" s="22"/>
      <c r="E299" s="22"/>
    </row>
    <row r="300" spans="1:5" x14ac:dyDescent="0.25">
      <c r="A300">
        <v>3695</v>
      </c>
      <c r="D300" s="22"/>
      <c r="E300" s="22"/>
    </row>
    <row r="301" spans="1:5" x14ac:dyDescent="0.25">
      <c r="A301">
        <v>6366</v>
      </c>
      <c r="D301" s="22"/>
      <c r="E301" s="22"/>
    </row>
    <row r="302" spans="1:5" x14ac:dyDescent="0.25">
      <c r="A302">
        <v>9447</v>
      </c>
      <c r="D302" s="22"/>
      <c r="E302" s="22"/>
    </row>
    <row r="303" spans="1:5" x14ac:dyDescent="0.25">
      <c r="A303">
        <v>7717</v>
      </c>
      <c r="D303" s="22"/>
      <c r="E303" s="22"/>
    </row>
    <row r="304" spans="1:5" x14ac:dyDescent="0.25">
      <c r="A304">
        <v>4843</v>
      </c>
      <c r="D304" s="22"/>
      <c r="E304" s="22"/>
    </row>
    <row r="305" spans="1:5" x14ac:dyDescent="0.25">
      <c r="A305">
        <v>5584</v>
      </c>
      <c r="D305" s="22"/>
      <c r="E305" s="22"/>
    </row>
    <row r="306" spans="1:5" x14ac:dyDescent="0.25">
      <c r="A306">
        <v>8006</v>
      </c>
      <c r="D306" s="22"/>
      <c r="E306" s="22"/>
    </row>
    <row r="307" spans="1:5" x14ac:dyDescent="0.25">
      <c r="A307">
        <v>9917</v>
      </c>
      <c r="D307" s="22"/>
      <c r="E307" s="22"/>
    </row>
    <row r="308" spans="1:5" x14ac:dyDescent="0.25">
      <c r="A308">
        <v>3205</v>
      </c>
      <c r="D308" s="22"/>
      <c r="E308" s="22"/>
    </row>
    <row r="309" spans="1:5" x14ac:dyDescent="0.25">
      <c r="A309">
        <v>8941</v>
      </c>
      <c r="D309" s="22"/>
      <c r="E309" s="22"/>
    </row>
    <row r="310" spans="1:5" x14ac:dyDescent="0.25">
      <c r="A310">
        <v>6791</v>
      </c>
      <c r="D310" s="22"/>
      <c r="E310" s="22"/>
    </row>
    <row r="311" spans="1:5" x14ac:dyDescent="0.25">
      <c r="A311">
        <v>9261</v>
      </c>
      <c r="D311" s="22"/>
      <c r="E311" s="22"/>
    </row>
    <row r="312" spans="1:5" x14ac:dyDescent="0.25">
      <c r="A312">
        <v>3255</v>
      </c>
      <c r="D312" s="22"/>
      <c r="E312" s="22"/>
    </row>
    <row r="313" spans="1:5" x14ac:dyDescent="0.25">
      <c r="A313">
        <v>4957</v>
      </c>
      <c r="D313" s="22"/>
      <c r="E313" s="22"/>
    </row>
    <row r="314" spans="1:5" x14ac:dyDescent="0.25">
      <c r="A314">
        <v>4712</v>
      </c>
      <c r="D314" s="22"/>
      <c r="E314" s="22"/>
    </row>
    <row r="315" spans="1:5" x14ac:dyDescent="0.25">
      <c r="A315">
        <v>5697</v>
      </c>
      <c r="D315" s="22"/>
      <c r="E315" s="22"/>
    </row>
    <row r="316" spans="1:5" x14ac:dyDescent="0.25">
      <c r="A316">
        <v>4904</v>
      </c>
      <c r="D316" s="22"/>
      <c r="E316" s="22"/>
    </row>
    <row r="317" spans="1:5" x14ac:dyDescent="0.25">
      <c r="A317">
        <v>6952</v>
      </c>
      <c r="D317" s="22"/>
      <c r="E317" s="22"/>
    </row>
    <row r="318" spans="1:5" x14ac:dyDescent="0.25">
      <c r="A318">
        <v>1654</v>
      </c>
      <c r="D318" s="22"/>
      <c r="E318" s="22"/>
    </row>
    <row r="319" spans="1:5" x14ac:dyDescent="0.25">
      <c r="A319">
        <v>8134</v>
      </c>
      <c r="D319" s="22"/>
      <c r="E319" s="22"/>
    </row>
    <row r="320" spans="1:5" x14ac:dyDescent="0.25">
      <c r="A320">
        <v>2448</v>
      </c>
      <c r="D320" s="22"/>
      <c r="E320" s="22"/>
    </row>
    <row r="321" spans="1:5" x14ac:dyDescent="0.25">
      <c r="A321">
        <v>6809</v>
      </c>
      <c r="D321" s="22"/>
      <c r="E321" s="22"/>
    </row>
    <row r="322" spans="1:5" x14ac:dyDescent="0.25">
      <c r="A322">
        <v>6083</v>
      </c>
      <c r="D322" s="22"/>
      <c r="E322" s="22"/>
    </row>
    <row r="323" spans="1:5" x14ac:dyDescent="0.25">
      <c r="A323">
        <v>6279</v>
      </c>
      <c r="D323" s="22"/>
      <c r="E323" s="22"/>
    </row>
    <row r="324" spans="1:5" x14ac:dyDescent="0.25">
      <c r="A324">
        <v>6361</v>
      </c>
      <c r="D324" s="22"/>
      <c r="E324" s="22"/>
    </row>
    <row r="325" spans="1:5" x14ac:dyDescent="0.25">
      <c r="A325">
        <v>4225</v>
      </c>
      <c r="D325" s="22"/>
      <c r="E325" s="22"/>
    </row>
    <row r="326" spans="1:5" x14ac:dyDescent="0.25">
      <c r="A326">
        <v>8371</v>
      </c>
      <c r="D326" s="22"/>
      <c r="E326" s="22"/>
    </row>
    <row r="327" spans="1:5" x14ac:dyDescent="0.25">
      <c r="A327">
        <v>7506</v>
      </c>
      <c r="D327" s="22"/>
      <c r="E327" s="22"/>
    </row>
    <row r="328" spans="1:5" x14ac:dyDescent="0.25">
      <c r="A328">
        <v>4265</v>
      </c>
      <c r="D328" s="22"/>
      <c r="E328" s="22"/>
    </row>
    <row r="329" spans="1:5" x14ac:dyDescent="0.25">
      <c r="A329">
        <v>7064</v>
      </c>
      <c r="D329" s="22"/>
      <c r="E329" s="22"/>
    </row>
    <row r="330" spans="1:5" x14ac:dyDescent="0.25">
      <c r="A330">
        <v>5807</v>
      </c>
      <c r="D330" s="22"/>
      <c r="E330" s="22"/>
    </row>
    <row r="331" spans="1:5" x14ac:dyDescent="0.25">
      <c r="A331">
        <v>3244</v>
      </c>
      <c r="D331" s="22"/>
      <c r="E331" s="22"/>
    </row>
    <row r="332" spans="1:5" x14ac:dyDescent="0.25">
      <c r="A332">
        <v>6786</v>
      </c>
      <c r="D332" s="22"/>
      <c r="E332" s="22"/>
    </row>
    <row r="333" spans="1:5" x14ac:dyDescent="0.25">
      <c r="A333">
        <v>6819</v>
      </c>
      <c r="D333" s="22"/>
      <c r="E333" s="22"/>
    </row>
    <row r="334" spans="1:5" x14ac:dyDescent="0.25">
      <c r="A334">
        <v>4275</v>
      </c>
      <c r="D334" s="22"/>
      <c r="E334" s="22"/>
    </row>
    <row r="335" spans="1:5" x14ac:dyDescent="0.25">
      <c r="A335">
        <v>2098</v>
      </c>
      <c r="D335" s="22"/>
      <c r="E335" s="22"/>
    </row>
    <row r="336" spans="1:5" x14ac:dyDescent="0.25">
      <c r="A336">
        <v>6277</v>
      </c>
      <c r="D336" s="22"/>
      <c r="E336" s="22"/>
    </row>
    <row r="337" spans="1:5" x14ac:dyDescent="0.25">
      <c r="A337">
        <v>3678</v>
      </c>
      <c r="D337" s="22"/>
      <c r="E337" s="22"/>
    </row>
    <row r="338" spans="1:5" x14ac:dyDescent="0.25">
      <c r="A338">
        <v>4396</v>
      </c>
      <c r="D338" s="22"/>
      <c r="E338" s="22"/>
    </row>
    <row r="339" spans="1:5" x14ac:dyDescent="0.25">
      <c r="A339">
        <v>7359</v>
      </c>
      <c r="D339" s="22"/>
      <c r="E339" s="22"/>
    </row>
    <row r="340" spans="1:5" x14ac:dyDescent="0.25">
      <c r="A340">
        <v>6521</v>
      </c>
      <c r="D340" s="22"/>
      <c r="E340" s="22"/>
    </row>
    <row r="341" spans="1:5" x14ac:dyDescent="0.25">
      <c r="A341">
        <v>4499</v>
      </c>
      <c r="D341" s="22"/>
      <c r="E341" s="22"/>
    </row>
    <row r="342" spans="1:5" x14ac:dyDescent="0.25">
      <c r="A342">
        <v>7983</v>
      </c>
      <c r="D342" s="22"/>
      <c r="E342" s="22"/>
    </row>
    <row r="343" spans="1:5" x14ac:dyDescent="0.25">
      <c r="A343">
        <v>7833</v>
      </c>
      <c r="D343" s="22"/>
      <c r="E343" s="22"/>
    </row>
    <row r="344" spans="1:5" x14ac:dyDescent="0.25">
      <c r="A344">
        <v>5386</v>
      </c>
      <c r="D344" s="22"/>
      <c r="E344" s="22"/>
    </row>
    <row r="345" spans="1:5" x14ac:dyDescent="0.25">
      <c r="A345">
        <v>7746</v>
      </c>
      <c r="D345" s="22"/>
      <c r="E345" s="22"/>
    </row>
    <row r="346" spans="1:5" x14ac:dyDescent="0.25">
      <c r="A346">
        <v>6903</v>
      </c>
      <c r="D346" s="22"/>
      <c r="E346" s="22"/>
    </row>
    <row r="347" spans="1:5" x14ac:dyDescent="0.25">
      <c r="A347">
        <v>1569</v>
      </c>
      <c r="D347" s="22"/>
      <c r="E347" s="22"/>
    </row>
    <row r="348" spans="1:5" x14ac:dyDescent="0.25">
      <c r="A348">
        <v>2630</v>
      </c>
      <c r="D348" s="22"/>
      <c r="E348" s="22"/>
    </row>
    <row r="349" spans="1:5" x14ac:dyDescent="0.25">
      <c r="A349">
        <v>5723</v>
      </c>
      <c r="D349" s="22"/>
      <c r="E349" s="22"/>
    </row>
    <row r="350" spans="1:5" x14ac:dyDescent="0.25">
      <c r="A350">
        <v>8417</v>
      </c>
      <c r="D350" s="22"/>
      <c r="E350" s="22"/>
    </row>
    <row r="351" spans="1:5" x14ac:dyDescent="0.25">
      <c r="A351">
        <v>9888</v>
      </c>
      <c r="D351" s="22"/>
      <c r="E351" s="22"/>
    </row>
    <row r="352" spans="1:5" x14ac:dyDescent="0.25">
      <c r="A352">
        <v>2147</v>
      </c>
      <c r="D352" s="22"/>
      <c r="E352" s="22"/>
    </row>
    <row r="353" spans="1:5" x14ac:dyDescent="0.25">
      <c r="A353">
        <v>5891</v>
      </c>
      <c r="D353" s="22"/>
      <c r="E353" s="22"/>
    </row>
    <row r="354" spans="1:5" x14ac:dyDescent="0.25">
      <c r="A354">
        <v>5465</v>
      </c>
      <c r="D354" s="22"/>
      <c r="E354" s="22"/>
    </row>
    <row r="355" spans="1:5" x14ac:dyDescent="0.25">
      <c r="A355">
        <v>5958</v>
      </c>
      <c r="D355" s="22"/>
      <c r="E355" s="22"/>
    </row>
    <row r="356" spans="1:5" x14ac:dyDescent="0.25">
      <c r="A356">
        <v>9295</v>
      </c>
      <c r="D356" s="22"/>
      <c r="E356" s="22"/>
    </row>
    <row r="357" spans="1:5" x14ac:dyDescent="0.25">
      <c r="A357">
        <v>3497</v>
      </c>
      <c r="D357" s="22"/>
      <c r="E357" s="22"/>
    </row>
    <row r="358" spans="1:5" x14ac:dyDescent="0.25">
      <c r="A358">
        <v>1907</v>
      </c>
      <c r="D358" s="22"/>
      <c r="E358" s="22"/>
    </row>
    <row r="359" spans="1:5" x14ac:dyDescent="0.25">
      <c r="A359">
        <v>3846</v>
      </c>
      <c r="D359" s="22"/>
      <c r="E359" s="22"/>
    </row>
    <row r="360" spans="1:5" x14ac:dyDescent="0.25">
      <c r="A360">
        <v>4769</v>
      </c>
      <c r="D360" s="22"/>
      <c r="E360" s="22"/>
    </row>
    <row r="361" spans="1:5" x14ac:dyDescent="0.25">
      <c r="A361">
        <v>8092</v>
      </c>
      <c r="D361" s="22"/>
      <c r="E361" s="22"/>
    </row>
    <row r="362" spans="1:5" x14ac:dyDescent="0.25">
      <c r="A362">
        <v>4547</v>
      </c>
      <c r="D362" s="22"/>
      <c r="E362" s="22"/>
    </row>
    <row r="363" spans="1:5" x14ac:dyDescent="0.25">
      <c r="A363">
        <v>4223</v>
      </c>
      <c r="D363" s="22"/>
      <c r="E363" s="22"/>
    </row>
    <row r="364" spans="1:5" x14ac:dyDescent="0.25">
      <c r="A364">
        <v>8688</v>
      </c>
      <c r="D364" s="22"/>
      <c r="E364" s="22"/>
    </row>
    <row r="365" spans="1:5" x14ac:dyDescent="0.25">
      <c r="A365">
        <v>9924</v>
      </c>
      <c r="D365" s="22"/>
      <c r="E365" s="22"/>
    </row>
    <row r="366" spans="1:5" x14ac:dyDescent="0.25">
      <c r="A366">
        <v>8265</v>
      </c>
      <c r="D366" s="22"/>
      <c r="E366" s="22"/>
    </row>
    <row r="367" spans="1:5" x14ac:dyDescent="0.25">
      <c r="A367">
        <v>4523</v>
      </c>
      <c r="D367" s="22"/>
      <c r="E367" s="22"/>
    </row>
    <row r="368" spans="1:5" x14ac:dyDescent="0.25">
      <c r="A368">
        <v>2684</v>
      </c>
      <c r="D368" s="22"/>
      <c r="E368" s="22"/>
    </row>
    <row r="369" spans="1:5" x14ac:dyDescent="0.25">
      <c r="A369">
        <v>1573</v>
      </c>
      <c r="D369" s="22"/>
      <c r="E369" s="22"/>
    </row>
    <row r="370" spans="1:5" x14ac:dyDescent="0.25">
      <c r="A370">
        <v>8354</v>
      </c>
      <c r="D370" s="22"/>
      <c r="E370" s="22"/>
    </row>
    <row r="371" spans="1:5" x14ac:dyDescent="0.25">
      <c r="A371">
        <v>2848</v>
      </c>
      <c r="D371" s="22"/>
      <c r="E371" s="22"/>
    </row>
    <row r="372" spans="1:5" x14ac:dyDescent="0.25">
      <c r="A372">
        <v>7610</v>
      </c>
      <c r="D372" s="22"/>
      <c r="E372" s="22"/>
    </row>
    <row r="373" spans="1:5" x14ac:dyDescent="0.25">
      <c r="A373">
        <v>5661</v>
      </c>
      <c r="D373" s="22"/>
      <c r="E373" s="22"/>
    </row>
    <row r="374" spans="1:5" x14ac:dyDescent="0.25">
      <c r="A374">
        <v>9141</v>
      </c>
      <c r="D374" s="22"/>
      <c r="E374" s="22"/>
    </row>
    <row r="375" spans="1:5" x14ac:dyDescent="0.25">
      <c r="A375">
        <v>5889</v>
      </c>
      <c r="D375" s="22"/>
      <c r="E375" s="22"/>
    </row>
    <row r="376" spans="1:5" x14ac:dyDescent="0.25">
      <c r="A376">
        <v>6418</v>
      </c>
      <c r="D376" s="22"/>
      <c r="E376" s="22"/>
    </row>
    <row r="377" spans="1:5" x14ac:dyDescent="0.25">
      <c r="A377">
        <v>6367</v>
      </c>
      <c r="D377" s="22"/>
      <c r="E377" s="22"/>
    </row>
    <row r="378" spans="1:5" x14ac:dyDescent="0.25">
      <c r="A378">
        <v>6586</v>
      </c>
      <c r="D378" s="22"/>
      <c r="E378" s="22"/>
    </row>
    <row r="379" spans="1:5" x14ac:dyDescent="0.25">
      <c r="A379">
        <v>7748</v>
      </c>
      <c r="D379" s="22"/>
      <c r="E379" s="22"/>
    </row>
    <row r="380" spans="1:5" x14ac:dyDescent="0.25">
      <c r="A380">
        <v>7028</v>
      </c>
      <c r="D380" s="22"/>
      <c r="E380" s="22"/>
    </row>
    <row r="381" spans="1:5" x14ac:dyDescent="0.25">
      <c r="A381">
        <v>4769</v>
      </c>
      <c r="D381" s="22"/>
      <c r="E381" s="22"/>
    </row>
    <row r="382" spans="1:5" x14ac:dyDescent="0.25">
      <c r="A382">
        <v>7806</v>
      </c>
      <c r="D382" s="22"/>
      <c r="E382" s="22"/>
    </row>
    <row r="383" spans="1:5" x14ac:dyDescent="0.25">
      <c r="A383">
        <v>5427</v>
      </c>
      <c r="D383" s="22"/>
      <c r="E383" s="22"/>
    </row>
    <row r="384" spans="1:5" x14ac:dyDescent="0.25">
      <c r="A384">
        <v>3208</v>
      </c>
      <c r="D384" s="22"/>
      <c r="E384" s="22"/>
    </row>
    <row r="385" spans="1:5" x14ac:dyDescent="0.25">
      <c r="A385">
        <v>5182</v>
      </c>
      <c r="D385" s="22"/>
      <c r="E385" s="22"/>
    </row>
    <row r="386" spans="1:5" x14ac:dyDescent="0.25">
      <c r="A386">
        <v>4187</v>
      </c>
      <c r="D386" s="22"/>
      <c r="E386" s="22"/>
    </row>
    <row r="387" spans="1:5" x14ac:dyDescent="0.25">
      <c r="A387">
        <v>8027</v>
      </c>
      <c r="D387" s="22"/>
      <c r="E387" s="22"/>
    </row>
    <row r="388" spans="1:5" x14ac:dyDescent="0.25">
      <c r="A388">
        <v>4184</v>
      </c>
      <c r="D388" s="22"/>
      <c r="E388" s="22"/>
    </row>
    <row r="389" spans="1:5" x14ac:dyDescent="0.25">
      <c r="A389">
        <v>5835</v>
      </c>
      <c r="D389" s="22"/>
      <c r="E389" s="22"/>
    </row>
    <row r="390" spans="1:5" x14ac:dyDescent="0.25">
      <c r="A390">
        <v>4124</v>
      </c>
      <c r="D390" s="22"/>
      <c r="E390" s="22"/>
    </row>
    <row r="391" spans="1:5" x14ac:dyDescent="0.25">
      <c r="A391">
        <v>8527</v>
      </c>
      <c r="D391" s="22"/>
      <c r="E391" s="22"/>
    </row>
    <row r="392" spans="1:5" x14ac:dyDescent="0.25">
      <c r="A392">
        <v>2748</v>
      </c>
      <c r="D392" s="22"/>
      <c r="E392" s="22"/>
    </row>
    <row r="393" spans="1:5" x14ac:dyDescent="0.25">
      <c r="A393">
        <v>1035</v>
      </c>
      <c r="D393" s="22"/>
      <c r="E393" s="22"/>
    </row>
    <row r="394" spans="1:5" x14ac:dyDescent="0.25">
      <c r="A394">
        <v>6107</v>
      </c>
      <c r="D394" s="22"/>
      <c r="E394" s="22"/>
    </row>
    <row r="395" spans="1:5" x14ac:dyDescent="0.25">
      <c r="A395">
        <v>9009</v>
      </c>
      <c r="D395" s="22"/>
      <c r="E395" s="22"/>
    </row>
    <row r="396" spans="1:5" x14ac:dyDescent="0.25">
      <c r="A396">
        <v>6521</v>
      </c>
      <c r="D396" s="22"/>
      <c r="E396" s="22"/>
    </row>
    <row r="397" spans="1:5" x14ac:dyDescent="0.25">
      <c r="A397">
        <v>1950</v>
      </c>
      <c r="D397" s="22"/>
      <c r="E397" s="22"/>
    </row>
    <row r="398" spans="1:5" x14ac:dyDescent="0.25">
      <c r="A398">
        <v>9974</v>
      </c>
      <c r="D398" s="22"/>
      <c r="E398" s="22"/>
    </row>
    <row r="399" spans="1:5" x14ac:dyDescent="0.25">
      <c r="A399">
        <v>9768</v>
      </c>
      <c r="D399" s="22"/>
      <c r="E399" s="22"/>
    </row>
    <row r="400" spans="1:5" x14ac:dyDescent="0.25">
      <c r="A400">
        <v>9590</v>
      </c>
      <c r="D400" s="22"/>
      <c r="E400" s="22"/>
    </row>
    <row r="401" spans="1:5" x14ac:dyDescent="0.25">
      <c r="A401">
        <v>7015</v>
      </c>
      <c r="D401" s="22"/>
      <c r="E401" s="22"/>
    </row>
    <row r="402" spans="1:5" x14ac:dyDescent="0.25">
      <c r="A402">
        <v>5256</v>
      </c>
      <c r="D402" s="22"/>
      <c r="E402" s="22"/>
    </row>
    <row r="403" spans="1:5" x14ac:dyDescent="0.25">
      <c r="A403">
        <v>3852</v>
      </c>
      <c r="D403" s="22"/>
      <c r="E403" s="22"/>
    </row>
    <row r="404" spans="1:5" x14ac:dyDescent="0.25">
      <c r="A404">
        <v>4415</v>
      </c>
      <c r="D404" s="22"/>
      <c r="E404" s="22"/>
    </row>
    <row r="405" spans="1:5" x14ac:dyDescent="0.25">
      <c r="A405">
        <v>4241</v>
      </c>
      <c r="D405" s="22"/>
      <c r="E405" s="22"/>
    </row>
    <row r="406" spans="1:5" x14ac:dyDescent="0.25">
      <c r="A406">
        <v>7986</v>
      </c>
      <c r="D406" s="22"/>
      <c r="E406" s="22"/>
    </row>
    <row r="407" spans="1:5" x14ac:dyDescent="0.25">
      <c r="A407">
        <v>4518</v>
      </c>
      <c r="D407" s="22"/>
      <c r="E407" s="22"/>
    </row>
    <row r="408" spans="1:5" x14ac:dyDescent="0.25">
      <c r="A408">
        <v>6079</v>
      </c>
      <c r="D408" s="22"/>
      <c r="E408" s="22"/>
    </row>
    <row r="409" spans="1:5" x14ac:dyDescent="0.25">
      <c r="A409">
        <v>9130</v>
      </c>
      <c r="D409" s="22"/>
      <c r="E409" s="22"/>
    </row>
    <row r="410" spans="1:5" x14ac:dyDescent="0.25">
      <c r="A410">
        <v>2566</v>
      </c>
      <c r="D410" s="22"/>
      <c r="E410" s="22"/>
    </row>
    <row r="411" spans="1:5" x14ac:dyDescent="0.25">
      <c r="A411">
        <v>5961</v>
      </c>
      <c r="D411" s="22"/>
      <c r="E411" s="22"/>
    </row>
    <row r="412" spans="1:5" x14ac:dyDescent="0.25">
      <c r="A412">
        <v>6074</v>
      </c>
      <c r="D412" s="22"/>
      <c r="E412" s="22"/>
    </row>
    <row r="413" spans="1:5" x14ac:dyDescent="0.25">
      <c r="A413">
        <v>1419</v>
      </c>
      <c r="D413" s="22"/>
      <c r="E413" s="22"/>
    </row>
    <row r="414" spans="1:5" x14ac:dyDescent="0.25">
      <c r="A414">
        <v>8757</v>
      </c>
      <c r="D414" s="22"/>
      <c r="E414" s="22"/>
    </row>
    <row r="415" spans="1:5" x14ac:dyDescent="0.25">
      <c r="A415">
        <v>8865</v>
      </c>
      <c r="D415" s="22"/>
      <c r="E415" s="22"/>
    </row>
    <row r="416" spans="1:5" x14ac:dyDescent="0.25">
      <c r="A416">
        <v>3679</v>
      </c>
      <c r="D416" s="22"/>
      <c r="E416" s="22"/>
    </row>
    <row r="417" spans="1:5" x14ac:dyDescent="0.25">
      <c r="A417">
        <v>8498</v>
      </c>
      <c r="D417" s="22"/>
      <c r="E417" s="22"/>
    </row>
    <row r="418" spans="1:5" x14ac:dyDescent="0.25">
      <c r="A418">
        <v>3472</v>
      </c>
      <c r="D418" s="22"/>
      <c r="E418" s="22"/>
    </row>
    <row r="419" spans="1:5" x14ac:dyDescent="0.25">
      <c r="A419">
        <v>4492</v>
      </c>
      <c r="D419" s="22"/>
      <c r="E419" s="22"/>
    </row>
    <row r="420" spans="1:5" x14ac:dyDescent="0.25">
      <c r="A420">
        <v>7599</v>
      </c>
      <c r="D420" s="22"/>
      <c r="E420" s="22"/>
    </row>
    <row r="421" spans="1:5" x14ac:dyDescent="0.25">
      <c r="A421">
        <v>7078</v>
      </c>
      <c r="D421" s="22"/>
      <c r="E421" s="22"/>
    </row>
    <row r="422" spans="1:5" x14ac:dyDescent="0.25">
      <c r="A422">
        <v>4673</v>
      </c>
      <c r="D422" s="22"/>
      <c r="E422" s="22"/>
    </row>
    <row r="423" spans="1:5" x14ac:dyDescent="0.25">
      <c r="A423">
        <v>7660</v>
      </c>
      <c r="D423" s="22"/>
      <c r="E423" s="22"/>
    </row>
    <row r="424" spans="1:5" x14ac:dyDescent="0.25">
      <c r="A424">
        <v>7217</v>
      </c>
      <c r="D424" s="22"/>
      <c r="E424" s="22"/>
    </row>
    <row r="425" spans="1:5" x14ac:dyDescent="0.25">
      <c r="A425">
        <v>2395</v>
      </c>
      <c r="D425" s="22"/>
      <c r="E425" s="22"/>
    </row>
    <row r="426" spans="1:5" x14ac:dyDescent="0.25">
      <c r="A426">
        <v>9956</v>
      </c>
      <c r="D426" s="22"/>
      <c r="E426" s="22"/>
    </row>
    <row r="427" spans="1:5" x14ac:dyDescent="0.25">
      <c r="A427">
        <v>1388</v>
      </c>
      <c r="D427" s="22"/>
      <c r="E427" s="22"/>
    </row>
    <row r="428" spans="1:5" x14ac:dyDescent="0.25">
      <c r="A428">
        <v>6904</v>
      </c>
      <c r="D428" s="22"/>
      <c r="E428" s="22"/>
    </row>
    <row r="429" spans="1:5" x14ac:dyDescent="0.25">
      <c r="A429">
        <v>5009</v>
      </c>
      <c r="D429" s="22"/>
      <c r="E429" s="22"/>
    </row>
    <row r="430" spans="1:5" x14ac:dyDescent="0.25">
      <c r="A430">
        <v>2971</v>
      </c>
      <c r="D430" s="22"/>
      <c r="E430" s="22"/>
    </row>
    <row r="431" spans="1:5" x14ac:dyDescent="0.25">
      <c r="A431">
        <v>5394</v>
      </c>
      <c r="D431" s="22"/>
      <c r="E431" s="22"/>
    </row>
    <row r="432" spans="1:5" x14ac:dyDescent="0.25">
      <c r="A432">
        <v>7855</v>
      </c>
      <c r="D432" s="22"/>
      <c r="E432" s="22"/>
    </row>
    <row r="433" spans="1:5" x14ac:dyDescent="0.25">
      <c r="A433">
        <v>3390</v>
      </c>
      <c r="D433" s="22"/>
      <c r="E433" s="22"/>
    </row>
    <row r="434" spans="1:5" x14ac:dyDescent="0.25">
      <c r="A434">
        <v>7400</v>
      </c>
      <c r="D434" s="22"/>
      <c r="E434" s="22"/>
    </row>
    <row r="435" spans="1:5" x14ac:dyDescent="0.25">
      <c r="A435">
        <v>3723</v>
      </c>
      <c r="D435" s="22"/>
      <c r="E435" s="22"/>
    </row>
    <row r="436" spans="1:5" x14ac:dyDescent="0.25">
      <c r="A436">
        <v>6333</v>
      </c>
      <c r="D436" s="22"/>
      <c r="E436" s="22"/>
    </row>
    <row r="437" spans="1:5" x14ac:dyDescent="0.25">
      <c r="A437">
        <v>9783</v>
      </c>
      <c r="D437" s="22"/>
      <c r="E437" s="22"/>
    </row>
    <row r="438" spans="1:5" x14ac:dyDescent="0.25">
      <c r="A438">
        <v>7060</v>
      </c>
      <c r="D438" s="22"/>
      <c r="E438" s="22"/>
    </row>
    <row r="439" spans="1:5" x14ac:dyDescent="0.25">
      <c r="A439">
        <v>2822</v>
      </c>
      <c r="D439" s="22"/>
      <c r="E439" s="22"/>
    </row>
    <row r="440" spans="1:5" x14ac:dyDescent="0.25">
      <c r="A440">
        <v>8406</v>
      </c>
      <c r="D440" s="22"/>
      <c r="E440" s="22"/>
    </row>
    <row r="441" spans="1:5" x14ac:dyDescent="0.25">
      <c r="A441">
        <v>3511</v>
      </c>
      <c r="D441" s="22"/>
      <c r="E441" s="22"/>
    </row>
    <row r="442" spans="1:5" x14ac:dyDescent="0.25">
      <c r="A442">
        <v>1796</v>
      </c>
      <c r="D442" s="22"/>
      <c r="E442" s="22"/>
    </row>
    <row r="443" spans="1:5" x14ac:dyDescent="0.25">
      <c r="A443">
        <v>2813</v>
      </c>
      <c r="D443" s="22"/>
      <c r="E443" s="22"/>
    </row>
    <row r="444" spans="1:5" x14ac:dyDescent="0.25">
      <c r="A444">
        <v>2913</v>
      </c>
      <c r="D444" s="22"/>
      <c r="E444" s="22"/>
    </row>
    <row r="445" spans="1:5" x14ac:dyDescent="0.25">
      <c r="A445">
        <v>9015</v>
      </c>
      <c r="D445" s="22"/>
      <c r="E445" s="22"/>
    </row>
    <row r="446" spans="1:5" x14ac:dyDescent="0.25">
      <c r="A446">
        <v>4460</v>
      </c>
      <c r="D446" s="22"/>
      <c r="E446" s="22"/>
    </row>
    <row r="447" spans="1:5" x14ac:dyDescent="0.25">
      <c r="A447">
        <v>8010</v>
      </c>
      <c r="D447" s="22"/>
      <c r="E447" s="22"/>
    </row>
    <row r="448" spans="1:5" x14ac:dyDescent="0.25">
      <c r="A448">
        <v>1187</v>
      </c>
      <c r="D448" s="22"/>
      <c r="E448" s="22"/>
    </row>
    <row r="449" spans="1:5" x14ac:dyDescent="0.25">
      <c r="A449">
        <v>4294</v>
      </c>
      <c r="D449" s="22"/>
      <c r="E449" s="22"/>
    </row>
    <row r="450" spans="1:5" x14ac:dyDescent="0.25">
      <c r="A450">
        <v>5090</v>
      </c>
      <c r="D450" s="22"/>
      <c r="E450" s="22"/>
    </row>
    <row r="451" spans="1:5" x14ac:dyDescent="0.25">
      <c r="A451">
        <v>2077</v>
      </c>
      <c r="D451" s="22"/>
      <c r="E451" s="22"/>
    </row>
    <row r="452" spans="1:5" x14ac:dyDescent="0.25">
      <c r="A452">
        <v>8095</v>
      </c>
      <c r="D452" s="22"/>
      <c r="E452" s="22"/>
    </row>
    <row r="453" spans="1:5" x14ac:dyDescent="0.25">
      <c r="A453">
        <v>1899</v>
      </c>
      <c r="D453" s="22"/>
      <c r="E453" s="22"/>
    </row>
    <row r="454" spans="1:5" x14ac:dyDescent="0.25">
      <c r="A454">
        <v>3176</v>
      </c>
      <c r="D454" s="22"/>
      <c r="E454" s="22"/>
    </row>
    <row r="455" spans="1:5" x14ac:dyDescent="0.25">
      <c r="A455">
        <v>7050</v>
      </c>
      <c r="D455" s="22"/>
      <c r="E455" s="22"/>
    </row>
    <row r="456" spans="1:5" x14ac:dyDescent="0.25">
      <c r="A456">
        <v>2689</v>
      </c>
      <c r="D456" s="22"/>
      <c r="E456" s="22"/>
    </row>
    <row r="457" spans="1:5" x14ac:dyDescent="0.25">
      <c r="A457">
        <v>6942</v>
      </c>
      <c r="D457" s="22"/>
      <c r="E457" s="22"/>
    </row>
    <row r="458" spans="1:5" x14ac:dyDescent="0.25">
      <c r="A458">
        <v>6544</v>
      </c>
      <c r="D458" s="22"/>
      <c r="E458" s="22"/>
    </row>
    <row r="459" spans="1:5" x14ac:dyDescent="0.25">
      <c r="A459">
        <v>8013</v>
      </c>
      <c r="D459" s="22"/>
      <c r="E459" s="22"/>
    </row>
    <row r="460" spans="1:5" x14ac:dyDescent="0.25">
      <c r="A460">
        <v>6509</v>
      </c>
      <c r="D460" s="22"/>
      <c r="E460" s="22"/>
    </row>
    <row r="461" spans="1:5" x14ac:dyDescent="0.25">
      <c r="A461">
        <v>9267</v>
      </c>
      <c r="D461" s="22"/>
      <c r="E461" s="22"/>
    </row>
    <row r="462" spans="1:5" x14ac:dyDescent="0.25">
      <c r="A462">
        <v>9741</v>
      </c>
      <c r="D462" s="22"/>
      <c r="E462" s="22"/>
    </row>
    <row r="463" spans="1:5" x14ac:dyDescent="0.25">
      <c r="A463">
        <v>1837</v>
      </c>
      <c r="D463" s="22"/>
      <c r="E463" s="22"/>
    </row>
    <row r="464" spans="1:5" x14ac:dyDescent="0.25">
      <c r="A464">
        <v>3505</v>
      </c>
      <c r="D464" s="22"/>
      <c r="E464" s="22"/>
    </row>
    <row r="465" spans="1:5" x14ac:dyDescent="0.25">
      <c r="A465">
        <v>8285</v>
      </c>
      <c r="D465" s="22"/>
      <c r="E465" s="22"/>
    </row>
    <row r="466" spans="1:5" x14ac:dyDescent="0.25">
      <c r="A466">
        <v>9267</v>
      </c>
      <c r="D466" s="22"/>
      <c r="E466" s="22"/>
    </row>
    <row r="467" spans="1:5" x14ac:dyDescent="0.25">
      <c r="A467">
        <v>7282</v>
      </c>
      <c r="D467" s="22"/>
      <c r="E467" s="22"/>
    </row>
    <row r="468" spans="1:5" x14ac:dyDescent="0.25">
      <c r="A468">
        <v>7028</v>
      </c>
      <c r="D468" s="22"/>
      <c r="E468" s="22"/>
    </row>
    <row r="469" spans="1:5" x14ac:dyDescent="0.25">
      <c r="A469">
        <v>8844</v>
      </c>
      <c r="D469" s="22"/>
      <c r="E469" s="22"/>
    </row>
    <row r="470" spans="1:5" x14ac:dyDescent="0.25">
      <c r="A470">
        <v>3263</v>
      </c>
      <c r="D470" s="22"/>
      <c r="E470" s="22"/>
    </row>
    <row r="471" spans="1:5" x14ac:dyDescent="0.25">
      <c r="A471">
        <v>1763</v>
      </c>
      <c r="D471" s="22"/>
      <c r="E471" s="22"/>
    </row>
    <row r="472" spans="1:5" x14ac:dyDescent="0.25">
      <c r="A472">
        <v>6458</v>
      </c>
      <c r="D472" s="22"/>
      <c r="E472" s="22"/>
    </row>
    <row r="473" spans="1:5" x14ac:dyDescent="0.25">
      <c r="A473">
        <v>6871</v>
      </c>
      <c r="D473" s="22"/>
      <c r="E473" s="22"/>
    </row>
    <row r="474" spans="1:5" x14ac:dyDescent="0.25">
      <c r="A474">
        <v>4335</v>
      </c>
      <c r="D474" s="22"/>
      <c r="E474" s="22"/>
    </row>
    <row r="475" spans="1:5" x14ac:dyDescent="0.25">
      <c r="A475">
        <v>9503</v>
      </c>
      <c r="D475" s="22"/>
      <c r="E475" s="22"/>
    </row>
    <row r="476" spans="1:5" x14ac:dyDescent="0.25">
      <c r="A476">
        <v>2676</v>
      </c>
      <c r="D476" s="22"/>
      <c r="E476" s="22"/>
    </row>
    <row r="477" spans="1:5" x14ac:dyDescent="0.25">
      <c r="A477">
        <v>9071</v>
      </c>
      <c r="D477" s="22"/>
      <c r="E477" s="22"/>
    </row>
    <row r="478" spans="1:5" x14ac:dyDescent="0.25">
      <c r="A478">
        <v>9898</v>
      </c>
      <c r="D478" s="22"/>
      <c r="E478" s="22"/>
    </row>
    <row r="479" spans="1:5" x14ac:dyDescent="0.25">
      <c r="A479">
        <v>3946</v>
      </c>
      <c r="D479" s="22"/>
      <c r="E479" s="22"/>
    </row>
    <row r="480" spans="1:5" x14ac:dyDescent="0.25">
      <c r="A480">
        <v>9025</v>
      </c>
      <c r="D480" s="22"/>
      <c r="E480" s="22"/>
    </row>
    <row r="481" spans="1:5" x14ac:dyDescent="0.25">
      <c r="A481">
        <v>8597</v>
      </c>
      <c r="D481" s="22"/>
      <c r="E481" s="22"/>
    </row>
    <row r="482" spans="1:5" x14ac:dyDescent="0.25">
      <c r="A482">
        <v>6355</v>
      </c>
      <c r="D482" s="22"/>
      <c r="E482" s="22"/>
    </row>
    <row r="483" spans="1:5" x14ac:dyDescent="0.25">
      <c r="A483">
        <v>6962</v>
      </c>
      <c r="D483" s="22"/>
      <c r="E483" s="22"/>
    </row>
    <row r="484" spans="1:5" x14ac:dyDescent="0.25">
      <c r="A484">
        <v>5129</v>
      </c>
      <c r="D484" s="22"/>
      <c r="E484" s="22"/>
    </row>
    <row r="485" spans="1:5" x14ac:dyDescent="0.25">
      <c r="A485">
        <v>3148</v>
      </c>
      <c r="D485" s="22"/>
      <c r="E485" s="22"/>
    </row>
    <row r="486" spans="1:5" x14ac:dyDescent="0.25">
      <c r="A486">
        <v>6946</v>
      </c>
      <c r="D486" s="22"/>
      <c r="E486" s="22"/>
    </row>
    <row r="487" spans="1:5" x14ac:dyDescent="0.25">
      <c r="A487">
        <v>3121</v>
      </c>
      <c r="D487" s="22"/>
      <c r="E487" s="22"/>
    </row>
    <row r="488" spans="1:5" x14ac:dyDescent="0.25">
      <c r="A488">
        <v>6541</v>
      </c>
      <c r="D488" s="22"/>
      <c r="E488" s="22"/>
    </row>
    <row r="489" spans="1:5" x14ac:dyDescent="0.25">
      <c r="A489">
        <v>4498</v>
      </c>
      <c r="D489" s="22"/>
      <c r="E489" s="22"/>
    </row>
    <row r="490" spans="1:5" x14ac:dyDescent="0.25">
      <c r="A490">
        <v>6743</v>
      </c>
      <c r="D490" s="22"/>
      <c r="E490" s="22"/>
    </row>
    <row r="491" spans="1:5" x14ac:dyDescent="0.25">
      <c r="A491">
        <v>5860</v>
      </c>
      <c r="D491" s="22"/>
      <c r="E491" s="22"/>
    </row>
    <row r="492" spans="1:5" x14ac:dyDescent="0.25">
      <c r="A492">
        <v>3372</v>
      </c>
      <c r="D492" s="22"/>
      <c r="E492" s="22"/>
    </row>
    <row r="493" spans="1:5" x14ac:dyDescent="0.25">
      <c r="A493">
        <v>5655</v>
      </c>
      <c r="D493" s="22"/>
      <c r="E493" s="22"/>
    </row>
    <row r="494" spans="1:5" x14ac:dyDescent="0.25">
      <c r="A494">
        <v>5815</v>
      </c>
      <c r="D494" s="22"/>
      <c r="E494" s="22"/>
    </row>
    <row r="495" spans="1:5" x14ac:dyDescent="0.25">
      <c r="A495">
        <v>5756</v>
      </c>
      <c r="D495" s="22"/>
      <c r="E495" s="22"/>
    </row>
    <row r="496" spans="1:5" x14ac:dyDescent="0.25">
      <c r="A496">
        <v>9525</v>
      </c>
      <c r="D496" s="22"/>
      <c r="E496" s="22"/>
    </row>
    <row r="497" spans="1:5" x14ac:dyDescent="0.25">
      <c r="A497">
        <v>1500</v>
      </c>
      <c r="D497" s="22"/>
      <c r="E497" s="22"/>
    </row>
    <row r="498" spans="1:5" x14ac:dyDescent="0.25">
      <c r="A498">
        <v>1562</v>
      </c>
      <c r="D498" s="22"/>
      <c r="E498" s="22"/>
    </row>
    <row r="499" spans="1:5" x14ac:dyDescent="0.25">
      <c r="A499">
        <v>8925</v>
      </c>
      <c r="D499" s="22"/>
      <c r="E499" s="22"/>
    </row>
    <row r="500" spans="1:5" x14ac:dyDescent="0.25">
      <c r="A500">
        <v>7412</v>
      </c>
      <c r="D500" s="22"/>
      <c r="E500" s="22"/>
    </row>
    <row r="501" spans="1:5" x14ac:dyDescent="0.25">
      <c r="A501">
        <v>7558</v>
      </c>
      <c r="D501" s="22"/>
      <c r="E501" s="22"/>
    </row>
    <row r="502" spans="1:5" x14ac:dyDescent="0.25">
      <c r="A502">
        <v>1047</v>
      </c>
      <c r="D502" s="22"/>
      <c r="E502" s="22"/>
    </row>
    <row r="503" spans="1:5" x14ac:dyDescent="0.25">
      <c r="A503">
        <v>7545</v>
      </c>
      <c r="D503" s="22"/>
      <c r="E503" s="22"/>
    </row>
    <row r="504" spans="1:5" x14ac:dyDescent="0.25">
      <c r="A504">
        <v>5310</v>
      </c>
      <c r="D504" s="22"/>
      <c r="E504" s="22"/>
    </row>
    <row r="505" spans="1:5" x14ac:dyDescent="0.25">
      <c r="A505">
        <v>2132</v>
      </c>
      <c r="D505" s="22"/>
      <c r="E505" s="22"/>
    </row>
    <row r="506" spans="1:5" x14ac:dyDescent="0.25">
      <c r="A506">
        <v>9031</v>
      </c>
      <c r="D506" s="22"/>
      <c r="E506" s="22"/>
    </row>
    <row r="507" spans="1:5" x14ac:dyDescent="0.25">
      <c r="A507">
        <v>6710</v>
      </c>
      <c r="D507" s="22"/>
      <c r="E507" s="22"/>
    </row>
    <row r="508" spans="1:5" x14ac:dyDescent="0.25">
      <c r="A508">
        <v>7433</v>
      </c>
      <c r="D508" s="22"/>
      <c r="E508" s="22"/>
    </row>
    <row r="509" spans="1:5" x14ac:dyDescent="0.25">
      <c r="A509">
        <v>8802</v>
      </c>
      <c r="D509" s="22"/>
      <c r="E509" s="22"/>
    </row>
    <row r="510" spans="1:5" x14ac:dyDescent="0.25">
      <c r="A510">
        <v>4010</v>
      </c>
      <c r="D510" s="22"/>
      <c r="E510" s="22"/>
    </row>
    <row r="511" spans="1:5" x14ac:dyDescent="0.25">
      <c r="A511">
        <v>8765</v>
      </c>
      <c r="D511" s="22"/>
      <c r="E511" s="22"/>
    </row>
    <row r="512" spans="1:5" x14ac:dyDescent="0.25">
      <c r="A512">
        <v>4101</v>
      </c>
      <c r="D512" s="22"/>
      <c r="E512" s="22"/>
    </row>
    <row r="513" spans="1:5" x14ac:dyDescent="0.25">
      <c r="A513">
        <v>8733</v>
      </c>
      <c r="D513" s="22"/>
      <c r="E513" s="22"/>
    </row>
    <row r="514" spans="1:5" x14ac:dyDescent="0.25">
      <c r="A514">
        <v>2054</v>
      </c>
      <c r="D514" s="22"/>
      <c r="E514" s="22"/>
    </row>
    <row r="515" spans="1:5" x14ac:dyDescent="0.25">
      <c r="A515">
        <v>1866</v>
      </c>
      <c r="D515" s="22"/>
      <c r="E515" s="22"/>
    </row>
    <row r="516" spans="1:5" x14ac:dyDescent="0.25">
      <c r="A516">
        <v>8572</v>
      </c>
      <c r="D516" s="22"/>
      <c r="E516" s="22"/>
    </row>
    <row r="517" spans="1:5" x14ac:dyDescent="0.25">
      <c r="A517">
        <v>1269</v>
      </c>
      <c r="D517" s="22"/>
      <c r="E517" s="22"/>
    </row>
    <row r="518" spans="1:5" x14ac:dyDescent="0.25">
      <c r="A518">
        <v>2214</v>
      </c>
      <c r="D518" s="22"/>
      <c r="E518" s="22"/>
    </row>
    <row r="519" spans="1:5" x14ac:dyDescent="0.25">
      <c r="A519">
        <v>6994</v>
      </c>
      <c r="D519" s="22"/>
      <c r="E519" s="22"/>
    </row>
    <row r="520" spans="1:5" x14ac:dyDescent="0.25">
      <c r="A520">
        <v>6147</v>
      </c>
      <c r="D520" s="22"/>
      <c r="E520" s="22"/>
    </row>
    <row r="521" spans="1:5" x14ac:dyDescent="0.25">
      <c r="A521">
        <v>5737</v>
      </c>
      <c r="D521" s="22"/>
      <c r="E521" s="22"/>
    </row>
    <row r="522" spans="1:5" x14ac:dyDescent="0.25">
      <c r="A522">
        <v>5923</v>
      </c>
      <c r="D522" s="22"/>
      <c r="E522" s="22"/>
    </row>
    <row r="523" spans="1:5" x14ac:dyDescent="0.25">
      <c r="A523">
        <v>6004</v>
      </c>
      <c r="D523" s="22"/>
      <c r="E523" s="22"/>
    </row>
    <row r="524" spans="1:5" x14ac:dyDescent="0.25">
      <c r="A524">
        <v>5022</v>
      </c>
      <c r="D524" s="22"/>
      <c r="E524" s="22"/>
    </row>
    <row r="525" spans="1:5" x14ac:dyDescent="0.25">
      <c r="A525">
        <v>9725</v>
      </c>
      <c r="D525" s="22"/>
      <c r="E525" s="22"/>
    </row>
    <row r="526" spans="1:5" x14ac:dyDescent="0.25">
      <c r="A526">
        <v>5459</v>
      </c>
      <c r="D526" s="22"/>
      <c r="E526" s="22"/>
    </row>
    <row r="527" spans="1:5" x14ac:dyDescent="0.25">
      <c r="A527">
        <v>8944</v>
      </c>
      <c r="D527" s="22"/>
      <c r="E527" s="22"/>
    </row>
    <row r="528" spans="1:5" x14ac:dyDescent="0.25">
      <c r="A528">
        <v>4097</v>
      </c>
      <c r="D528" s="22"/>
      <c r="E528" s="22"/>
    </row>
    <row r="529" spans="1:5" x14ac:dyDescent="0.25">
      <c r="A529">
        <v>8186</v>
      </c>
      <c r="D529" s="22"/>
      <c r="E529" s="22"/>
    </row>
    <row r="530" spans="1:5" x14ac:dyDescent="0.25">
      <c r="A530">
        <v>6056</v>
      </c>
      <c r="D530" s="22"/>
      <c r="E530" s="22"/>
    </row>
    <row r="531" spans="1:5" x14ac:dyDescent="0.25">
      <c r="A531">
        <v>1921</v>
      </c>
      <c r="D531" s="22"/>
      <c r="E531" s="22"/>
    </row>
    <row r="532" spans="1:5" x14ac:dyDescent="0.25">
      <c r="A532">
        <v>8626</v>
      </c>
      <c r="D532" s="22"/>
      <c r="E532" s="22"/>
    </row>
    <row r="533" spans="1:5" x14ac:dyDescent="0.25">
      <c r="A533">
        <v>6482</v>
      </c>
      <c r="D533" s="22"/>
      <c r="E533" s="22"/>
    </row>
    <row r="534" spans="1:5" x14ac:dyDescent="0.25">
      <c r="A534">
        <v>5995</v>
      </c>
      <c r="D534" s="22"/>
      <c r="E534" s="22"/>
    </row>
    <row r="535" spans="1:5" x14ac:dyDescent="0.25">
      <c r="A535">
        <v>1224</v>
      </c>
      <c r="D535" s="22"/>
      <c r="E535" s="22"/>
    </row>
    <row r="536" spans="1:5" x14ac:dyDescent="0.25">
      <c r="A536">
        <v>5392</v>
      </c>
      <c r="D536" s="22"/>
      <c r="E536" s="22"/>
    </row>
    <row r="537" spans="1:5" x14ac:dyDescent="0.25">
      <c r="A537">
        <v>9659</v>
      </c>
      <c r="D537" s="22"/>
      <c r="E537" s="22"/>
    </row>
    <row r="538" spans="1:5" x14ac:dyDescent="0.25">
      <c r="A538">
        <v>3495</v>
      </c>
      <c r="D538" s="22"/>
      <c r="E538" s="22"/>
    </row>
    <row r="539" spans="1:5" x14ac:dyDescent="0.25">
      <c r="A539">
        <v>9067</v>
      </c>
      <c r="D539" s="22"/>
      <c r="E539" s="22"/>
    </row>
    <row r="540" spans="1:5" x14ac:dyDescent="0.25">
      <c r="A540">
        <v>9386</v>
      </c>
      <c r="D540" s="22"/>
      <c r="E540" s="22"/>
    </row>
    <row r="541" spans="1:5" x14ac:dyDescent="0.25">
      <c r="A541">
        <v>1917</v>
      </c>
      <c r="D541" s="22"/>
      <c r="E541" s="22"/>
    </row>
    <row r="542" spans="1:5" x14ac:dyDescent="0.25">
      <c r="A542">
        <v>2445</v>
      </c>
      <c r="D542" s="22"/>
      <c r="E542" s="22"/>
    </row>
    <row r="543" spans="1:5" x14ac:dyDescent="0.25">
      <c r="A543">
        <v>3822</v>
      </c>
      <c r="D543" s="22"/>
      <c r="E543" s="22"/>
    </row>
    <row r="544" spans="1:5" x14ac:dyDescent="0.25">
      <c r="A544">
        <v>4695</v>
      </c>
      <c r="D544" s="22"/>
      <c r="E544" s="22"/>
    </row>
    <row r="545" spans="1:5" x14ac:dyDescent="0.25">
      <c r="A545">
        <v>9321</v>
      </c>
      <c r="D545" s="22"/>
      <c r="E545" s="22"/>
    </row>
    <row r="546" spans="1:5" x14ac:dyDescent="0.25">
      <c r="A546">
        <v>2729</v>
      </c>
      <c r="D546" s="22"/>
      <c r="E546" s="22"/>
    </row>
    <row r="547" spans="1:5" x14ac:dyDescent="0.25">
      <c r="A547">
        <v>2839</v>
      </c>
      <c r="D547" s="22"/>
      <c r="E547" s="22"/>
    </row>
    <row r="548" spans="1:5" x14ac:dyDescent="0.25">
      <c r="A548">
        <v>8887</v>
      </c>
      <c r="D548" s="22"/>
      <c r="E548" s="22"/>
    </row>
    <row r="549" spans="1:5" x14ac:dyDescent="0.25">
      <c r="A549">
        <v>4377</v>
      </c>
      <c r="D549" s="22"/>
      <c r="E549" s="22"/>
    </row>
    <row r="550" spans="1:5" x14ac:dyDescent="0.25">
      <c r="A550">
        <v>8670</v>
      </c>
      <c r="D550" s="22"/>
      <c r="E550" s="22"/>
    </row>
    <row r="551" spans="1:5" x14ac:dyDescent="0.25">
      <c r="A551">
        <v>5046</v>
      </c>
      <c r="D551" s="22"/>
      <c r="E551" s="22"/>
    </row>
    <row r="552" spans="1:5" x14ac:dyDescent="0.25">
      <c r="A552">
        <v>7934</v>
      </c>
      <c r="D552" s="22"/>
      <c r="E552" s="22"/>
    </row>
    <row r="553" spans="1:5" x14ac:dyDescent="0.25">
      <c r="A553">
        <v>8743</v>
      </c>
      <c r="D553" s="22"/>
      <c r="E553" s="22"/>
    </row>
    <row r="554" spans="1:5" x14ac:dyDescent="0.25">
      <c r="A554">
        <v>6957</v>
      </c>
      <c r="D554" s="22"/>
      <c r="E554" s="22"/>
    </row>
    <row r="555" spans="1:5" x14ac:dyDescent="0.25">
      <c r="A555">
        <v>6616</v>
      </c>
      <c r="D555" s="22"/>
      <c r="E555" s="22"/>
    </row>
    <row r="556" spans="1:5" x14ac:dyDescent="0.25">
      <c r="A556">
        <v>6670</v>
      </c>
      <c r="D556" s="22"/>
      <c r="E556" s="22"/>
    </row>
    <row r="557" spans="1:5" x14ac:dyDescent="0.25">
      <c r="A557">
        <v>3037</v>
      </c>
      <c r="D557" s="22"/>
      <c r="E557" s="22"/>
    </row>
    <row r="558" spans="1:5" x14ac:dyDescent="0.25">
      <c r="A558">
        <v>6902</v>
      </c>
      <c r="D558" s="22"/>
      <c r="E558" s="22"/>
    </row>
    <row r="559" spans="1:5" x14ac:dyDescent="0.25">
      <c r="A559">
        <v>6320</v>
      </c>
      <c r="D559" s="22"/>
      <c r="E559" s="22"/>
    </row>
    <row r="560" spans="1:5" x14ac:dyDescent="0.25">
      <c r="A560">
        <v>5336</v>
      </c>
      <c r="D560" s="22"/>
      <c r="E560" s="22"/>
    </row>
    <row r="561" spans="1:5" x14ac:dyDescent="0.25">
      <c r="A561">
        <v>5889</v>
      </c>
      <c r="D561" s="22"/>
      <c r="E561" s="22"/>
    </row>
    <row r="562" spans="1:5" x14ac:dyDescent="0.25">
      <c r="A562">
        <v>6288</v>
      </c>
      <c r="D562" s="22"/>
      <c r="E562" s="22"/>
    </row>
    <row r="563" spans="1:5" x14ac:dyDescent="0.25">
      <c r="A563">
        <v>3549</v>
      </c>
      <c r="D563" s="22"/>
      <c r="E563" s="22"/>
    </row>
    <row r="564" spans="1:5" x14ac:dyDescent="0.25">
      <c r="A564">
        <v>3936</v>
      </c>
      <c r="D564" s="22"/>
      <c r="E564" s="22"/>
    </row>
    <row r="565" spans="1:5" x14ac:dyDescent="0.25">
      <c r="A565">
        <v>9254</v>
      </c>
      <c r="D565" s="22"/>
      <c r="E565" s="22"/>
    </row>
    <row r="566" spans="1:5" x14ac:dyDescent="0.25">
      <c r="A566">
        <v>6500</v>
      </c>
      <c r="D566" s="22"/>
      <c r="E566" s="22"/>
    </row>
    <row r="567" spans="1:5" x14ac:dyDescent="0.25">
      <c r="A567">
        <v>8212</v>
      </c>
      <c r="D567" s="22"/>
      <c r="E567" s="22"/>
    </row>
    <row r="568" spans="1:5" x14ac:dyDescent="0.25">
      <c r="A568">
        <v>3093</v>
      </c>
      <c r="D568" s="22"/>
      <c r="E568" s="22"/>
    </row>
    <row r="569" spans="1:5" x14ac:dyDescent="0.25">
      <c r="A569">
        <v>4835</v>
      </c>
      <c r="D569" s="22"/>
      <c r="E569" s="22"/>
    </row>
    <row r="570" spans="1:5" x14ac:dyDescent="0.25">
      <c r="A570">
        <v>5894</v>
      </c>
      <c r="D570" s="22"/>
      <c r="E570" s="22"/>
    </row>
    <row r="571" spans="1:5" x14ac:dyDescent="0.25">
      <c r="A571">
        <v>9112</v>
      </c>
      <c r="D571" s="22"/>
      <c r="E571" s="22"/>
    </row>
    <row r="572" spans="1:5" x14ac:dyDescent="0.25">
      <c r="A572">
        <v>2374</v>
      </c>
      <c r="D572" s="22"/>
      <c r="E572" s="22"/>
    </row>
    <row r="573" spans="1:5" x14ac:dyDescent="0.25">
      <c r="A573">
        <v>1206</v>
      </c>
      <c r="D573" s="22"/>
      <c r="E573" s="22"/>
    </row>
    <row r="574" spans="1:5" x14ac:dyDescent="0.25">
      <c r="A574">
        <v>7252</v>
      </c>
      <c r="D574" s="22"/>
      <c r="E574" s="22"/>
    </row>
    <row r="575" spans="1:5" x14ac:dyDescent="0.25">
      <c r="A575">
        <v>9369</v>
      </c>
      <c r="D575" s="22"/>
      <c r="E575" s="22"/>
    </row>
    <row r="576" spans="1:5" x14ac:dyDescent="0.25">
      <c r="A576">
        <v>2732</v>
      </c>
      <c r="D576" s="22"/>
      <c r="E576" s="22"/>
    </row>
    <row r="577" spans="1:5" x14ac:dyDescent="0.25">
      <c r="A577">
        <v>1069</v>
      </c>
      <c r="D577" s="22"/>
      <c r="E577" s="22"/>
    </row>
    <row r="578" spans="1:5" x14ac:dyDescent="0.25">
      <c r="A578">
        <v>4785</v>
      </c>
      <c r="D578" s="22"/>
      <c r="E578" s="22"/>
    </row>
    <row r="579" spans="1:5" x14ac:dyDescent="0.25">
      <c r="A579">
        <v>4007</v>
      </c>
      <c r="D579" s="22"/>
      <c r="E579" s="22"/>
    </row>
    <row r="580" spans="1:5" x14ac:dyDescent="0.25">
      <c r="A580">
        <v>5866</v>
      </c>
      <c r="D580" s="22"/>
      <c r="E580" s="22"/>
    </row>
    <row r="581" spans="1:5" x14ac:dyDescent="0.25">
      <c r="A581">
        <v>3956</v>
      </c>
      <c r="D581" s="22"/>
      <c r="E581" s="22"/>
    </row>
    <row r="582" spans="1:5" x14ac:dyDescent="0.25">
      <c r="A582">
        <v>3068</v>
      </c>
      <c r="D582" s="22"/>
      <c r="E582" s="22"/>
    </row>
    <row r="583" spans="1:5" x14ac:dyDescent="0.25">
      <c r="A583">
        <v>5285</v>
      </c>
      <c r="D583" s="22"/>
      <c r="E583" s="22"/>
    </row>
    <row r="584" spans="1:5" x14ac:dyDescent="0.25">
      <c r="A584">
        <v>7623</v>
      </c>
      <c r="D584" s="22"/>
      <c r="E584" s="22"/>
    </row>
    <row r="585" spans="1:5" x14ac:dyDescent="0.25">
      <c r="A585">
        <v>7445</v>
      </c>
      <c r="D585" s="22"/>
      <c r="E585" s="22"/>
    </row>
    <row r="586" spans="1:5" x14ac:dyDescent="0.25">
      <c r="A586">
        <v>5173</v>
      </c>
      <c r="D586" s="22"/>
      <c r="E586" s="22"/>
    </row>
    <row r="587" spans="1:5" x14ac:dyDescent="0.25">
      <c r="A587">
        <v>5304</v>
      </c>
      <c r="D587" s="22"/>
      <c r="E587" s="22"/>
    </row>
    <row r="588" spans="1:5" x14ac:dyDescent="0.25">
      <c r="A588">
        <v>2611</v>
      </c>
      <c r="D588" s="22"/>
      <c r="E588" s="22"/>
    </row>
    <row r="589" spans="1:5" x14ac:dyDescent="0.25">
      <c r="A589">
        <v>8780</v>
      </c>
      <c r="D589" s="22"/>
      <c r="E589" s="22"/>
    </row>
    <row r="590" spans="1:5" x14ac:dyDescent="0.25">
      <c r="A590">
        <v>7275</v>
      </c>
      <c r="D590" s="22"/>
      <c r="E590" s="22"/>
    </row>
    <row r="591" spans="1:5" x14ac:dyDescent="0.25">
      <c r="A591">
        <v>9787</v>
      </c>
      <c r="D591" s="22"/>
      <c r="E591" s="22"/>
    </row>
    <row r="592" spans="1:5" x14ac:dyDescent="0.25">
      <c r="A592">
        <v>9132</v>
      </c>
      <c r="D592" s="22"/>
      <c r="E592" s="22"/>
    </row>
    <row r="593" spans="1:5" x14ac:dyDescent="0.25">
      <c r="A593">
        <v>5075</v>
      </c>
      <c r="D593" s="22"/>
      <c r="E593" s="22"/>
    </row>
    <row r="594" spans="1:5" x14ac:dyDescent="0.25">
      <c r="A594">
        <v>7989</v>
      </c>
      <c r="D594" s="22"/>
      <c r="E594" s="22"/>
    </row>
    <row r="595" spans="1:5" x14ac:dyDescent="0.25">
      <c r="A595">
        <v>4499</v>
      </c>
      <c r="D595" s="22"/>
      <c r="E595" s="22"/>
    </row>
    <row r="596" spans="1:5" x14ac:dyDescent="0.25">
      <c r="A596">
        <v>2077</v>
      </c>
      <c r="D596" s="22"/>
      <c r="E596" s="22"/>
    </row>
    <row r="597" spans="1:5" x14ac:dyDescent="0.25">
      <c r="A597">
        <v>6904</v>
      </c>
      <c r="D597" s="22"/>
      <c r="E597" s="22"/>
    </row>
    <row r="598" spans="1:5" x14ac:dyDescent="0.25">
      <c r="A598">
        <v>3494</v>
      </c>
      <c r="D598" s="22"/>
      <c r="E598" s="22"/>
    </row>
    <row r="599" spans="1:5" x14ac:dyDescent="0.25">
      <c r="A599">
        <v>2198</v>
      </c>
      <c r="D599" s="22"/>
      <c r="E599" s="22"/>
    </row>
    <row r="600" spans="1:5" x14ac:dyDescent="0.25">
      <c r="A600">
        <v>2310</v>
      </c>
      <c r="D600" s="22"/>
      <c r="E600" s="22"/>
    </row>
    <row r="601" spans="1:5" x14ac:dyDescent="0.25">
      <c r="A601">
        <v>7499</v>
      </c>
      <c r="D601" s="22"/>
      <c r="E601" s="22"/>
    </row>
    <row r="602" spans="1:5" x14ac:dyDescent="0.25">
      <c r="A602">
        <v>4860</v>
      </c>
      <c r="D602" s="22"/>
      <c r="E602" s="22"/>
    </row>
    <row r="603" spans="1:5" x14ac:dyDescent="0.25">
      <c r="A603">
        <v>6151</v>
      </c>
      <c r="D603" s="22"/>
      <c r="E603" s="22"/>
    </row>
    <row r="604" spans="1:5" x14ac:dyDescent="0.25">
      <c r="A604">
        <v>1014</v>
      </c>
      <c r="D604" s="22"/>
      <c r="E604" s="22"/>
    </row>
    <row r="605" spans="1:5" x14ac:dyDescent="0.25">
      <c r="A605">
        <v>9579</v>
      </c>
      <c r="D605" s="22"/>
      <c r="E605" s="22"/>
    </row>
    <row r="606" spans="1:5" x14ac:dyDescent="0.25">
      <c r="A606">
        <v>8108</v>
      </c>
      <c r="D606" s="22"/>
      <c r="E606" s="22"/>
    </row>
    <row r="607" spans="1:5" x14ac:dyDescent="0.25">
      <c r="A607">
        <v>4453</v>
      </c>
      <c r="D607" s="22"/>
      <c r="E607" s="22"/>
    </row>
    <row r="608" spans="1:5" x14ac:dyDescent="0.25">
      <c r="A608">
        <v>5864</v>
      </c>
      <c r="D608" s="22"/>
      <c r="E608" s="22"/>
    </row>
    <row r="609" spans="1:5" x14ac:dyDescent="0.25">
      <c r="A609">
        <v>2935</v>
      </c>
      <c r="D609" s="22"/>
      <c r="E609" s="22"/>
    </row>
    <row r="610" spans="1:5" x14ac:dyDescent="0.25">
      <c r="A610">
        <v>9592</v>
      </c>
      <c r="D610" s="22"/>
      <c r="E610" s="22"/>
    </row>
    <row r="611" spans="1:5" x14ac:dyDescent="0.25">
      <c r="A611">
        <v>5411</v>
      </c>
      <c r="D611" s="22"/>
      <c r="E611" s="22"/>
    </row>
    <row r="612" spans="1:5" x14ac:dyDescent="0.25">
      <c r="A612">
        <v>7309</v>
      </c>
      <c r="D612" s="22"/>
      <c r="E612" s="22"/>
    </row>
    <row r="613" spans="1:5" x14ac:dyDescent="0.25">
      <c r="A613">
        <v>8551</v>
      </c>
      <c r="D613" s="22"/>
      <c r="E613" s="22"/>
    </row>
    <row r="614" spans="1:5" x14ac:dyDescent="0.25">
      <c r="A614">
        <v>9773</v>
      </c>
      <c r="D614" s="22"/>
      <c r="E614" s="22"/>
    </row>
    <row r="615" spans="1:5" x14ac:dyDescent="0.25">
      <c r="A615">
        <v>4513</v>
      </c>
      <c r="D615" s="22"/>
      <c r="E615" s="22"/>
    </row>
    <row r="616" spans="1:5" x14ac:dyDescent="0.25">
      <c r="A616">
        <v>4842</v>
      </c>
      <c r="D616" s="22"/>
      <c r="E616" s="22"/>
    </row>
    <row r="617" spans="1:5" x14ac:dyDescent="0.25">
      <c r="A617">
        <v>1914</v>
      </c>
      <c r="D617" s="22"/>
      <c r="E617" s="22"/>
    </row>
    <row r="618" spans="1:5" x14ac:dyDescent="0.25">
      <c r="A618">
        <v>6441</v>
      </c>
      <c r="D618" s="22"/>
      <c r="E618" s="22"/>
    </row>
    <row r="619" spans="1:5" x14ac:dyDescent="0.25">
      <c r="A619">
        <v>2183</v>
      </c>
      <c r="D619" s="22"/>
      <c r="E619" s="22"/>
    </row>
    <row r="620" spans="1:5" x14ac:dyDescent="0.25">
      <c r="A620">
        <v>7550</v>
      </c>
      <c r="D620" s="22"/>
      <c r="E620" s="22"/>
    </row>
    <row r="621" spans="1:5" x14ac:dyDescent="0.25">
      <c r="A621">
        <v>2202</v>
      </c>
      <c r="D621" s="22"/>
      <c r="E621" s="22"/>
    </row>
    <row r="622" spans="1:5" x14ac:dyDescent="0.25">
      <c r="A622">
        <v>3950</v>
      </c>
      <c r="D622" s="22"/>
      <c r="E622" s="22"/>
    </row>
    <row r="623" spans="1:5" x14ac:dyDescent="0.25">
      <c r="A623">
        <v>9180</v>
      </c>
      <c r="D623" s="22"/>
      <c r="E623" s="22"/>
    </row>
    <row r="624" spans="1:5" x14ac:dyDescent="0.25">
      <c r="A624">
        <v>4485</v>
      </c>
      <c r="D624" s="22"/>
      <c r="E624" s="22"/>
    </row>
    <row r="625" spans="1:5" x14ac:dyDescent="0.25">
      <c r="A625">
        <v>9492</v>
      </c>
      <c r="D625" s="22"/>
      <c r="E625" s="22"/>
    </row>
    <row r="626" spans="1:5" x14ac:dyDescent="0.25">
      <c r="A626">
        <v>3487</v>
      </c>
      <c r="D626" s="22"/>
      <c r="E626" s="22"/>
    </row>
    <row r="627" spans="1:5" x14ac:dyDescent="0.25">
      <c r="A627">
        <v>9191</v>
      </c>
      <c r="D627" s="22"/>
      <c r="E627" s="22"/>
    </row>
    <row r="628" spans="1:5" x14ac:dyDescent="0.25">
      <c r="A628">
        <v>4670</v>
      </c>
      <c r="D628" s="22"/>
      <c r="E628" s="22"/>
    </row>
    <row r="629" spans="1:5" x14ac:dyDescent="0.25">
      <c r="A629">
        <v>7872</v>
      </c>
      <c r="D629" s="22"/>
      <c r="E629" s="22"/>
    </row>
    <row r="630" spans="1:5" x14ac:dyDescent="0.25">
      <c r="A630">
        <v>9126</v>
      </c>
      <c r="D630" s="22"/>
      <c r="E630" s="22"/>
    </row>
    <row r="631" spans="1:5" x14ac:dyDescent="0.25">
      <c r="A631">
        <v>5309</v>
      </c>
      <c r="D631" s="22"/>
      <c r="E631" s="22"/>
    </row>
    <row r="632" spans="1:5" x14ac:dyDescent="0.25">
      <c r="A632">
        <v>6726</v>
      </c>
      <c r="D632" s="22"/>
      <c r="E632" s="22"/>
    </row>
    <row r="633" spans="1:5" x14ac:dyDescent="0.25">
      <c r="A633">
        <v>6942</v>
      </c>
      <c r="D633" s="22"/>
      <c r="E633" s="22"/>
    </row>
    <row r="634" spans="1:5" x14ac:dyDescent="0.25">
      <c r="A634">
        <v>9900</v>
      </c>
      <c r="D634" s="22"/>
      <c r="E634" s="22"/>
    </row>
    <row r="635" spans="1:5" x14ac:dyDescent="0.25">
      <c r="A635">
        <v>2610</v>
      </c>
      <c r="D635" s="22"/>
      <c r="E635" s="22"/>
    </row>
    <row r="636" spans="1:5" x14ac:dyDescent="0.25">
      <c r="A636">
        <v>3227</v>
      </c>
      <c r="D636" s="22"/>
      <c r="E636" s="22"/>
    </row>
    <row r="637" spans="1:5" x14ac:dyDescent="0.25">
      <c r="A637">
        <v>5501</v>
      </c>
      <c r="D637" s="22"/>
      <c r="E637" s="22"/>
    </row>
    <row r="638" spans="1:5" x14ac:dyDescent="0.25">
      <c r="A638">
        <v>9077</v>
      </c>
      <c r="D638" s="22"/>
      <c r="E638" s="22"/>
    </row>
    <row r="639" spans="1:5" x14ac:dyDescent="0.25">
      <c r="A639">
        <v>6289</v>
      </c>
      <c r="D639" s="22"/>
      <c r="E639" s="22"/>
    </row>
    <row r="640" spans="1:5" x14ac:dyDescent="0.25">
      <c r="A640">
        <v>3812</v>
      </c>
      <c r="D640" s="22"/>
      <c r="E640" s="22"/>
    </row>
    <row r="641" spans="1:5" x14ac:dyDescent="0.25">
      <c r="A641">
        <v>4753</v>
      </c>
      <c r="D641" s="22"/>
      <c r="E641" s="22"/>
    </row>
    <row r="642" spans="1:5" x14ac:dyDescent="0.25">
      <c r="A642">
        <v>2847</v>
      </c>
      <c r="D642" s="22"/>
      <c r="E642" s="22"/>
    </row>
    <row r="643" spans="1:5" x14ac:dyDescent="0.25">
      <c r="A643">
        <v>6801</v>
      </c>
      <c r="D643" s="22"/>
      <c r="E643" s="22"/>
    </row>
    <row r="644" spans="1:5" x14ac:dyDescent="0.25">
      <c r="A644">
        <v>9970</v>
      </c>
      <c r="D644" s="22"/>
      <c r="E644" s="22"/>
    </row>
    <row r="645" spans="1:5" x14ac:dyDescent="0.25">
      <c r="A645">
        <v>4956</v>
      </c>
      <c r="D645" s="22"/>
      <c r="E645" s="22"/>
    </row>
    <row r="646" spans="1:5" x14ac:dyDescent="0.25">
      <c r="A646">
        <v>8593</v>
      </c>
      <c r="D646" s="22"/>
      <c r="E646" s="22"/>
    </row>
    <row r="647" spans="1:5" x14ac:dyDescent="0.25">
      <c r="A647">
        <v>7003</v>
      </c>
      <c r="D647" s="22"/>
      <c r="E647" s="22"/>
    </row>
    <row r="648" spans="1:5" x14ac:dyDescent="0.25">
      <c r="A648">
        <v>2260</v>
      </c>
      <c r="D648" s="22"/>
      <c r="E648" s="22"/>
    </row>
    <row r="649" spans="1:5" x14ac:dyDescent="0.25">
      <c r="A649">
        <v>6274</v>
      </c>
      <c r="D649" s="22"/>
      <c r="E649" s="22"/>
    </row>
    <row r="650" spans="1:5" x14ac:dyDescent="0.25">
      <c r="A650">
        <v>4457</v>
      </c>
      <c r="D650" s="22"/>
      <c r="E650" s="22"/>
    </row>
    <row r="651" spans="1:5" x14ac:dyDescent="0.25">
      <c r="A651">
        <v>5005</v>
      </c>
      <c r="D651" s="22"/>
      <c r="E651" s="22"/>
    </row>
    <row r="652" spans="1:5" x14ac:dyDescent="0.25">
      <c r="A652">
        <v>7108</v>
      </c>
      <c r="D652" s="22"/>
      <c r="E652" s="22"/>
    </row>
    <row r="653" spans="1:5" x14ac:dyDescent="0.25">
      <c r="A653">
        <v>5918</v>
      </c>
      <c r="D653" s="22"/>
      <c r="E653" s="22"/>
    </row>
    <row r="654" spans="1:5" x14ac:dyDescent="0.25">
      <c r="A654">
        <v>7792</v>
      </c>
      <c r="D654" s="22"/>
      <c r="E654" s="22"/>
    </row>
    <row r="655" spans="1:5" x14ac:dyDescent="0.25">
      <c r="A655">
        <v>1184</v>
      </c>
      <c r="D655" s="22"/>
      <c r="E655" s="22"/>
    </row>
    <row r="656" spans="1:5" x14ac:dyDescent="0.25">
      <c r="A656">
        <v>3037</v>
      </c>
      <c r="D656" s="22"/>
      <c r="E656" s="22"/>
    </row>
    <row r="657" spans="1:5" x14ac:dyDescent="0.25">
      <c r="A657">
        <v>6127</v>
      </c>
      <c r="D657" s="22"/>
      <c r="E657" s="22"/>
    </row>
    <row r="658" spans="1:5" x14ac:dyDescent="0.25">
      <c r="A658">
        <v>2933</v>
      </c>
      <c r="D658" s="22"/>
      <c r="E658" s="22"/>
    </row>
    <row r="659" spans="1:5" x14ac:dyDescent="0.25">
      <c r="A659">
        <v>2680</v>
      </c>
      <c r="D659" s="22"/>
      <c r="E659" s="22"/>
    </row>
    <row r="660" spans="1:5" x14ac:dyDescent="0.25">
      <c r="A660">
        <v>8299</v>
      </c>
      <c r="D660" s="22"/>
      <c r="E660" s="22"/>
    </row>
    <row r="661" spans="1:5" x14ac:dyDescent="0.25">
      <c r="A661">
        <v>5502</v>
      </c>
      <c r="D661" s="22"/>
      <c r="E661" s="22"/>
    </row>
    <row r="662" spans="1:5" x14ac:dyDescent="0.25">
      <c r="A662">
        <v>4808</v>
      </c>
      <c r="D662" s="22"/>
      <c r="E662" s="22"/>
    </row>
    <row r="663" spans="1:5" x14ac:dyDescent="0.25">
      <c r="A663">
        <v>6363</v>
      </c>
      <c r="D663" s="22"/>
      <c r="E663" s="22"/>
    </row>
    <row r="664" spans="1:5" x14ac:dyDescent="0.25">
      <c r="A664">
        <v>1907</v>
      </c>
      <c r="D664" s="22"/>
      <c r="E664" s="22"/>
    </row>
    <row r="665" spans="1:5" x14ac:dyDescent="0.25">
      <c r="A665">
        <v>2474</v>
      </c>
      <c r="D665" s="22"/>
      <c r="E665" s="22"/>
    </row>
    <row r="666" spans="1:5" x14ac:dyDescent="0.25">
      <c r="A666">
        <v>5351</v>
      </c>
      <c r="D666" s="22"/>
      <c r="E666" s="22"/>
    </row>
    <row r="667" spans="1:5" x14ac:dyDescent="0.25">
      <c r="A667">
        <v>4884</v>
      </c>
      <c r="D667" s="22"/>
      <c r="E667" s="22"/>
    </row>
    <row r="668" spans="1:5" x14ac:dyDescent="0.25">
      <c r="A668">
        <v>8171</v>
      </c>
      <c r="D668" s="22"/>
      <c r="E668" s="22"/>
    </row>
    <row r="669" spans="1:5" x14ac:dyDescent="0.25">
      <c r="A669">
        <v>5487</v>
      </c>
      <c r="D669" s="22"/>
      <c r="E669" s="22"/>
    </row>
    <row r="670" spans="1:5" x14ac:dyDescent="0.25">
      <c r="A670">
        <v>1215</v>
      </c>
      <c r="D670" s="22"/>
      <c r="E670" s="22"/>
    </row>
    <row r="671" spans="1:5" x14ac:dyDescent="0.25">
      <c r="A671">
        <v>3186</v>
      </c>
      <c r="D671" s="22"/>
      <c r="E671" s="22"/>
    </row>
    <row r="672" spans="1:5" x14ac:dyDescent="0.25">
      <c r="A672">
        <v>7974</v>
      </c>
      <c r="D672" s="22"/>
      <c r="E672" s="22"/>
    </row>
    <row r="673" spans="1:5" x14ac:dyDescent="0.25">
      <c r="A673">
        <v>8410</v>
      </c>
      <c r="D673" s="22"/>
      <c r="E673" s="22"/>
    </row>
    <row r="674" spans="1:5" x14ac:dyDescent="0.25">
      <c r="A674">
        <v>3818</v>
      </c>
      <c r="D674" s="22"/>
      <c r="E674" s="22"/>
    </row>
    <row r="675" spans="1:5" x14ac:dyDescent="0.25">
      <c r="A675">
        <v>2658</v>
      </c>
      <c r="D675" s="22"/>
      <c r="E675" s="22"/>
    </row>
    <row r="676" spans="1:5" x14ac:dyDescent="0.25">
      <c r="A676">
        <v>9549</v>
      </c>
      <c r="D676" s="22"/>
      <c r="E676" s="22"/>
    </row>
    <row r="677" spans="1:5" x14ac:dyDescent="0.25">
      <c r="A677">
        <v>5660</v>
      </c>
      <c r="D677" s="22"/>
      <c r="E677" s="22"/>
    </row>
    <row r="678" spans="1:5" x14ac:dyDescent="0.25">
      <c r="A678">
        <v>2947</v>
      </c>
      <c r="D678" s="22"/>
      <c r="E678" s="22"/>
    </row>
    <row r="679" spans="1:5" x14ac:dyDescent="0.25">
      <c r="A679">
        <v>8623</v>
      </c>
      <c r="D679" s="22"/>
      <c r="E679" s="22"/>
    </row>
    <row r="680" spans="1:5" x14ac:dyDescent="0.25">
      <c r="A680">
        <v>4946</v>
      </c>
      <c r="D680" s="22"/>
      <c r="E680" s="22"/>
    </row>
    <row r="681" spans="1:5" x14ac:dyDescent="0.25">
      <c r="A681">
        <v>3871</v>
      </c>
      <c r="D681" s="22"/>
      <c r="E681" s="22"/>
    </row>
    <row r="682" spans="1:5" x14ac:dyDescent="0.25">
      <c r="A682">
        <v>4651</v>
      </c>
      <c r="D682" s="22"/>
      <c r="E682" s="22"/>
    </row>
    <row r="683" spans="1:5" x14ac:dyDescent="0.25">
      <c r="A683">
        <v>4975</v>
      </c>
      <c r="D683" s="22"/>
      <c r="E683" s="22"/>
    </row>
    <row r="684" spans="1:5" x14ac:dyDescent="0.25">
      <c r="A684">
        <v>3429</v>
      </c>
      <c r="D684" s="22"/>
      <c r="E684" s="22"/>
    </row>
    <row r="685" spans="1:5" x14ac:dyDescent="0.25">
      <c r="A685">
        <v>3133</v>
      </c>
      <c r="D685" s="22"/>
      <c r="E685" s="22"/>
    </row>
    <row r="686" spans="1:5" x14ac:dyDescent="0.25">
      <c r="A686">
        <v>9766</v>
      </c>
      <c r="D686" s="22"/>
      <c r="E686" s="22"/>
    </row>
    <row r="687" spans="1:5" x14ac:dyDescent="0.25">
      <c r="A687">
        <v>6944</v>
      </c>
      <c r="D687" s="22"/>
      <c r="E687" s="22"/>
    </row>
    <row r="688" spans="1:5" x14ac:dyDescent="0.25">
      <c r="A688">
        <v>6505</v>
      </c>
      <c r="D688" s="22"/>
      <c r="E688" s="22"/>
    </row>
    <row r="689" spans="1:5" x14ac:dyDescent="0.25">
      <c r="A689">
        <v>2398</v>
      </c>
      <c r="D689" s="22"/>
      <c r="E689" s="22"/>
    </row>
    <row r="690" spans="1:5" x14ac:dyDescent="0.25">
      <c r="A690">
        <v>2069</v>
      </c>
      <c r="D690" s="22"/>
      <c r="E690" s="22"/>
    </row>
    <row r="691" spans="1:5" x14ac:dyDescent="0.25">
      <c r="A691">
        <v>7475</v>
      </c>
      <c r="D691" s="22"/>
      <c r="E691" s="22"/>
    </row>
    <row r="692" spans="1:5" x14ac:dyDescent="0.25">
      <c r="A692">
        <v>3157</v>
      </c>
      <c r="D692" s="22"/>
      <c r="E692" s="22"/>
    </row>
    <row r="693" spans="1:5" x14ac:dyDescent="0.25">
      <c r="A693">
        <v>7355</v>
      </c>
      <c r="D693" s="22"/>
      <c r="E693" s="22"/>
    </row>
    <row r="694" spans="1:5" x14ac:dyDescent="0.25">
      <c r="A694">
        <v>9647</v>
      </c>
      <c r="D694" s="22"/>
      <c r="E694" s="22"/>
    </row>
    <row r="695" spans="1:5" x14ac:dyDescent="0.25">
      <c r="A695">
        <v>3549</v>
      </c>
      <c r="D695" s="22"/>
      <c r="E695" s="22"/>
    </row>
    <row r="696" spans="1:5" x14ac:dyDescent="0.25">
      <c r="A696">
        <v>7216</v>
      </c>
      <c r="D696" s="22"/>
      <c r="E696" s="22"/>
    </row>
    <row r="697" spans="1:5" x14ac:dyDescent="0.25">
      <c r="A697">
        <v>2662</v>
      </c>
      <c r="D697" s="22"/>
      <c r="E697" s="22"/>
    </row>
    <row r="698" spans="1:5" x14ac:dyDescent="0.25">
      <c r="A698">
        <v>8400</v>
      </c>
      <c r="D698" s="22"/>
      <c r="E698" s="22"/>
    </row>
    <row r="699" spans="1:5" x14ac:dyDescent="0.25">
      <c r="A699">
        <v>8878</v>
      </c>
      <c r="D699" s="22"/>
      <c r="E699" s="22"/>
    </row>
    <row r="700" spans="1:5" x14ac:dyDescent="0.25">
      <c r="A700">
        <v>6838</v>
      </c>
      <c r="D700" s="22"/>
      <c r="E700" s="22"/>
    </row>
    <row r="701" spans="1:5" x14ac:dyDescent="0.25">
      <c r="A701">
        <v>3245</v>
      </c>
      <c r="D701" s="22"/>
      <c r="E701" s="22"/>
    </row>
    <row r="702" spans="1:5" x14ac:dyDescent="0.25">
      <c r="A702">
        <v>9038</v>
      </c>
      <c r="D702" s="22"/>
      <c r="E702" s="22"/>
    </row>
    <row r="703" spans="1:5" x14ac:dyDescent="0.25">
      <c r="A703">
        <v>4081</v>
      </c>
      <c r="D703" s="22"/>
      <c r="E703" s="22"/>
    </row>
    <row r="704" spans="1:5" x14ac:dyDescent="0.25">
      <c r="A704">
        <v>5988</v>
      </c>
      <c r="D704" s="22"/>
      <c r="E704" s="22"/>
    </row>
    <row r="705" spans="1:5" x14ac:dyDescent="0.25">
      <c r="A705">
        <v>8639</v>
      </c>
      <c r="D705" s="22"/>
      <c r="E705" s="22"/>
    </row>
    <row r="706" spans="1:5" x14ac:dyDescent="0.25">
      <c r="A706">
        <v>4859</v>
      </c>
      <c r="D706" s="22"/>
      <c r="E706" s="22"/>
    </row>
    <row r="707" spans="1:5" x14ac:dyDescent="0.25">
      <c r="A707">
        <v>3169</v>
      </c>
      <c r="D707" s="22"/>
      <c r="E707" s="22"/>
    </row>
    <row r="708" spans="1:5" x14ac:dyDescent="0.25">
      <c r="A708">
        <v>6766</v>
      </c>
      <c r="D708" s="22"/>
      <c r="E708" s="22"/>
    </row>
    <row r="709" spans="1:5" x14ac:dyDescent="0.25">
      <c r="A709">
        <v>3628</v>
      </c>
      <c r="D709" s="22"/>
      <c r="E709" s="22"/>
    </row>
    <row r="710" spans="1:5" x14ac:dyDescent="0.25">
      <c r="A710">
        <v>3246</v>
      </c>
      <c r="D710" s="22"/>
      <c r="E710" s="22"/>
    </row>
    <row r="711" spans="1:5" x14ac:dyDescent="0.25">
      <c r="A711">
        <v>9255</v>
      </c>
      <c r="D711" s="22"/>
      <c r="E711" s="22"/>
    </row>
    <row r="712" spans="1:5" x14ac:dyDescent="0.25">
      <c r="A712">
        <v>7267</v>
      </c>
      <c r="D712" s="22"/>
      <c r="E712" s="22"/>
    </row>
    <row r="713" spans="1:5" x14ac:dyDescent="0.25">
      <c r="A713">
        <v>3288</v>
      </c>
      <c r="D713" s="22"/>
      <c r="E713" s="22"/>
    </row>
    <row r="714" spans="1:5" x14ac:dyDescent="0.25">
      <c r="A714">
        <v>5105</v>
      </c>
      <c r="D714" s="22"/>
      <c r="E714" s="22"/>
    </row>
    <row r="715" spans="1:5" x14ac:dyDescent="0.25">
      <c r="A715">
        <v>6226</v>
      </c>
      <c r="D715" s="22"/>
      <c r="E715" s="22"/>
    </row>
    <row r="716" spans="1:5" x14ac:dyDescent="0.25">
      <c r="A716">
        <v>5770</v>
      </c>
      <c r="D716" s="22"/>
      <c r="E716" s="22"/>
    </row>
    <row r="717" spans="1:5" x14ac:dyDescent="0.25">
      <c r="A717">
        <v>7797</v>
      </c>
      <c r="D717" s="22"/>
      <c r="E717" s="22"/>
    </row>
    <row r="718" spans="1:5" x14ac:dyDescent="0.25">
      <c r="A718">
        <v>6889</v>
      </c>
      <c r="D718" s="22"/>
      <c r="E718" s="22"/>
    </row>
    <row r="719" spans="1:5" x14ac:dyDescent="0.25">
      <c r="A719">
        <v>9874</v>
      </c>
      <c r="D719" s="22"/>
      <c r="E719" s="22"/>
    </row>
    <row r="720" spans="1:5" x14ac:dyDescent="0.25">
      <c r="A720">
        <v>9693</v>
      </c>
      <c r="D720" s="22"/>
      <c r="E720" s="22"/>
    </row>
    <row r="721" spans="1:5" x14ac:dyDescent="0.25">
      <c r="A721">
        <v>1023</v>
      </c>
      <c r="D721" s="22"/>
      <c r="E721" s="22"/>
    </row>
    <row r="722" spans="1:5" x14ac:dyDescent="0.25">
      <c r="A722">
        <v>8489</v>
      </c>
      <c r="D722" s="22"/>
      <c r="E722" s="22"/>
    </row>
    <row r="723" spans="1:5" x14ac:dyDescent="0.25">
      <c r="A723">
        <v>7832</v>
      </c>
      <c r="D723" s="22"/>
      <c r="E723" s="22"/>
    </row>
    <row r="724" spans="1:5" x14ac:dyDescent="0.25">
      <c r="A724">
        <v>8564</v>
      </c>
      <c r="D724" s="22"/>
      <c r="E724" s="22"/>
    </row>
    <row r="725" spans="1:5" x14ac:dyDescent="0.25">
      <c r="A725">
        <v>9967</v>
      </c>
      <c r="D725" s="22"/>
      <c r="E725" s="22"/>
    </row>
    <row r="726" spans="1:5" x14ac:dyDescent="0.25">
      <c r="A726">
        <v>8806</v>
      </c>
      <c r="D726" s="22"/>
      <c r="E726" s="22"/>
    </row>
    <row r="727" spans="1:5" x14ac:dyDescent="0.25">
      <c r="A727">
        <v>7860</v>
      </c>
      <c r="D727" s="22"/>
      <c r="E727" s="22"/>
    </row>
    <row r="728" spans="1:5" x14ac:dyDescent="0.25">
      <c r="A728">
        <v>4461</v>
      </c>
      <c r="D728" s="22"/>
      <c r="E728" s="22"/>
    </row>
    <row r="729" spans="1:5" x14ac:dyDescent="0.25">
      <c r="A729">
        <v>4976</v>
      </c>
      <c r="D729" s="22"/>
      <c r="E729" s="22"/>
    </row>
    <row r="730" spans="1:5" x14ac:dyDescent="0.25">
      <c r="A730">
        <v>2848</v>
      </c>
      <c r="D730" s="22"/>
      <c r="E730" s="22"/>
    </row>
    <row r="731" spans="1:5" x14ac:dyDescent="0.25">
      <c r="A731">
        <v>9112</v>
      </c>
      <c r="D731" s="22"/>
      <c r="E731" s="22"/>
    </row>
    <row r="732" spans="1:5" x14ac:dyDescent="0.25">
      <c r="A732">
        <v>8590</v>
      </c>
      <c r="D732" s="22"/>
      <c r="E732" s="22"/>
    </row>
    <row r="733" spans="1:5" x14ac:dyDescent="0.25">
      <c r="A733">
        <v>1359</v>
      </c>
      <c r="D733" s="22"/>
      <c r="E733" s="22"/>
    </row>
    <row r="734" spans="1:5" x14ac:dyDescent="0.25">
      <c r="A734">
        <v>6043</v>
      </c>
      <c r="D734" s="22"/>
      <c r="E734" s="22"/>
    </row>
    <row r="735" spans="1:5" x14ac:dyDescent="0.25">
      <c r="A735">
        <v>4474</v>
      </c>
      <c r="D735" s="22"/>
      <c r="E735" s="22"/>
    </row>
    <row r="736" spans="1:5" x14ac:dyDescent="0.25">
      <c r="A736">
        <v>9717</v>
      </c>
      <c r="D736" s="22"/>
      <c r="E736" s="22"/>
    </row>
    <row r="737" spans="1:5" x14ac:dyDescent="0.25">
      <c r="A737">
        <v>1031</v>
      </c>
      <c r="D737" s="22"/>
      <c r="E737" s="22"/>
    </row>
    <row r="738" spans="1:5" x14ac:dyDescent="0.25">
      <c r="A738">
        <v>2301</v>
      </c>
      <c r="D738" s="22"/>
      <c r="E738" s="22"/>
    </row>
    <row r="739" spans="1:5" x14ac:dyDescent="0.25">
      <c r="A739">
        <v>6174</v>
      </c>
      <c r="D739" s="22"/>
      <c r="E739" s="22"/>
    </row>
    <row r="740" spans="1:5" x14ac:dyDescent="0.25">
      <c r="A740">
        <v>9912</v>
      </c>
      <c r="D740" s="22"/>
      <c r="E740" s="22"/>
    </row>
    <row r="741" spans="1:5" x14ac:dyDescent="0.25">
      <c r="A741">
        <v>1482</v>
      </c>
      <c r="D741" s="22"/>
      <c r="E741" s="22"/>
    </row>
    <row r="742" spans="1:5" x14ac:dyDescent="0.25">
      <c r="A742">
        <v>5790</v>
      </c>
      <c r="D742" s="22"/>
      <c r="E742" s="22"/>
    </row>
    <row r="743" spans="1:5" x14ac:dyDescent="0.25">
      <c r="A743">
        <v>3892</v>
      </c>
      <c r="D743" s="22"/>
      <c r="E743" s="22"/>
    </row>
    <row r="744" spans="1:5" x14ac:dyDescent="0.25">
      <c r="A744">
        <v>1309</v>
      </c>
      <c r="D744" s="22"/>
      <c r="E744" s="22"/>
    </row>
    <row r="745" spans="1:5" x14ac:dyDescent="0.25">
      <c r="A745">
        <v>6632</v>
      </c>
      <c r="D745" s="22"/>
      <c r="E745" s="22"/>
    </row>
    <row r="746" spans="1:5" x14ac:dyDescent="0.25">
      <c r="A746">
        <v>2273</v>
      </c>
      <c r="D746" s="22"/>
      <c r="E746" s="22"/>
    </row>
    <row r="747" spans="1:5" x14ac:dyDescent="0.25">
      <c r="A747">
        <v>9684</v>
      </c>
      <c r="D747" s="22"/>
      <c r="E747" s="22"/>
    </row>
    <row r="748" spans="1:5" x14ac:dyDescent="0.25">
      <c r="A748">
        <v>2804</v>
      </c>
      <c r="D748" s="22"/>
      <c r="E748" s="22"/>
    </row>
    <row r="749" spans="1:5" x14ac:dyDescent="0.25">
      <c r="A749">
        <v>3269</v>
      </c>
      <c r="D749" s="22"/>
      <c r="E749" s="22"/>
    </row>
    <row r="750" spans="1:5" x14ac:dyDescent="0.25">
      <c r="A750">
        <v>2006</v>
      </c>
      <c r="D750" s="22"/>
      <c r="E750" s="22"/>
    </row>
    <row r="751" spans="1:5" x14ac:dyDescent="0.25">
      <c r="A751">
        <v>7091</v>
      </c>
      <c r="D751" s="22"/>
      <c r="E751" s="22"/>
    </row>
    <row r="752" spans="1:5" x14ac:dyDescent="0.25">
      <c r="A752">
        <v>6398</v>
      </c>
      <c r="D752" s="22"/>
      <c r="E752" s="22"/>
    </row>
    <row r="753" spans="1:5" x14ac:dyDescent="0.25">
      <c r="A753">
        <v>3988</v>
      </c>
      <c r="D753" s="22"/>
      <c r="E753" s="22"/>
    </row>
    <row r="754" spans="1:5" x14ac:dyDescent="0.25">
      <c r="A754">
        <v>9535</v>
      </c>
      <c r="D754" s="22"/>
      <c r="E754" s="22"/>
    </row>
    <row r="755" spans="1:5" x14ac:dyDescent="0.25">
      <c r="A755">
        <v>6109</v>
      </c>
      <c r="D755" s="22"/>
      <c r="E755" s="22"/>
    </row>
    <row r="756" spans="1:5" x14ac:dyDescent="0.25">
      <c r="A756">
        <v>1171</v>
      </c>
      <c r="D756" s="22"/>
      <c r="E756" s="22"/>
    </row>
    <row r="757" spans="1:5" x14ac:dyDescent="0.25">
      <c r="A757">
        <v>9201</v>
      </c>
      <c r="D757" s="22"/>
      <c r="E757" s="22"/>
    </row>
    <row r="758" spans="1:5" x14ac:dyDescent="0.25">
      <c r="A758">
        <v>5140</v>
      </c>
      <c r="D758" s="22"/>
      <c r="E758" s="22"/>
    </row>
    <row r="759" spans="1:5" x14ac:dyDescent="0.25">
      <c r="A759">
        <v>8266</v>
      </c>
      <c r="D759" s="22"/>
      <c r="E759" s="22"/>
    </row>
    <row r="760" spans="1:5" x14ac:dyDescent="0.25">
      <c r="A760">
        <v>9499</v>
      </c>
      <c r="D760" s="22"/>
      <c r="E760" s="22"/>
    </row>
    <row r="761" spans="1:5" x14ac:dyDescent="0.25">
      <c r="A761">
        <v>3045</v>
      </c>
      <c r="D761" s="22"/>
      <c r="E761" s="22"/>
    </row>
    <row r="762" spans="1:5" x14ac:dyDescent="0.25">
      <c r="A762">
        <v>2573</v>
      </c>
      <c r="D762" s="22"/>
      <c r="E762" s="22"/>
    </row>
    <row r="763" spans="1:5" x14ac:dyDescent="0.25">
      <c r="A763">
        <v>2258</v>
      </c>
      <c r="D763" s="22"/>
      <c r="E763" s="22"/>
    </row>
    <row r="764" spans="1:5" x14ac:dyDescent="0.25">
      <c r="A764">
        <v>4454</v>
      </c>
      <c r="D764" s="22"/>
      <c r="E764" s="22"/>
    </row>
    <row r="765" spans="1:5" x14ac:dyDescent="0.25">
      <c r="A765">
        <v>8079</v>
      </c>
      <c r="D765" s="22"/>
      <c r="E765" s="22"/>
    </row>
    <row r="766" spans="1:5" x14ac:dyDescent="0.25">
      <c r="A766">
        <v>5817</v>
      </c>
      <c r="D766" s="22"/>
      <c r="E766" s="22"/>
    </row>
    <row r="767" spans="1:5" x14ac:dyDescent="0.25">
      <c r="A767">
        <v>1757</v>
      </c>
      <c r="D767" s="22"/>
      <c r="E767" s="22"/>
    </row>
    <row r="768" spans="1:5" x14ac:dyDescent="0.25">
      <c r="A768">
        <v>3702</v>
      </c>
      <c r="D768" s="22"/>
      <c r="E768" s="22"/>
    </row>
    <row r="769" spans="1:5" x14ac:dyDescent="0.25">
      <c r="A769">
        <v>3527</v>
      </c>
      <c r="D769" s="22"/>
      <c r="E769" s="22"/>
    </row>
    <row r="770" spans="1:5" x14ac:dyDescent="0.25">
      <c r="A770">
        <v>5776</v>
      </c>
      <c r="D770" s="22"/>
      <c r="E770" s="22"/>
    </row>
    <row r="771" spans="1:5" x14ac:dyDescent="0.25">
      <c r="A771">
        <v>8270</v>
      </c>
      <c r="D771" s="22"/>
      <c r="E771" s="22"/>
    </row>
    <row r="772" spans="1:5" x14ac:dyDescent="0.25">
      <c r="A772">
        <v>3835</v>
      </c>
      <c r="D772" s="22"/>
      <c r="E772" s="22"/>
    </row>
    <row r="773" spans="1:5" x14ac:dyDescent="0.25">
      <c r="A773">
        <v>7888</v>
      </c>
      <c r="D773" s="22"/>
      <c r="E773" s="22"/>
    </row>
    <row r="774" spans="1:5" x14ac:dyDescent="0.25">
      <c r="A774">
        <v>5860</v>
      </c>
      <c r="D774" s="22"/>
      <c r="E774" s="22"/>
    </row>
    <row r="775" spans="1:5" x14ac:dyDescent="0.25">
      <c r="A775">
        <v>7694</v>
      </c>
      <c r="D775" s="22"/>
      <c r="E775" s="22"/>
    </row>
    <row r="776" spans="1:5" x14ac:dyDescent="0.25">
      <c r="A776">
        <v>9338</v>
      </c>
      <c r="D776" s="22"/>
      <c r="E776" s="22"/>
    </row>
    <row r="777" spans="1:5" x14ac:dyDescent="0.25">
      <c r="A777">
        <v>6485</v>
      </c>
      <c r="D777" s="22"/>
      <c r="E777" s="22"/>
    </row>
    <row r="778" spans="1:5" x14ac:dyDescent="0.25">
      <c r="A778">
        <v>2914</v>
      </c>
      <c r="D778" s="22"/>
      <c r="E778" s="22"/>
    </row>
    <row r="779" spans="1:5" x14ac:dyDescent="0.25">
      <c r="A779">
        <v>3856</v>
      </c>
      <c r="D779" s="22"/>
      <c r="E779" s="22"/>
    </row>
    <row r="780" spans="1:5" x14ac:dyDescent="0.25">
      <c r="A780">
        <v>9514</v>
      </c>
      <c r="D780" s="22"/>
      <c r="E780" s="22"/>
    </row>
    <row r="781" spans="1:5" x14ac:dyDescent="0.25">
      <c r="A781">
        <v>3486</v>
      </c>
      <c r="D781" s="22"/>
      <c r="E781" s="22"/>
    </row>
    <row r="782" spans="1:5" x14ac:dyDescent="0.25">
      <c r="A782">
        <v>7199</v>
      </c>
      <c r="D782" s="22"/>
      <c r="E782" s="22"/>
    </row>
    <row r="783" spans="1:5" x14ac:dyDescent="0.25">
      <c r="A783">
        <v>5941</v>
      </c>
      <c r="D783" s="22"/>
      <c r="E783" s="22"/>
    </row>
    <row r="784" spans="1:5" x14ac:dyDescent="0.25">
      <c r="A784">
        <v>6277</v>
      </c>
      <c r="D784" s="22"/>
      <c r="E784" s="22"/>
    </row>
    <row r="785" spans="1:5" x14ac:dyDescent="0.25">
      <c r="A785">
        <v>6137</v>
      </c>
      <c r="D785" s="22"/>
      <c r="E785" s="22"/>
    </row>
    <row r="786" spans="1:5" x14ac:dyDescent="0.25">
      <c r="A786">
        <v>6517</v>
      </c>
      <c r="D786" s="22"/>
      <c r="E786" s="22"/>
    </row>
    <row r="787" spans="1:5" x14ac:dyDescent="0.25">
      <c r="A787">
        <v>3332</v>
      </c>
      <c r="D787" s="22"/>
      <c r="E787" s="22"/>
    </row>
    <row r="788" spans="1:5" x14ac:dyDescent="0.25">
      <c r="A788">
        <v>1840</v>
      </c>
      <c r="D788" s="22"/>
      <c r="E788" s="22"/>
    </row>
    <row r="789" spans="1:5" x14ac:dyDescent="0.25">
      <c r="A789">
        <v>5052</v>
      </c>
      <c r="D789" s="22"/>
      <c r="E789" s="22"/>
    </row>
    <row r="790" spans="1:5" x14ac:dyDescent="0.25">
      <c r="A790">
        <v>8491</v>
      </c>
      <c r="D790" s="22"/>
      <c r="E790" s="22"/>
    </row>
    <row r="791" spans="1:5" x14ac:dyDescent="0.25">
      <c r="A791">
        <v>3828</v>
      </c>
      <c r="D791" s="22"/>
      <c r="E791" s="22"/>
    </row>
    <row r="792" spans="1:5" x14ac:dyDescent="0.25">
      <c r="A792">
        <v>9854</v>
      </c>
      <c r="D792" s="22"/>
      <c r="E792" s="22"/>
    </row>
    <row r="793" spans="1:5" x14ac:dyDescent="0.25">
      <c r="A793">
        <v>6904</v>
      </c>
      <c r="D793" s="22"/>
      <c r="E793" s="22"/>
    </row>
    <row r="794" spans="1:5" x14ac:dyDescent="0.25">
      <c r="A794">
        <v>7016</v>
      </c>
      <c r="D794" s="22"/>
      <c r="E794" s="22"/>
    </row>
    <row r="795" spans="1:5" x14ac:dyDescent="0.25">
      <c r="A795">
        <v>4114</v>
      </c>
      <c r="D795" s="22"/>
      <c r="E795" s="22"/>
    </row>
    <row r="796" spans="1:5" x14ac:dyDescent="0.25">
      <c r="A796">
        <v>5170</v>
      </c>
      <c r="D796" s="22"/>
      <c r="E796" s="22"/>
    </row>
    <row r="797" spans="1:5" x14ac:dyDescent="0.25">
      <c r="A797">
        <v>5302</v>
      </c>
      <c r="D797" s="22"/>
      <c r="E797" s="22"/>
    </row>
    <row r="798" spans="1:5" x14ac:dyDescent="0.25">
      <c r="A798">
        <v>6454</v>
      </c>
      <c r="D798" s="22"/>
      <c r="E798" s="22"/>
    </row>
    <row r="799" spans="1:5" x14ac:dyDescent="0.25">
      <c r="A799">
        <v>6992</v>
      </c>
      <c r="D799" s="22"/>
      <c r="E799" s="22"/>
    </row>
    <row r="800" spans="1:5" x14ac:dyDescent="0.25">
      <c r="A800">
        <v>9071</v>
      </c>
      <c r="D800" s="22"/>
      <c r="E800" s="22"/>
    </row>
    <row r="801" spans="1:5" x14ac:dyDescent="0.25">
      <c r="A801">
        <v>2485</v>
      </c>
      <c r="D801" s="22"/>
      <c r="E801" s="22"/>
    </row>
    <row r="802" spans="1:5" x14ac:dyDescent="0.25">
      <c r="A802">
        <v>5411</v>
      </c>
      <c r="D802" s="22"/>
      <c r="E802" s="22"/>
    </row>
    <row r="803" spans="1:5" x14ac:dyDescent="0.25">
      <c r="A803">
        <v>2921</v>
      </c>
      <c r="D803" s="22"/>
      <c r="E803" s="22"/>
    </row>
    <row r="804" spans="1:5" x14ac:dyDescent="0.25">
      <c r="A804">
        <v>4126</v>
      </c>
      <c r="D804" s="22"/>
      <c r="E804" s="22"/>
    </row>
    <row r="805" spans="1:5" x14ac:dyDescent="0.25">
      <c r="A805">
        <v>7480</v>
      </c>
      <c r="D805" s="22"/>
      <c r="E805" s="22"/>
    </row>
    <row r="806" spans="1:5" x14ac:dyDescent="0.25">
      <c r="A806">
        <v>7873</v>
      </c>
      <c r="D806" s="22"/>
      <c r="E806" s="22"/>
    </row>
    <row r="807" spans="1:5" x14ac:dyDescent="0.25">
      <c r="A807">
        <v>7788</v>
      </c>
      <c r="D807" s="22"/>
      <c r="E807" s="22"/>
    </row>
    <row r="808" spans="1:5" x14ac:dyDescent="0.25">
      <c r="A808">
        <v>7448</v>
      </c>
      <c r="D808" s="22"/>
      <c r="E808" s="22"/>
    </row>
    <row r="809" spans="1:5" x14ac:dyDescent="0.25">
      <c r="A809">
        <v>6983</v>
      </c>
      <c r="D809" s="22"/>
      <c r="E809" s="22"/>
    </row>
    <row r="810" spans="1:5" x14ac:dyDescent="0.25">
      <c r="A810">
        <v>1952</v>
      </c>
      <c r="D810" s="22"/>
      <c r="E810" s="22"/>
    </row>
    <row r="811" spans="1:5" x14ac:dyDescent="0.25">
      <c r="A811">
        <v>3775</v>
      </c>
      <c r="D811" s="22"/>
      <c r="E811" s="22"/>
    </row>
    <row r="812" spans="1:5" x14ac:dyDescent="0.25">
      <c r="A812">
        <v>9630</v>
      </c>
      <c r="D812" s="22"/>
      <c r="E812" s="22"/>
    </row>
    <row r="813" spans="1:5" x14ac:dyDescent="0.25">
      <c r="A813">
        <v>7743</v>
      </c>
      <c r="D813" s="22"/>
      <c r="E813" s="22"/>
    </row>
    <row r="814" spans="1:5" x14ac:dyDescent="0.25">
      <c r="A814">
        <v>9257</v>
      </c>
      <c r="D814" s="22"/>
      <c r="E814" s="22"/>
    </row>
    <row r="815" spans="1:5" x14ac:dyDescent="0.25">
      <c r="A815">
        <v>3044</v>
      </c>
      <c r="D815" s="22"/>
      <c r="E815" s="22"/>
    </row>
    <row r="816" spans="1:5" x14ac:dyDescent="0.25">
      <c r="A816">
        <v>7042</v>
      </c>
      <c r="D816" s="22"/>
      <c r="E816" s="22"/>
    </row>
    <row r="817" spans="1:5" x14ac:dyDescent="0.25">
      <c r="A817">
        <v>5283</v>
      </c>
      <c r="D817" s="22"/>
      <c r="E817" s="22"/>
    </row>
    <row r="818" spans="1:5" x14ac:dyDescent="0.25">
      <c r="A818">
        <v>5345</v>
      </c>
      <c r="D818" s="22"/>
      <c r="E818" s="22"/>
    </row>
    <row r="819" spans="1:5" x14ac:dyDescent="0.25">
      <c r="A819">
        <v>8036</v>
      </c>
      <c r="D819" s="22"/>
      <c r="E819" s="22"/>
    </row>
    <row r="820" spans="1:5" x14ac:dyDescent="0.25">
      <c r="A820">
        <v>2467</v>
      </c>
      <c r="D820" s="22"/>
      <c r="E820" s="22"/>
    </row>
    <row r="821" spans="1:5" x14ac:dyDescent="0.25">
      <c r="A821">
        <v>4286</v>
      </c>
      <c r="D821" s="22"/>
      <c r="E821" s="22"/>
    </row>
    <row r="822" spans="1:5" x14ac:dyDescent="0.25">
      <c r="A822">
        <v>9128</v>
      </c>
      <c r="D822" s="22"/>
      <c r="E822" s="22"/>
    </row>
    <row r="823" spans="1:5" x14ac:dyDescent="0.25">
      <c r="A823">
        <v>9780</v>
      </c>
      <c r="D823" s="22"/>
      <c r="E823" s="22"/>
    </row>
    <row r="824" spans="1:5" x14ac:dyDescent="0.25">
      <c r="A824">
        <v>9203</v>
      </c>
      <c r="D824" s="22"/>
      <c r="E824" s="22"/>
    </row>
    <row r="825" spans="1:5" x14ac:dyDescent="0.25">
      <c r="A825">
        <v>4086</v>
      </c>
      <c r="D825" s="22"/>
      <c r="E825" s="22"/>
    </row>
    <row r="826" spans="1:5" x14ac:dyDescent="0.25">
      <c r="A826">
        <v>4186</v>
      </c>
      <c r="D826" s="22"/>
      <c r="E826" s="22"/>
    </row>
    <row r="827" spans="1:5" x14ac:dyDescent="0.25">
      <c r="A827">
        <v>7742</v>
      </c>
      <c r="D827" s="22"/>
      <c r="E827" s="22"/>
    </row>
    <row r="828" spans="1:5" x14ac:dyDescent="0.25">
      <c r="A828">
        <v>7657</v>
      </c>
      <c r="D828" s="22"/>
      <c r="E828" s="22"/>
    </row>
    <row r="829" spans="1:5" x14ac:dyDescent="0.25">
      <c r="A829">
        <v>7732</v>
      </c>
      <c r="D829" s="22"/>
      <c r="E829" s="22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UI</vt:lpstr>
      <vt:lpstr>EvalDB</vt:lpstr>
      <vt:lpstr>Sheet4</vt:lpstr>
      <vt:lpstr>Dashboard</vt:lpstr>
      <vt:lpstr>EmpDB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Mousa Al-Faify</dc:creator>
  <cp:lastModifiedBy>pc7</cp:lastModifiedBy>
  <dcterms:created xsi:type="dcterms:W3CDTF">2021-05-15T22:50:42Z</dcterms:created>
  <dcterms:modified xsi:type="dcterms:W3CDTF">2022-03-03T07:53:08Z</dcterms:modified>
</cp:coreProperties>
</file>