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filterPrivacy="1" codeName="ThisWorkbook"/>
  <bookViews>
    <workbookView xWindow="5430" yWindow="3390" windowWidth="17280" windowHeight="8970"/>
  </bookViews>
  <sheets>
    <sheet name="Sheet1" sheetId="2" r:id="rId1"/>
    <sheet name="Sheet2" sheetId="3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0" i="2" l="1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7" i="3" l="1"/>
  <c r="R5" i="3"/>
  <c r="X3" i="3"/>
  <c r="V5" i="3" s="1"/>
  <c r="G8" i="3"/>
  <c r="H8" i="3"/>
  <c r="I8" i="3"/>
  <c r="J8" i="3"/>
  <c r="K8" i="3"/>
  <c r="L8" i="3"/>
  <c r="M8" i="3"/>
  <c r="N8" i="3"/>
  <c r="O8" i="3"/>
  <c r="P8" i="3"/>
  <c r="Q8" i="3"/>
  <c r="F8" i="3"/>
  <c r="U3" i="3"/>
  <c r="S5" i="3"/>
  <c r="S6" i="3"/>
  <c r="R9" i="2"/>
  <c r="S9" i="2"/>
  <c r="R7" i="3" l="1"/>
  <c r="Y5" i="3"/>
  <c r="AE5" i="3"/>
  <c r="AC5" i="3"/>
  <c r="AD5" i="3"/>
  <c r="AG5" i="3"/>
  <c r="AF5" i="3"/>
  <c r="W5" i="3"/>
  <c r="AB5" i="3"/>
  <c r="Z5" i="3"/>
  <c r="S8" i="3"/>
  <c r="T2" i="3" s="1"/>
  <c r="U2" i="3" s="1"/>
  <c r="AA5" i="3"/>
  <c r="X5" i="3"/>
  <c r="R6" i="3"/>
  <c r="R8" i="2"/>
  <c r="S8" i="2"/>
  <c r="U4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U3" i="2"/>
  <c r="R7" i="2"/>
  <c r="S7" i="2"/>
  <c r="S6" i="2"/>
  <c r="S5" i="2"/>
  <c r="R5" i="2"/>
  <c r="R6" i="2"/>
  <c r="W7" i="2" l="1"/>
  <c r="X7" i="2"/>
  <c r="AE7" i="2"/>
  <c r="AF7" i="2"/>
  <c r="Y7" i="2"/>
  <c r="AB7" i="2"/>
  <c r="U7" i="2"/>
  <c r="AC7" i="2"/>
  <c r="V7" i="2"/>
  <c r="AD7" i="2"/>
  <c r="Z7" i="2"/>
  <c r="AA7" i="2"/>
  <c r="S100" i="2"/>
  <c r="U2" i="2" s="1"/>
  <c r="V2" i="2" s="1"/>
</calcChain>
</file>

<file path=xl/sharedStrings.xml><?xml version="1.0" encoding="utf-8"?>
<sst xmlns="http://schemas.openxmlformats.org/spreadsheetml/2006/main" count="118" uniqueCount="41">
  <si>
    <t>Emp#</t>
  </si>
  <si>
    <t>Name</t>
  </si>
  <si>
    <t>Department</t>
  </si>
  <si>
    <t>Joining Date</t>
  </si>
  <si>
    <t>Contract</t>
  </si>
  <si>
    <t>ID</t>
  </si>
  <si>
    <t>CV</t>
  </si>
  <si>
    <t>Rec. Approval</t>
  </si>
  <si>
    <t>Interview Sheet</t>
  </si>
  <si>
    <t>Offer</t>
  </si>
  <si>
    <t>Education Cer.</t>
  </si>
  <si>
    <t>Family ID</t>
  </si>
  <si>
    <t>Medical Test</t>
  </si>
  <si>
    <t>Photos</t>
  </si>
  <si>
    <t>Joining</t>
  </si>
  <si>
    <t>IBAN</t>
  </si>
  <si>
    <t>ü</t>
  </si>
  <si>
    <t>New Employees Files Tracker</t>
  </si>
  <si>
    <t>Status</t>
  </si>
  <si>
    <t>Mousa Ahmed</t>
  </si>
  <si>
    <t>HR</t>
  </si>
  <si>
    <t>Finance</t>
  </si>
  <si>
    <t>Compliation Percentage</t>
  </si>
  <si>
    <t>Interview</t>
  </si>
  <si>
    <t>Sales</t>
  </si>
  <si>
    <t>Employees Files Tracker</t>
  </si>
  <si>
    <t>Abdullah</t>
  </si>
  <si>
    <t>Compilation Percentage</t>
  </si>
  <si>
    <t>Nasser</t>
  </si>
  <si>
    <t>المؤهل</t>
  </si>
  <si>
    <t>الميلاد</t>
  </si>
  <si>
    <t>كعب عمل</t>
  </si>
  <si>
    <t>التجنيد</t>
  </si>
  <si>
    <t>التامينات</t>
  </si>
  <si>
    <t>فيش جنائي</t>
  </si>
  <si>
    <t>صور شخصية</t>
  </si>
  <si>
    <t>عقد العمل</t>
  </si>
  <si>
    <t>استمارة 1</t>
  </si>
  <si>
    <t>تقييم الاداء</t>
  </si>
  <si>
    <t>الحالة الاجتماعية</t>
  </si>
  <si>
    <t>استمارة 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</si>
</sst>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0000"/>
  </numFmts>
  <fonts count="15">
    <font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name val="Wingdings"/>
      <charset val="2"/>
    </font>
    <font>
      <sz val="26"/>
      <color theme="0"/>
      <name val="AL-Gemah-Alsomod"/>
      <charset val="178"/>
    </font>
    <font>
      <sz val="11"/>
      <name val="Verdana Pro Light"/>
      <family val="2"/>
    </font>
    <font>
      <sz val="36"/>
      <color theme="0"/>
      <name val="AL-Gemah-Alsomod"/>
      <charset val="178"/>
    </font>
    <font>
      <sz val="11"/>
      <color theme="1"/>
      <name val="Wingdings"/>
      <charset val="2"/>
    </font>
    <font>
      <sz val="11"/>
      <color theme="1"/>
      <name val="Abadi Extra Light"/>
      <family val="2"/>
    </font>
    <font>
      <sz val="8"/>
      <color theme="1"/>
      <name val="Franklin Gothic Book"/>
      <family val="2"/>
      <scheme val="minor"/>
    </font>
    <font>
      <sz val="8"/>
      <name val="Abadi"/>
    </font>
    <font>
      <sz val="11"/>
      <name val="Verdana Pro Light"/>
    </font>
    <font>
      <sz val="11"/>
      <color theme="1"/>
      <name val="Franklin Gothic Book"/>
      <scheme val="minor"/>
    </font>
    <font>
      <sz val="8"/>
      <name val="Franklin Gothic Book"/>
      <scheme val="minor"/>
    </font>
    <font>
      <sz val="11"/>
      <name val="Franklin Gothic Book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double">
        <color theme="0"/>
      </bottom>
      <diagonal/>
    </border>
    <border>
      <left/>
      <right/>
      <top style="thin">
        <color theme="5"/>
      </top>
      <bottom/>
      <diagonal/>
    </border>
    <border>
      <left/>
      <right/>
      <top style="thin">
        <color theme="3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9" fontId="5" fillId="0" borderId="0" xfId="1" applyFont="1" applyAlignment="1">
      <alignment horizontal="center" vertical="center"/>
    </xf>
    <xf numFmtId="9" fontId="5" fillId="0" borderId="0" xfId="1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center" vertical="center"/>
    </xf>
    <xf numFmtId="9" fontId="5" fillId="0" borderId="0" xfId="1" applyFont="1" applyBorder="1" applyAlignment="1">
      <alignment horizontal="center" vertical="center"/>
    </xf>
    <xf numFmtId="9" fontId="1" fillId="0" borderId="0" xfId="0" applyNumberFormat="1" applyFont="1"/>
    <xf numFmtId="9" fontId="1" fillId="0" borderId="0" xfId="1" applyFon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 textRotation="90"/>
    </xf>
    <xf numFmtId="0" fontId="7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 wrapText="1"/>
    </xf>
    <xf numFmtId="9" fontId="8" fillId="0" borderId="0" xfId="1" applyFont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2" borderId="6" xfId="0" applyFill="1" applyBorder="1"/>
    <xf numFmtId="0" fontId="0" fillId="2" borderId="3" xfId="0" applyFill="1" applyBorder="1"/>
    <xf numFmtId="9" fontId="8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0" borderId="4" xfId="0" applyNumberFormat="1" applyFont="1" applyBorder="1" applyAlignment="1">
      <alignment horizontal="center" vertical="center"/>
    </xf>
    <xf numFmtId="9" fontId="11" fillId="0" borderId="0" xfId="1" applyNumberFormat="1" applyFont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3" fillId="0" borderId="4" xfId="0" applyNumberFormat="1" applyFont="1" applyBorder="1" applyAlignment="1">
      <alignment horizontal="center" vertical="center"/>
    </xf>
    <xf numFmtId="0" fontId="12" fillId="0" borderId="4" xfId="0" applyNumberFormat="1" applyFont="1" applyBorder="1" applyAlignment="1">
      <alignment horizontal="left" vertical="center"/>
    </xf>
    <xf numFmtId="9" fontId="14" fillId="0" borderId="4" xfId="0" applyNumberFormat="1" applyFon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5" fontId="0" fillId="4" borderId="8" xfId="0" applyNumberFormat="1" applyFill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14" fontId="0" fillId="4" borderId="7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badi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Franklin Gothic Book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 Extra Light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badi Extra Light"/>
        <scheme val="none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3"/>
        </top>
        <bottom/>
      </border>
    </dxf>
    <dxf>
      <alignment vertical="center" textRotation="0" wrapText="0" indent="0" justifyLastLine="0" shrinkToFit="0" readingOrder="0"/>
    </dxf>
    <dxf>
      <border>
        <top style="thin">
          <color theme="3"/>
        </top>
      </border>
    </dxf>
    <dxf>
      <alignment vertical="center" textRotation="0" wrapText="0" indent="0" justifyLastLine="0" shrinkToFit="0" readingOrder="0"/>
    </dxf>
    <dxf>
      <alignment horizontal="center" vertical="center" wrapText="0" indent="0" justifyLastLine="0" shrinkToFit="0" readingOrder="0"/>
    </dxf>
    <dxf>
      <font>
        <color theme="0"/>
      </font>
      <fill>
        <patternFill>
          <bgColor rgb="FF00CC99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Verdana Pro Ligh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Wingdings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0" justifyLastLine="0" shrinkToFit="0" readingOrder="0"/>
    </dxf>
    <dxf>
      <border>
        <top style="thin">
          <color theme="5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alignment horizontal="general" vertical="center" wrapText="0" indent="0" justifyLastLine="0" shrinkToFit="0" readingOrder="0"/>
    </dxf>
    <dxf>
      <font>
        <color theme="7"/>
      </font>
      <fill>
        <patternFill>
          <bgColor rgb="FF00CC99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lor theme="0"/>
      </font>
      <fill>
        <gradientFill degree="90">
          <stop position="0">
            <color theme="3"/>
          </stop>
          <stop position="1">
            <color theme="3" tint="-0.25098422193060094"/>
          </stop>
        </gradient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>
      <tableStyleElement type="wholeTable" dxfId="82"/>
      <tableStyleElement type="headerRow" dxfId="81"/>
      <tableStyleElement type="secondRowStripe" dxfId="80"/>
    </tableStyle>
  </tableStyles>
  <colors>
    <mruColors>
      <color rgb="FF00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27586206896551"/>
          <c:y val="4.4642857142857144E-2"/>
          <c:w val="0.69195402298850572"/>
          <c:h val="0.8958333333333333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C99"/>
              </a:solidFill>
              <a:ln w="41275" cap="flat" cmpd="sng" algn="ctr">
                <a:solidFill>
                  <a:srgbClr val="00CC99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754-4BBA-B292-4F75D8DEFFD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9525" cap="flat" cmpd="sng" algn="ctr">
                <a:noFill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8754-4BBA-B292-4F75D8DEFFD9}"/>
              </c:ext>
            </c:extLst>
          </c:dPt>
          <c:val>
            <c:numRef>
              <c:f>Sheet1!$U$2:$V$2</c:f>
              <c:numCache>
                <c:formatCode>0%</c:formatCode>
                <c:ptCount val="2"/>
                <c:pt idx="0">
                  <c:v>2.5438596491228073E-2</c:v>
                </c:pt>
                <c:pt idx="1">
                  <c:v>0.97456140350877196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754-4BBA-B292-4F75D8DEF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755747126436782E-2"/>
          <c:y val="0"/>
          <c:w val="0.96048850574712641"/>
          <c:h val="0.760228500849158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Sheet1!$U$6:$AF$6</c:f>
              <c:strCache>
                <c:ptCount val="12"/>
                <c:pt idx="0">
                  <c:v>CV</c:v>
                </c:pt>
                <c:pt idx="1">
                  <c:v>Rec. Approval</c:v>
                </c:pt>
                <c:pt idx="2">
                  <c:v>Interview</c:v>
                </c:pt>
                <c:pt idx="3">
                  <c:v>Offer</c:v>
                </c:pt>
                <c:pt idx="4">
                  <c:v>Education Cer.</c:v>
                </c:pt>
                <c:pt idx="5">
                  <c:v>ID</c:v>
                </c:pt>
                <c:pt idx="6">
                  <c:v>Family ID</c:v>
                </c:pt>
                <c:pt idx="7">
                  <c:v>Medical Test</c:v>
                </c:pt>
                <c:pt idx="8">
                  <c:v>Photos</c:v>
                </c:pt>
                <c:pt idx="9">
                  <c:v>Joining</c:v>
                </c:pt>
                <c:pt idx="10">
                  <c:v>Contract</c:v>
                </c:pt>
                <c:pt idx="11">
                  <c:v>IBAN</c:v>
                </c:pt>
              </c:strCache>
            </c:strRef>
          </c:cat>
          <c:val>
            <c:numRef>
              <c:f>Sheet1!$U$7:$AF$7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656-4E63-A194-D65CBDFDF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axId val="87759104"/>
        <c:axId val="87777280"/>
      </c:barChart>
      <c:catAx>
        <c:axId val="8775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77280"/>
        <c:crosses val="autoZero"/>
        <c:auto val="1"/>
        <c:lblAlgn val="ctr"/>
        <c:lblOffset val="100"/>
        <c:noMultiLvlLbl val="0"/>
      </c:catAx>
      <c:valAx>
        <c:axId val="87777280"/>
        <c:scaling>
          <c:orientation val="minMax"/>
          <c:max val="1"/>
        </c:scaling>
        <c:delete val="1"/>
        <c:axPos val="l"/>
        <c:numFmt formatCode="0%" sourceLinked="1"/>
        <c:majorTickMark val="out"/>
        <c:minorTickMark val="none"/>
        <c:tickLblPos val="nextTo"/>
        <c:crossAx val="8775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85897435897434"/>
          <c:y val="8.6580086580086577E-2"/>
          <c:w val="0.61217948717948723"/>
          <c:h val="0.8268398268398268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CC99"/>
              </a:solidFill>
              <a:ln w="63500">
                <a:solidFill>
                  <a:srgbClr val="00CC99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F9A-4BBF-8234-00F5760D3AE2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A-4BBF-8234-00F5760D3AE2}"/>
              </c:ext>
            </c:extLst>
          </c:dPt>
          <c:val>
            <c:numRef>
              <c:f>Sheet2!$T$2:$U$2</c:f>
              <c:numCache>
                <c:formatCode>0%</c:formatCode>
                <c:ptCount val="2"/>
                <c:pt idx="0">
                  <c:v>0.58333333333333337</c:v>
                </c:pt>
                <c:pt idx="1">
                  <c:v>0.41666666666666663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9A-4BBF-8234-00F5760D3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Sheet2!$V$4:$AG$4</c:f>
              <c:strCache>
                <c:ptCount val="12"/>
                <c:pt idx="0">
                  <c:v>CV</c:v>
                </c:pt>
                <c:pt idx="1">
                  <c:v>Rec. Approval</c:v>
                </c:pt>
                <c:pt idx="2">
                  <c:v>Interview Sheet</c:v>
                </c:pt>
                <c:pt idx="3">
                  <c:v>Offer</c:v>
                </c:pt>
                <c:pt idx="4">
                  <c:v>Education Cer.</c:v>
                </c:pt>
                <c:pt idx="5">
                  <c:v>ID</c:v>
                </c:pt>
                <c:pt idx="6">
                  <c:v>Family ID</c:v>
                </c:pt>
                <c:pt idx="7">
                  <c:v>Medical Test</c:v>
                </c:pt>
                <c:pt idx="8">
                  <c:v>Photos</c:v>
                </c:pt>
                <c:pt idx="9">
                  <c:v>Joining</c:v>
                </c:pt>
                <c:pt idx="10">
                  <c:v>Contract</c:v>
                </c:pt>
                <c:pt idx="11">
                  <c:v>IBAN</c:v>
                </c:pt>
              </c:strCache>
            </c:strRef>
          </c:cat>
          <c:val>
            <c:numRef>
              <c:f>Sheet2!$V$5:$AG$5</c:f>
              <c:numCache>
                <c:formatCode>0%</c:formatCode>
                <c:ptCount val="12"/>
                <c:pt idx="0">
                  <c:v>0.66666666666666663</c:v>
                </c:pt>
                <c:pt idx="1">
                  <c:v>0.33333333333333331</c:v>
                </c:pt>
                <c:pt idx="2">
                  <c:v>1</c:v>
                </c:pt>
                <c:pt idx="3">
                  <c:v>0.33333333333333331</c:v>
                </c:pt>
                <c:pt idx="4">
                  <c:v>0.66666666666666663</c:v>
                </c:pt>
                <c:pt idx="5">
                  <c:v>0.33333333333333331</c:v>
                </c:pt>
                <c:pt idx="6">
                  <c:v>1</c:v>
                </c:pt>
                <c:pt idx="7">
                  <c:v>0.33333333333333331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0.33333333333333331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FFB-401C-95E6-BA988B562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-27"/>
        <c:axId val="88081152"/>
        <c:axId val="88082688"/>
      </c:barChart>
      <c:catAx>
        <c:axId val="8808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82688"/>
        <c:crosses val="autoZero"/>
        <c:auto val="1"/>
        <c:lblAlgn val="ctr"/>
        <c:lblOffset val="100"/>
        <c:noMultiLvlLbl val="0"/>
      </c:catAx>
      <c:valAx>
        <c:axId val="88082688"/>
        <c:scaling>
          <c:orientation val="minMax"/>
          <c:max val="1"/>
        </c:scaling>
        <c:delete val="1"/>
        <c:axPos val="l"/>
        <c:numFmt formatCode="0%" sourceLinked="1"/>
        <c:majorTickMark val="none"/>
        <c:minorTickMark val="none"/>
        <c:tickLblPos val="nextTo"/>
        <c:crossAx val="8808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2</xdr:row>
      <xdr:rowOff>15240</xdr:rowOff>
    </xdr:from>
    <xdr:to>
      <xdr:col>3</xdr:col>
      <xdr:colOff>22860</xdr:colOff>
      <xdr:row>2</xdr:row>
      <xdr:rowOff>868680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EC92DE33-E4E6-4BBB-AA70-24F81B1503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510540</xdr:colOff>
      <xdr:row>2</xdr:row>
      <xdr:rowOff>304800</xdr:rowOff>
    </xdr:from>
    <xdr:to>
      <xdr:col>2</xdr:col>
      <xdr:colOff>1143000</xdr:colOff>
      <xdr:row>2</xdr:row>
      <xdr:rowOff>571500</xdr:rowOff>
    </xdr:to>
    <xdr:sp macro="" textlink="$U$2">
      <xdr:nvSpPr>
        <xdr:cNvPr id="5" name="TextBox 4">
          <a:extLst>
            <a:ext uri="{FF2B5EF4-FFF2-40B4-BE49-F238E27FC236}">
              <a16:creationId xmlns:a16="http://schemas.microsoft.com/office/drawing/2014/main" xmlns="" id="{005A9831-8408-4A3A-AA97-B80CC47BBBB7}"/>
            </a:ext>
          </a:extLst>
        </xdr:cNvPr>
        <xdr:cNvSpPr txBox="1"/>
      </xdr:nvSpPr>
      <xdr:spPr>
        <a:xfrm>
          <a:off x="1394460" y="1089660"/>
          <a:ext cx="6324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DD2DCC-5D8F-421F-9574-8D120A06682B}" type="TxLink">
            <a:rPr lang="en-US" sz="1800" b="1" i="0" u="none" strike="noStrike">
              <a:solidFill>
                <a:schemeClr val="bg1"/>
              </a:solidFill>
              <a:latin typeface="Agency FB" panose="020B0503020202020204" pitchFamily="34" charset="0"/>
            </a:rPr>
            <a:pPr algn="ctr"/>
            <a:t>3%</a:t>
          </a:fld>
          <a:endParaRPr lang="en-US" sz="1800" b="1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30480</xdr:colOff>
      <xdr:row>2</xdr:row>
      <xdr:rowOff>68580</xdr:rowOff>
    </xdr:from>
    <xdr:to>
      <xdr:col>2</xdr:col>
      <xdr:colOff>373380</xdr:colOff>
      <xdr:row>2</xdr:row>
      <xdr:rowOff>807720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72CFE15E-DCC2-490C-9ADF-17FF55CD039C}"/>
            </a:ext>
          </a:extLst>
        </xdr:cNvPr>
        <xdr:cNvSpPr txBox="1"/>
      </xdr:nvSpPr>
      <xdr:spPr>
        <a:xfrm>
          <a:off x="182880" y="853440"/>
          <a:ext cx="1074420" cy="739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</a:rPr>
            <a:t>Percentage of Files Compliation</a:t>
          </a:r>
        </a:p>
      </xdr:txBody>
    </xdr:sp>
    <xdr:clientData/>
  </xdr:twoCellAnchor>
  <xdr:twoCellAnchor>
    <xdr:from>
      <xdr:col>3</xdr:col>
      <xdr:colOff>7620</xdr:colOff>
      <xdr:row>2</xdr:row>
      <xdr:rowOff>7620</xdr:rowOff>
    </xdr:from>
    <xdr:to>
      <xdr:col>3</xdr:col>
      <xdr:colOff>1463040</xdr:colOff>
      <xdr:row>2</xdr:row>
      <xdr:rowOff>678180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BBD5374E-032B-4212-B292-D760764FD9ED}"/>
            </a:ext>
          </a:extLst>
        </xdr:cNvPr>
        <xdr:cNvSpPr txBox="1"/>
      </xdr:nvSpPr>
      <xdr:spPr>
        <a:xfrm>
          <a:off x="2232660" y="792480"/>
          <a:ext cx="1455420" cy="670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>
              <a:solidFill>
                <a:schemeClr val="bg1"/>
              </a:solidFill>
            </a:rPr>
            <a:t>Number of Employees Yet</a:t>
          </a:r>
          <a:r>
            <a:rPr lang="en-US" sz="1050" baseline="0">
              <a:solidFill>
                <a:schemeClr val="bg1"/>
              </a:solidFill>
            </a:rPr>
            <a:t> to Join</a:t>
          </a:r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388620</xdr:colOff>
      <xdr:row>2</xdr:row>
      <xdr:rowOff>411480</xdr:rowOff>
    </xdr:from>
    <xdr:to>
      <xdr:col>3</xdr:col>
      <xdr:colOff>975360</xdr:colOff>
      <xdr:row>2</xdr:row>
      <xdr:rowOff>815340</xdr:rowOff>
    </xdr:to>
    <xdr:sp macro="" textlink="$U$3">
      <xdr:nvSpPr>
        <xdr:cNvPr id="33" name="TextBox 32">
          <a:extLst>
            <a:ext uri="{FF2B5EF4-FFF2-40B4-BE49-F238E27FC236}">
              <a16:creationId xmlns:a16="http://schemas.microsoft.com/office/drawing/2014/main" xmlns="" id="{8531E242-400B-4BDD-8B84-20CA0A8F4539}"/>
            </a:ext>
          </a:extLst>
        </xdr:cNvPr>
        <xdr:cNvSpPr txBox="1"/>
      </xdr:nvSpPr>
      <xdr:spPr>
        <a:xfrm>
          <a:off x="2613660" y="1196340"/>
          <a:ext cx="58674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67CC2DA-E1C1-44AD-8F23-604377E255D1}" type="TxLink">
            <a:rPr lang="en-US" sz="2400" b="0" i="0" u="none" strike="noStrike">
              <a:solidFill>
                <a:srgbClr val="00CC99"/>
              </a:solidFill>
              <a:latin typeface="Impact" panose="020B0806030902050204" pitchFamily="34" charset="0"/>
            </a:rPr>
            <a:pPr algn="ctr"/>
            <a:t>0</a:t>
          </a:fld>
          <a:endParaRPr lang="en-US" sz="2800">
            <a:solidFill>
              <a:srgbClr val="00CC99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4</xdr:col>
      <xdr:colOff>22860</xdr:colOff>
      <xdr:row>2</xdr:row>
      <xdr:rowOff>26670</xdr:rowOff>
    </xdr:from>
    <xdr:to>
      <xdr:col>17</xdr:col>
      <xdr:colOff>1501140</xdr:colOff>
      <xdr:row>2</xdr:row>
      <xdr:rowOff>868680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32419D89-DEF5-49C2-962F-206CAA6D9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167640</xdr:colOff>
      <xdr:row>1</xdr:row>
      <xdr:rowOff>142335</xdr:rowOff>
    </xdr:from>
    <xdr:to>
      <xdr:col>2</xdr:col>
      <xdr:colOff>91440</xdr:colOff>
      <xdr:row>1</xdr:row>
      <xdr:rowOff>626485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BF66CB20-4631-44BC-96BB-CB01B18F5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332835"/>
          <a:ext cx="655320" cy="484150"/>
        </a:xfrm>
        <a:prstGeom prst="rect">
          <a:avLst/>
        </a:prstGeom>
      </xdr:spPr>
    </xdr:pic>
    <xdr:clientData/>
  </xdr:twoCellAnchor>
  <xdr:twoCellAnchor editAs="oneCell">
    <xdr:from>
      <xdr:col>16</xdr:col>
      <xdr:colOff>388620</xdr:colOff>
      <xdr:row>1</xdr:row>
      <xdr:rowOff>134715</xdr:rowOff>
    </xdr:from>
    <xdr:to>
      <xdr:col>17</xdr:col>
      <xdr:colOff>655320</xdr:colOff>
      <xdr:row>1</xdr:row>
      <xdr:rowOff>618865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FC86DAA-F24A-4532-A0F1-33B2C73A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5320" y="325215"/>
          <a:ext cx="655320" cy="484150"/>
        </a:xfrm>
        <a:prstGeom prst="rect">
          <a:avLst/>
        </a:prstGeom>
      </xdr:spPr>
    </xdr:pic>
    <xdr:clientData/>
  </xdr:twoCellAnchor>
  <xdr:twoCellAnchor>
    <xdr:from>
      <xdr:col>2</xdr:col>
      <xdr:colOff>624840</xdr:colOff>
      <xdr:row>2</xdr:row>
      <xdr:rowOff>3810</xdr:rowOff>
    </xdr:from>
    <xdr:to>
      <xdr:col>2</xdr:col>
      <xdr:colOff>1813560</xdr:colOff>
      <xdr:row>3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6C0857CB-F0E6-4250-8D66-B644C2907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83820</xdr:colOff>
      <xdr:row>2</xdr:row>
      <xdr:rowOff>137160</xdr:rowOff>
    </xdr:from>
    <xdr:to>
      <xdr:col>2</xdr:col>
      <xdr:colOff>426720</xdr:colOff>
      <xdr:row>3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560ACAC0-C286-43D8-B7B1-D70B4341213D}"/>
            </a:ext>
          </a:extLst>
        </xdr:cNvPr>
        <xdr:cNvSpPr txBox="1"/>
      </xdr:nvSpPr>
      <xdr:spPr>
        <a:xfrm>
          <a:off x="320040" y="1059180"/>
          <a:ext cx="1074420" cy="739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</a:rPr>
            <a:t>Percentage of Files Compliation</a:t>
          </a:r>
        </a:p>
      </xdr:txBody>
    </xdr:sp>
    <xdr:clientData/>
  </xdr:twoCellAnchor>
  <xdr:twoCellAnchor>
    <xdr:from>
      <xdr:col>2</xdr:col>
      <xdr:colOff>899160</xdr:colOff>
      <xdr:row>2</xdr:row>
      <xdr:rowOff>289560</xdr:rowOff>
    </xdr:from>
    <xdr:to>
      <xdr:col>2</xdr:col>
      <xdr:colOff>1447800</xdr:colOff>
      <xdr:row>2</xdr:row>
      <xdr:rowOff>586740</xdr:rowOff>
    </xdr:to>
    <xdr:sp macro="" textlink="$T$2">
      <xdr:nvSpPr>
        <xdr:cNvPr id="7" name="TextBox 6">
          <a:extLst>
            <a:ext uri="{FF2B5EF4-FFF2-40B4-BE49-F238E27FC236}">
              <a16:creationId xmlns:a16="http://schemas.microsoft.com/office/drawing/2014/main" xmlns="" id="{DDD969E7-212D-4589-BE1A-0F8A6A39C331}"/>
            </a:ext>
          </a:extLst>
        </xdr:cNvPr>
        <xdr:cNvSpPr txBox="1"/>
      </xdr:nvSpPr>
      <xdr:spPr>
        <a:xfrm>
          <a:off x="1866900" y="1211580"/>
          <a:ext cx="54864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529D25-2DBA-45D2-9199-BE8A08C2BAE6}" type="TxLink">
            <a:rPr lang="en-US" sz="1400" b="0" i="0" u="none" strike="noStrike">
              <a:solidFill>
                <a:schemeClr val="bg1"/>
              </a:solidFill>
              <a:latin typeface="Impact" panose="020B0806030902050204" pitchFamily="34" charset="0"/>
            </a:rPr>
            <a:pPr algn="ctr"/>
            <a:t>58%</a:t>
          </a:fld>
          <a:endParaRPr lang="en-US" sz="14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2</xdr:col>
      <xdr:colOff>1851660</xdr:colOff>
      <xdr:row>2</xdr:row>
      <xdr:rowOff>30480</xdr:rowOff>
    </xdr:from>
    <xdr:to>
      <xdr:col>4</xdr:col>
      <xdr:colOff>0</xdr:colOff>
      <xdr:row>2</xdr:row>
      <xdr:rowOff>701040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315E66CF-8188-4A8A-849E-88A877C96B89}"/>
            </a:ext>
          </a:extLst>
        </xdr:cNvPr>
        <xdr:cNvSpPr txBox="1"/>
      </xdr:nvSpPr>
      <xdr:spPr>
        <a:xfrm>
          <a:off x="2819400" y="952500"/>
          <a:ext cx="1508760" cy="670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>
              <a:solidFill>
                <a:schemeClr val="bg1"/>
              </a:solidFill>
            </a:rPr>
            <a:t>Number of Employees Yet</a:t>
          </a:r>
          <a:r>
            <a:rPr lang="en-US" sz="1050" baseline="0">
              <a:solidFill>
                <a:schemeClr val="bg1"/>
              </a:solidFill>
            </a:rPr>
            <a:t> to Join</a:t>
          </a:r>
          <a:endParaRPr lang="en-US" sz="105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83820</xdr:colOff>
      <xdr:row>2</xdr:row>
      <xdr:rowOff>434340</xdr:rowOff>
    </xdr:from>
    <xdr:to>
      <xdr:col>3</xdr:col>
      <xdr:colOff>1310640</xdr:colOff>
      <xdr:row>2</xdr:row>
      <xdr:rowOff>777240</xdr:rowOff>
    </xdr:to>
    <xdr:sp macro="" textlink="$U$3">
      <xdr:nvSpPr>
        <xdr:cNvPr id="9" name="TextBox 8">
          <a:extLst>
            <a:ext uri="{FF2B5EF4-FFF2-40B4-BE49-F238E27FC236}">
              <a16:creationId xmlns:a16="http://schemas.microsoft.com/office/drawing/2014/main" xmlns="" id="{AD47345B-6178-4632-A98C-6D2B2F15374C}"/>
            </a:ext>
          </a:extLst>
        </xdr:cNvPr>
        <xdr:cNvSpPr txBox="1"/>
      </xdr:nvSpPr>
      <xdr:spPr>
        <a:xfrm>
          <a:off x="2773680" y="1257300"/>
          <a:ext cx="122682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7E7C847-8A96-49BB-A013-B3478FB94BB7}" type="TxLink">
            <a:rPr lang="en-US" sz="2000" b="0" i="0" u="none" strike="noStrike">
              <a:solidFill>
                <a:srgbClr val="00CC99"/>
              </a:solidFill>
              <a:latin typeface="Impact" panose="020B0806030902050204" pitchFamily="34" charset="0"/>
            </a:rPr>
            <a:pPr algn="ctr"/>
            <a:t>0</a:t>
          </a:fld>
          <a:endParaRPr lang="en-US" sz="2000">
            <a:solidFill>
              <a:srgbClr val="00CC99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4</xdr:col>
      <xdr:colOff>30480</xdr:colOff>
      <xdr:row>2</xdr:row>
      <xdr:rowOff>19050</xdr:rowOff>
    </xdr:from>
    <xdr:to>
      <xdr:col>17</xdr:col>
      <xdr:colOff>1394460</xdr:colOff>
      <xdr:row>2</xdr:row>
      <xdr:rowOff>853440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8036EFD7-BA20-462C-8C74-972D121E1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B4:S100" totalsRowCount="1" headerRowDxfId="78" totalsRowDxfId="77" totalsRowBorderDxfId="76">
  <autoFilter ref="B4:S99"/>
  <tableColumns count="18">
    <tableColumn id="1" name="Emp#" dataDxfId="75" totalsRowDxfId="17"/>
    <tableColumn id="2" name="Name" dataDxfId="74" totalsRowDxfId="16"/>
    <tableColumn id="3" name="Department" dataDxfId="73" totalsRowDxfId="15"/>
    <tableColumn id="4" name="Joining Date" dataDxfId="72" totalsRowDxfId="14"/>
    <tableColumn id="5" name="المؤهل" totalsRowFunction="count" dataDxfId="71" totalsRowDxfId="13"/>
    <tableColumn id="6" name="الميلاد" totalsRowFunction="count" dataDxfId="70" totalsRowDxfId="12"/>
    <tableColumn id="7" name="كعب عمل" totalsRowFunction="count" dataDxfId="69" totalsRowDxfId="11"/>
    <tableColumn id="8" name="التجنيد" totalsRowFunction="count" dataDxfId="68" totalsRowDxfId="10"/>
    <tableColumn id="9" name="التامينات" totalsRowFunction="count" dataDxfId="67" totalsRowDxfId="9"/>
    <tableColumn id="10" name="فيش جنائي" totalsRowFunction="count" dataDxfId="66" totalsRowDxfId="8"/>
    <tableColumn id="11" name="صور شخصية" totalsRowFunction="count" dataDxfId="65" totalsRowDxfId="7"/>
    <tableColumn id="12" name="عقد العمل" totalsRowFunction="count" dataDxfId="64" totalsRowDxfId="6"/>
    <tableColumn id="13" name="استمارة 1" totalsRowFunction="count" dataDxfId="63" totalsRowDxfId="5"/>
    <tableColumn id="14" name="تقييم الاداء" totalsRowFunction="count" dataDxfId="62" totalsRowDxfId="4"/>
    <tableColumn id="15" name="الحالة الاجتماعية" totalsRowFunction="count" dataDxfId="61" totalsRowDxfId="3"/>
    <tableColumn id="16" name="استمارة 111" totalsRowFunction="count" dataDxfId="60" totalsRowDxfId="2"/>
    <tableColumn id="18" name="Status" dataDxfId="59" totalsRowDxfId="1">
      <calculatedColumnFormula>IF(COUNTA(Table2[[#This Row],[المؤهل]:[استمارة 111]])=12,"File is Completed","Uncompleted")</calculatedColumnFormula>
    </tableColumn>
    <tableColumn id="19" name="Compliation Percentage" totalsRowFunction="average" dataDxfId="58" totalsRowDxfId="0" dataCellStyle="Percent">
      <calculatedColumnFormula>COUNTA(Table2[[#This Row],[المؤهل]:[استمارة 111]])/12</calculatedColumnFormula>
    </tableColumn>
  </tableColumns>
  <tableStyleInfo name="Business Table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4:S8" totalsRowCount="1" headerRowDxfId="56" dataDxfId="55" totalsRowBorderDxfId="54">
  <autoFilter ref="B4:S7"/>
  <tableColumns count="18">
    <tableColumn id="1" name="Emp#" dataDxfId="53" totalsRowDxfId="52"/>
    <tableColumn id="2" name="Name" dataDxfId="51" totalsRowDxfId="50"/>
    <tableColumn id="3" name="Department" dataDxfId="49" totalsRowDxfId="48"/>
    <tableColumn id="4" name="Joining Date" dataDxfId="47" totalsRowDxfId="46"/>
    <tableColumn id="5" name="CV" totalsRowFunction="count" dataDxfId="45" totalsRowDxfId="44"/>
    <tableColumn id="6" name="Rec. Approval" totalsRowFunction="count" dataDxfId="43" totalsRowDxfId="42"/>
    <tableColumn id="7" name="Interview Sheet" totalsRowFunction="count" dataDxfId="41" totalsRowDxfId="40"/>
    <tableColumn id="8" name="Offer" totalsRowFunction="count" dataDxfId="39" totalsRowDxfId="38"/>
    <tableColumn id="9" name="Education Cer." totalsRowFunction="count" dataDxfId="37" totalsRowDxfId="36"/>
    <tableColumn id="10" name="ID" totalsRowFunction="count" dataDxfId="35" totalsRowDxfId="34"/>
    <tableColumn id="11" name="Family ID" totalsRowFunction="count" dataDxfId="33" totalsRowDxfId="32"/>
    <tableColumn id="12" name="Medical Test" totalsRowFunction="count" dataDxfId="31" totalsRowDxfId="30"/>
    <tableColumn id="13" name="Photos" totalsRowFunction="count" dataDxfId="29" totalsRowDxfId="28"/>
    <tableColumn id="14" name="Joining" totalsRowFunction="count" dataDxfId="27" totalsRowDxfId="26"/>
    <tableColumn id="15" name="Contract" totalsRowFunction="count" dataDxfId="25" totalsRowDxfId="24"/>
    <tableColumn id="16" name="IBAN" totalsRowFunction="count" dataDxfId="23" totalsRowDxfId="22"/>
    <tableColumn id="17" name="Status" dataDxfId="21" totalsRowDxfId="20">
      <calculatedColumnFormula>IF(COUNTA(F5:Q7)=12,"File is Completed","Uncompleted")</calculatedColumnFormula>
    </tableColumn>
    <tableColumn id="18" name="Compilation Percentage" totalsRowFunction="average" dataDxfId="19" totalsRowDxfId="18" dataCellStyle="Percent">
      <calculatedColumnFormula>COUNTA(F5:Q5)/12</calculatedColumnFormula>
    </tableColumn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Business Templates Theme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F100"/>
  <sheetViews>
    <sheetView showGridLines="0" tabSelected="1" workbookViewId="0">
      <pane ySplit="4" topLeftCell="A5" activePane="bottomLeft" state="frozen"/>
      <selection pane="bottomLeft" activeCell="D89" sqref="D89"/>
    </sheetView>
  </sheetViews>
  <sheetFormatPr defaultRowHeight="21.6" customHeight="1"/>
  <cols>
    <col min="1" max="1" width="1.77734375" customWidth="1"/>
    <col min="3" max="3" width="16" bestFit="1" customWidth="1"/>
    <col min="4" max="4" width="18" customWidth="1"/>
    <col min="5" max="5" width="14.33203125" customWidth="1"/>
    <col min="6" max="17" width="4.33203125" customWidth="1"/>
    <col min="18" max="18" width="18.33203125" customWidth="1"/>
    <col min="19" max="19" width="8.77734375" hidden="1" customWidth="1"/>
    <col min="20" max="20" width="5.21875" style="2" customWidth="1"/>
    <col min="21" max="32" width="8.77734375" style="2"/>
  </cols>
  <sheetData>
    <row r="1" spans="2:32" ht="4.9000000000000004" customHeight="1"/>
    <row r="2" spans="2:32" ht="57" customHeight="1">
      <c r="B2" s="40" t="s">
        <v>17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U2" s="14">
        <f>Table2[[#Totals],[Compliation Percentage]]</f>
        <v>2.5438596491228073E-2</v>
      </c>
      <c r="V2" s="14">
        <f>1-U2</f>
        <v>0.97456140350877196</v>
      </c>
    </row>
    <row r="3" spans="2:32" ht="69" customHeight="1" thickBot="1">
      <c r="B3" s="6"/>
      <c r="C3" s="6"/>
      <c r="D3" s="10"/>
      <c r="E3" s="10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U3" s="2">
        <f ca="1">COUNTIF(Table2[Joining Date],"&gt;"&amp;TODAY())</f>
        <v>0</v>
      </c>
    </row>
    <row r="4" spans="2:32" ht="67.5" thickTop="1">
      <c r="B4" s="16" t="s">
        <v>0</v>
      </c>
      <c r="C4" s="16" t="s">
        <v>1</v>
      </c>
      <c r="D4" s="16" t="s">
        <v>2</v>
      </c>
      <c r="E4" s="16" t="s">
        <v>3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  <c r="K4" s="17" t="s">
        <v>34</v>
      </c>
      <c r="L4" s="17" t="s">
        <v>35</v>
      </c>
      <c r="M4" s="17" t="s">
        <v>36</v>
      </c>
      <c r="N4" s="17" t="s">
        <v>37</v>
      </c>
      <c r="O4" s="17" t="s">
        <v>38</v>
      </c>
      <c r="P4" s="17" t="s">
        <v>39</v>
      </c>
      <c r="Q4" s="17" t="s">
        <v>40</v>
      </c>
      <c r="R4" s="16" t="s">
        <v>18</v>
      </c>
      <c r="S4" s="1" t="s">
        <v>22</v>
      </c>
      <c r="U4" s="2">
        <f>COUNTA(Table2[Name])</f>
        <v>0</v>
      </c>
    </row>
    <row r="5" spans="2:32" ht="21.6" customHeight="1">
      <c r="B5" s="33">
        <v>99</v>
      </c>
      <c r="C5" s="36"/>
      <c r="D5" s="5"/>
      <c r="E5" s="38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 t="s">
        <v>16</v>
      </c>
      <c r="R5" s="4" t="str">
        <f>IF(COUNTA(Table2[[#This Row],[المؤهل]:[استمارة 111]])=12,"File is Completed","Uncompleted")</f>
        <v>Uncompleted</v>
      </c>
      <c r="S5" s="8">
        <f>COUNTA(Table2[[#This Row],[المؤهل]:[استمارة 111]])/12</f>
        <v>8.3333333333333329E-2</v>
      </c>
    </row>
    <row r="6" spans="2:32" ht="21.6" customHeight="1">
      <c r="B6" s="34">
        <v>100</v>
      </c>
      <c r="C6" s="37"/>
      <c r="D6" s="11"/>
      <c r="E6" s="39"/>
      <c r="F6" s="3" t="s">
        <v>16</v>
      </c>
      <c r="G6" s="3" t="s">
        <v>16</v>
      </c>
      <c r="H6" s="3" t="s">
        <v>16</v>
      </c>
      <c r="I6" s="3" t="s">
        <v>16</v>
      </c>
      <c r="J6" s="3" t="s">
        <v>16</v>
      </c>
      <c r="K6" s="3" t="s">
        <v>16</v>
      </c>
      <c r="L6" s="3" t="s">
        <v>16</v>
      </c>
      <c r="M6" s="3"/>
      <c r="N6" s="3" t="s">
        <v>16</v>
      </c>
      <c r="O6" s="3"/>
      <c r="P6" s="3"/>
      <c r="Q6" s="3"/>
      <c r="R6" s="11" t="str">
        <f>IF(COUNTA(Table2[[#This Row],[المؤهل]:[استمارة 111]])=12,"File is Completed","Uncompleted")</f>
        <v>Uncompleted</v>
      </c>
      <c r="S6" s="13">
        <f>COUNTA(Table2[[#This Row],[المؤهل]:[استمارة 111]])/12</f>
        <v>0.66666666666666663</v>
      </c>
      <c r="U6" s="2" t="s">
        <v>6</v>
      </c>
      <c r="V6" s="2" t="s">
        <v>7</v>
      </c>
      <c r="W6" s="2" t="s">
        <v>23</v>
      </c>
      <c r="X6" s="2" t="s">
        <v>9</v>
      </c>
      <c r="Y6" s="2" t="s">
        <v>10</v>
      </c>
      <c r="Z6" s="2" t="s">
        <v>5</v>
      </c>
      <c r="AA6" s="2" t="s">
        <v>11</v>
      </c>
      <c r="AB6" s="2" t="s">
        <v>12</v>
      </c>
      <c r="AC6" s="2" t="s">
        <v>13</v>
      </c>
      <c r="AD6" s="2" t="s">
        <v>14</v>
      </c>
      <c r="AE6" s="2" t="s">
        <v>4</v>
      </c>
      <c r="AF6" s="2" t="s">
        <v>15</v>
      </c>
    </row>
    <row r="7" spans="2:32" ht="21.6" customHeight="1">
      <c r="B7" s="35">
        <v>101</v>
      </c>
      <c r="C7" s="36"/>
      <c r="D7" s="5"/>
      <c r="E7" s="39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7" t="str">
        <f>IF(COUNTA(Table2[[#This Row],[المؤهل]:[استمارة 111]])=12,"File is Completed","Uncompleted")</f>
        <v>Uncompleted</v>
      </c>
      <c r="S7" s="9">
        <f>COUNTA(Table2[[#This Row],[المؤهل]:[استمارة 111]])/12</f>
        <v>0</v>
      </c>
      <c r="U7" s="15" t="e">
        <f>Table2[[#Totals],[المؤهل]]/$U$4</f>
        <v>#DIV/0!</v>
      </c>
      <c r="V7" s="15" t="e">
        <f>Table2[[#Totals],[الميلاد]]/$U$4</f>
        <v>#DIV/0!</v>
      </c>
      <c r="W7" s="15" t="e">
        <f>Table2[[#Totals],[كعب عمل]]/$U$4</f>
        <v>#DIV/0!</v>
      </c>
      <c r="X7" s="15" t="e">
        <f>Table2[[#Totals],[التجنيد]]/$U$4</f>
        <v>#DIV/0!</v>
      </c>
      <c r="Y7" s="15" t="e">
        <f>Table2[[#Totals],[التامينات]]/$U$4</f>
        <v>#DIV/0!</v>
      </c>
      <c r="Z7" s="15" t="e">
        <f>Table2[[#Totals],[فيش جنائي]]/$U$4</f>
        <v>#DIV/0!</v>
      </c>
      <c r="AA7" s="15" t="e">
        <f>Table2[[#Totals],[صور شخصية]]/$U$4</f>
        <v>#DIV/0!</v>
      </c>
      <c r="AB7" s="15" t="e">
        <f>Table2[[#Totals],[عقد العمل]]/$U$4</f>
        <v>#DIV/0!</v>
      </c>
      <c r="AC7" s="15" t="e">
        <f>Table2[[#Totals],[استمارة 1]]/$U$4</f>
        <v>#DIV/0!</v>
      </c>
      <c r="AD7" s="15" t="e">
        <f>Table2[[#Totals],[تقييم الاداء]]/$U$4</f>
        <v>#DIV/0!</v>
      </c>
      <c r="AE7" s="15" t="e">
        <f>Table2[[#Totals],[الحالة الاجتماعية]]/$U$4</f>
        <v>#DIV/0!</v>
      </c>
      <c r="AF7" s="15" t="e">
        <f>Table2[[#Totals],[استمارة 111]]/$U$4</f>
        <v>#DIV/0!</v>
      </c>
    </row>
    <row r="8" spans="2:32" ht="21.6" customHeight="1">
      <c r="B8" s="34">
        <v>102</v>
      </c>
      <c r="C8" s="36"/>
      <c r="D8" s="5"/>
      <c r="E8" s="39"/>
      <c r="F8" s="3"/>
      <c r="G8" s="3"/>
      <c r="H8" s="3"/>
      <c r="I8" s="3"/>
      <c r="J8" s="3"/>
      <c r="K8" s="12"/>
      <c r="L8" s="3"/>
      <c r="M8" s="3"/>
      <c r="N8" s="3"/>
      <c r="O8" s="3"/>
      <c r="P8" s="3"/>
      <c r="Q8" s="3"/>
      <c r="R8" s="7" t="str">
        <f>IF(COUNTA(Table2[[#This Row],[المؤهل]:[استمارة 111]])=12,"File is Completed","Uncompleted")</f>
        <v>Uncompleted</v>
      </c>
      <c r="S8" s="9">
        <f>COUNTA(Table2[[#This Row],[المؤهل]:[استمارة 111]])/12</f>
        <v>0</v>
      </c>
    </row>
    <row r="9" spans="2:32" ht="21.6" customHeight="1">
      <c r="B9" s="34">
        <v>103</v>
      </c>
      <c r="C9" s="36"/>
      <c r="D9" s="5"/>
      <c r="E9" s="38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7" t="str">
        <f>IF(COUNTA(Table2[[#This Row],[المؤهل]:[استمارة 111]])=12,"File is Completed","Uncompleted")</f>
        <v>Uncompleted</v>
      </c>
      <c r="S9" s="9">
        <f>COUNTA(Table2[[#This Row],[المؤهل]:[استمارة 111]])/12</f>
        <v>0</v>
      </c>
    </row>
    <row r="10" spans="2:32" ht="21.6" customHeight="1">
      <c r="B10" s="35">
        <v>104</v>
      </c>
      <c r="C10" s="36"/>
      <c r="D10" s="5"/>
      <c r="E10" s="38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7" t="str">
        <f>IF(COUNTA(Table2[[#This Row],[المؤهل]:[استمارة 111]])=12,"File is Completed","Uncompleted")</f>
        <v>Uncompleted</v>
      </c>
      <c r="S10" s="28">
        <f>COUNTA(Table2[[#This Row],[المؤهل]:[استمارة 111]])/12</f>
        <v>0</v>
      </c>
    </row>
    <row r="11" spans="2:32" ht="21.6" customHeight="1">
      <c r="B11" s="34">
        <v>105</v>
      </c>
      <c r="C11" s="36"/>
      <c r="D11" s="5"/>
      <c r="E11" s="38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7" t="str">
        <f>IF(COUNTA(Table2[[#This Row],[المؤهل]:[استمارة 111]])=12,"File is Completed","Uncompleted")</f>
        <v>Uncompleted</v>
      </c>
      <c r="S11" s="28">
        <f>COUNTA(Table2[[#This Row],[المؤهل]:[استمارة 111]])/12</f>
        <v>0</v>
      </c>
    </row>
    <row r="12" spans="2:32" ht="21.6" customHeight="1">
      <c r="B12" s="34">
        <v>106</v>
      </c>
      <c r="C12" s="36"/>
      <c r="D12" s="5"/>
      <c r="E12" s="38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7" t="str">
        <f>IF(COUNTA(Table2[[#This Row],[المؤهل]:[استمارة 111]])=12,"File is Completed","Uncompleted")</f>
        <v>Uncompleted</v>
      </c>
      <c r="S12" s="28">
        <f>COUNTA(Table2[[#This Row],[المؤهل]:[استمارة 111]])/12</f>
        <v>0</v>
      </c>
    </row>
    <row r="13" spans="2:32" ht="21.6" customHeight="1">
      <c r="B13" s="35">
        <v>107</v>
      </c>
      <c r="C13" s="36"/>
      <c r="D13" s="5"/>
      <c r="E13" s="38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7" t="str">
        <f>IF(COUNTA(Table2[[#This Row],[المؤهل]:[استمارة 111]])=12,"File is Completed","Uncompleted")</f>
        <v>Uncompleted</v>
      </c>
      <c r="S13" s="28">
        <f>COUNTA(Table2[[#This Row],[المؤهل]:[استمارة 111]])/12</f>
        <v>0</v>
      </c>
    </row>
    <row r="14" spans="2:32" ht="21.6" customHeight="1">
      <c r="B14" s="34">
        <v>108</v>
      </c>
      <c r="C14" s="36"/>
      <c r="D14" s="5"/>
      <c r="E14" s="38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7" t="str">
        <f>IF(COUNTA(Table2[[#This Row],[المؤهل]:[استمارة 111]])=12,"File is Completed","Uncompleted")</f>
        <v>Uncompleted</v>
      </c>
      <c r="S14" s="28">
        <f>COUNTA(Table2[[#This Row],[المؤهل]:[استمارة 111]])/12</f>
        <v>0</v>
      </c>
    </row>
    <row r="15" spans="2:32" ht="21.6" customHeight="1">
      <c r="B15" s="34">
        <v>109</v>
      </c>
      <c r="C15" s="36"/>
      <c r="D15" s="5"/>
      <c r="E15" s="39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7" t="str">
        <f>IF(COUNTA(Table2[[#This Row],[المؤهل]:[استمارة 111]])=12,"File is Completed","Uncompleted")</f>
        <v>Uncompleted</v>
      </c>
      <c r="S15" s="28">
        <f>COUNTA(Table2[[#This Row],[المؤهل]:[استمارة 111]])/12</f>
        <v>0</v>
      </c>
    </row>
    <row r="16" spans="2:32" ht="21.6" customHeight="1">
      <c r="B16" s="35">
        <v>110</v>
      </c>
      <c r="C16" s="36"/>
      <c r="D16" s="5"/>
      <c r="E16" s="38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7" t="str">
        <f>IF(COUNTA(Table2[[#This Row],[المؤهل]:[استمارة 111]])=12,"File is Completed","Uncompleted")</f>
        <v>Uncompleted</v>
      </c>
      <c r="S16" s="28">
        <f>COUNTA(Table2[[#This Row],[المؤهل]:[استمارة 111]])/12</f>
        <v>0</v>
      </c>
    </row>
    <row r="17" spans="2:19" ht="21.6" customHeight="1">
      <c r="B17" s="34">
        <v>111</v>
      </c>
      <c r="C17" s="36"/>
      <c r="D17" s="5"/>
      <c r="E17" s="38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7" t="str">
        <f>IF(COUNTA(Table2[[#This Row],[المؤهل]:[استمارة 111]])=12,"File is Completed","Uncompleted")</f>
        <v>Uncompleted</v>
      </c>
      <c r="S17" s="28">
        <f>COUNTA(Table2[[#This Row],[المؤهل]:[استمارة 111]])/12</f>
        <v>0</v>
      </c>
    </row>
    <row r="18" spans="2:19" ht="21.6" customHeight="1">
      <c r="B18" s="34">
        <v>112</v>
      </c>
      <c r="C18" s="36"/>
      <c r="D18" s="5"/>
      <c r="E18" s="38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7" t="str">
        <f>IF(COUNTA(Table2[[#This Row],[المؤهل]:[استمارة 111]])=12,"File is Completed","Uncompleted")</f>
        <v>Uncompleted</v>
      </c>
      <c r="S18" s="28">
        <f>COUNTA(Table2[[#This Row],[المؤهل]:[استمارة 111]])/12</f>
        <v>0</v>
      </c>
    </row>
    <row r="19" spans="2:19" ht="21.6" customHeight="1">
      <c r="B19" s="35">
        <v>113</v>
      </c>
      <c r="C19" s="36"/>
      <c r="D19" s="5"/>
      <c r="E19" s="38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7" t="str">
        <f>IF(COUNTA(Table2[[#This Row],[المؤهل]:[استمارة 111]])=12,"File is Completed","Uncompleted")</f>
        <v>Uncompleted</v>
      </c>
      <c r="S19" s="28">
        <f>COUNTA(Table2[[#This Row],[المؤهل]:[استمارة 111]])/12</f>
        <v>0</v>
      </c>
    </row>
    <row r="20" spans="2:19" ht="21.6" customHeight="1">
      <c r="B20" s="34">
        <v>114</v>
      </c>
      <c r="C20" s="36"/>
      <c r="D20" s="5"/>
      <c r="E20" s="38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7" t="str">
        <f>IF(COUNTA(Table2[[#This Row],[المؤهل]:[استمارة 111]])=12,"File is Completed","Uncompleted")</f>
        <v>Uncompleted</v>
      </c>
      <c r="S20" s="28">
        <f>COUNTA(Table2[[#This Row],[المؤهل]:[استمارة 111]])/12</f>
        <v>0</v>
      </c>
    </row>
    <row r="21" spans="2:19" ht="21.6" customHeight="1">
      <c r="B21" s="34">
        <v>115</v>
      </c>
      <c r="C21" s="36"/>
      <c r="D21" s="5"/>
      <c r="E21" s="38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7" t="str">
        <f>IF(COUNTA(Table2[[#This Row],[المؤهل]:[استمارة 111]])=12,"File is Completed","Uncompleted")</f>
        <v>Uncompleted</v>
      </c>
      <c r="S21" s="28">
        <f>COUNTA(Table2[[#This Row],[المؤهل]:[استمارة 111]])/12</f>
        <v>0</v>
      </c>
    </row>
    <row r="22" spans="2:19" ht="21.6" customHeight="1">
      <c r="B22" s="35">
        <v>116</v>
      </c>
      <c r="C22" s="36"/>
      <c r="D22" s="5"/>
      <c r="E22" s="3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7" t="str">
        <f>IF(COUNTA(Table2[[#This Row],[المؤهل]:[استمارة 111]])=12,"File is Completed","Uncompleted")</f>
        <v>Uncompleted</v>
      </c>
      <c r="S22" s="28">
        <f>COUNTA(Table2[[#This Row],[المؤهل]:[استمارة 111]])/12</f>
        <v>0</v>
      </c>
    </row>
    <row r="23" spans="2:19" ht="21.6" customHeight="1">
      <c r="B23" s="34">
        <v>117</v>
      </c>
      <c r="C23" s="36"/>
      <c r="D23" s="5"/>
      <c r="E23" s="38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7" t="str">
        <f>IF(COUNTA(Table2[[#This Row],[المؤهل]:[استمارة 111]])=12,"File is Completed","Uncompleted")</f>
        <v>Uncompleted</v>
      </c>
      <c r="S23" s="28">
        <f>COUNTA(Table2[[#This Row],[المؤهل]:[استمارة 111]])/12</f>
        <v>0</v>
      </c>
    </row>
    <row r="24" spans="2:19" ht="21.6" customHeight="1">
      <c r="B24" s="34">
        <v>118</v>
      </c>
      <c r="C24" s="36"/>
      <c r="D24" s="5"/>
      <c r="E24" s="38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7" t="str">
        <f>IF(COUNTA(Table2[[#This Row],[المؤهل]:[استمارة 111]])=12,"File is Completed","Uncompleted")</f>
        <v>Uncompleted</v>
      </c>
      <c r="S24" s="28">
        <f>COUNTA(Table2[[#This Row],[المؤهل]:[استمارة 111]])/12</f>
        <v>0</v>
      </c>
    </row>
    <row r="25" spans="2:19" ht="21.6" customHeight="1">
      <c r="B25" s="35">
        <v>119</v>
      </c>
      <c r="C25" s="36"/>
      <c r="D25" s="5"/>
      <c r="E25" s="38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7" t="str">
        <f>IF(COUNTA(Table2[[#This Row],[المؤهل]:[استمارة 111]])=12,"File is Completed","Uncompleted")</f>
        <v>Uncompleted</v>
      </c>
      <c r="S25" s="28">
        <f>COUNTA(Table2[[#This Row],[المؤهل]:[استمارة 111]])/12</f>
        <v>0</v>
      </c>
    </row>
    <row r="26" spans="2:19" ht="21.6" customHeight="1">
      <c r="B26" s="34">
        <v>120</v>
      </c>
      <c r="C26" s="36"/>
      <c r="D26" s="5"/>
      <c r="E26" s="38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7" t="str">
        <f>IF(COUNTA(Table2[[#This Row],[المؤهل]:[استمارة 111]])=12,"File is Completed","Uncompleted")</f>
        <v>Uncompleted</v>
      </c>
      <c r="S26" s="28">
        <f>COUNTA(Table2[[#This Row],[المؤهل]:[استمارة 111]])/12</f>
        <v>0</v>
      </c>
    </row>
    <row r="27" spans="2:19" ht="21.6" customHeight="1">
      <c r="B27" s="34">
        <v>121</v>
      </c>
      <c r="C27" s="36"/>
      <c r="D27" s="5"/>
      <c r="E27" s="38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7" t="str">
        <f>IF(COUNTA(Table2[[#This Row],[المؤهل]:[استمارة 111]])=12,"File is Completed","Uncompleted")</f>
        <v>Uncompleted</v>
      </c>
      <c r="S27" s="28">
        <f>COUNTA(Table2[[#This Row],[المؤهل]:[استمارة 111]])/12</f>
        <v>0</v>
      </c>
    </row>
    <row r="28" spans="2:19" ht="21.6" customHeight="1">
      <c r="B28" s="35">
        <v>122</v>
      </c>
      <c r="C28" s="36"/>
      <c r="D28" s="5"/>
      <c r="E28" s="38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7" t="str">
        <f>IF(COUNTA(Table2[[#This Row],[المؤهل]:[استمارة 111]])=12,"File is Completed","Uncompleted")</f>
        <v>Uncompleted</v>
      </c>
      <c r="S28" s="28">
        <f>COUNTA(Table2[[#This Row],[المؤهل]:[استمارة 111]])/12</f>
        <v>0</v>
      </c>
    </row>
    <row r="29" spans="2:19" ht="21.6" customHeight="1">
      <c r="B29" s="34">
        <v>123</v>
      </c>
      <c r="C29" s="36"/>
      <c r="D29" s="5"/>
      <c r="E29" s="38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7" t="str">
        <f>IF(COUNTA(Table2[[#This Row],[المؤهل]:[استمارة 111]])=12,"File is Completed","Uncompleted")</f>
        <v>Uncompleted</v>
      </c>
      <c r="S29" s="28">
        <f>COUNTA(Table2[[#This Row],[المؤهل]:[استمارة 111]])/12</f>
        <v>0</v>
      </c>
    </row>
    <row r="30" spans="2:19" ht="21.6" customHeight="1">
      <c r="B30" s="34">
        <v>124</v>
      </c>
      <c r="C30" s="36"/>
      <c r="D30" s="5"/>
      <c r="E30" s="38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7" t="str">
        <f>IF(COUNTA(Table2[[#This Row],[المؤهل]:[استمارة 111]])=12,"File is Completed","Uncompleted")</f>
        <v>Uncompleted</v>
      </c>
      <c r="S30" s="28">
        <f>COUNTA(Table2[[#This Row],[المؤهل]:[استمارة 111]])/12</f>
        <v>0</v>
      </c>
    </row>
    <row r="31" spans="2:19" ht="21.6" customHeight="1">
      <c r="B31" s="35">
        <v>125</v>
      </c>
      <c r="C31" s="36"/>
      <c r="D31" s="5"/>
      <c r="E31" s="38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7" t="str">
        <f>IF(COUNTA(Table2[[#This Row],[المؤهل]:[استمارة 111]])=12,"File is Completed","Uncompleted")</f>
        <v>Uncompleted</v>
      </c>
      <c r="S31" s="28">
        <f>COUNTA(Table2[[#This Row],[المؤهل]:[استمارة 111]])/12</f>
        <v>0</v>
      </c>
    </row>
    <row r="32" spans="2:19" ht="21.6" customHeight="1">
      <c r="B32" s="34">
        <v>126</v>
      </c>
      <c r="C32" s="37"/>
      <c r="D32" s="5"/>
      <c r="E32" s="38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7" t="str">
        <f>IF(COUNTA(Table2[[#This Row],[المؤهل]:[استمارة 111]])=12,"File is Completed","Uncompleted")</f>
        <v>Uncompleted</v>
      </c>
      <c r="S32" s="28">
        <f>COUNTA(Table2[[#This Row],[المؤهل]:[استمارة 111]])/12</f>
        <v>0</v>
      </c>
    </row>
    <row r="33" spans="2:19" ht="21.6" customHeight="1">
      <c r="B33" s="34">
        <v>127</v>
      </c>
      <c r="C33" s="36"/>
      <c r="D33" s="5"/>
      <c r="E33" s="38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7" t="str">
        <f>IF(COUNTA(Table2[[#This Row],[المؤهل]:[استمارة 111]])=12,"File is Completed","Uncompleted")</f>
        <v>Uncompleted</v>
      </c>
      <c r="S33" s="28">
        <f>COUNTA(Table2[[#This Row],[المؤهل]:[استمارة 111]])/12</f>
        <v>0</v>
      </c>
    </row>
    <row r="34" spans="2:19" ht="21.6" customHeight="1">
      <c r="B34" s="35">
        <v>128</v>
      </c>
      <c r="C34" s="36"/>
      <c r="D34" s="5"/>
      <c r="E34" s="38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7" t="str">
        <f>IF(COUNTA(Table2[[#This Row],[المؤهل]:[استمارة 111]])=12,"File is Completed","Uncompleted")</f>
        <v>Uncompleted</v>
      </c>
      <c r="S34" s="28">
        <f>COUNTA(Table2[[#This Row],[المؤهل]:[استمارة 111]])/12</f>
        <v>0</v>
      </c>
    </row>
    <row r="35" spans="2:19" ht="21.6" customHeight="1">
      <c r="B35" s="34">
        <v>129</v>
      </c>
      <c r="C35" s="36"/>
      <c r="D35" s="5"/>
      <c r="E35" s="39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7" t="str">
        <f>IF(COUNTA(Table2[[#This Row],[المؤهل]:[استمارة 111]])=12,"File is Completed","Uncompleted")</f>
        <v>Uncompleted</v>
      </c>
      <c r="S35" s="28">
        <f>COUNTA(Table2[[#This Row],[المؤهل]:[استمارة 111]])/12</f>
        <v>0</v>
      </c>
    </row>
    <row r="36" spans="2:19" ht="21.6" customHeight="1">
      <c r="B36" s="34">
        <v>130</v>
      </c>
      <c r="C36" s="36"/>
      <c r="D36" s="5"/>
      <c r="E36" s="38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7" t="str">
        <f>IF(COUNTA(Table2[[#This Row],[المؤهل]:[استمارة 111]])=12,"File is Completed","Uncompleted")</f>
        <v>Uncompleted</v>
      </c>
      <c r="S36" s="28">
        <f>COUNTA(Table2[[#This Row],[المؤهل]:[استمارة 111]])/12</f>
        <v>0</v>
      </c>
    </row>
    <row r="37" spans="2:19" ht="21.6" customHeight="1">
      <c r="B37" s="35">
        <v>131</v>
      </c>
      <c r="C37" s="36"/>
      <c r="D37" s="5"/>
      <c r="E37" s="38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7" t="str">
        <f>IF(COUNTA(Table2[[#This Row],[المؤهل]:[استمارة 111]])=12,"File is Completed","Uncompleted")</f>
        <v>Uncompleted</v>
      </c>
      <c r="S37" s="28">
        <f>COUNTA(Table2[[#This Row],[المؤهل]:[استمارة 111]])/12</f>
        <v>0</v>
      </c>
    </row>
    <row r="38" spans="2:19" ht="21.6" customHeight="1">
      <c r="B38" s="34">
        <v>132</v>
      </c>
      <c r="C38" s="36"/>
      <c r="D38" s="5"/>
      <c r="E38" s="38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7" t="str">
        <f>IF(COUNTA(Table2[[#This Row],[المؤهل]:[استمارة 111]])=12,"File is Completed","Uncompleted")</f>
        <v>Uncompleted</v>
      </c>
      <c r="S38" s="28">
        <f>COUNTA(Table2[[#This Row],[المؤهل]:[استمارة 111]])/12</f>
        <v>0</v>
      </c>
    </row>
    <row r="39" spans="2:19" ht="21.6" customHeight="1">
      <c r="B39" s="34">
        <v>133</v>
      </c>
      <c r="C39" s="36"/>
      <c r="D39" s="5"/>
      <c r="E39" s="38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7" t="str">
        <f>IF(COUNTA(Table2[[#This Row],[المؤهل]:[استمارة 111]])=12,"File is Completed","Uncompleted")</f>
        <v>Uncompleted</v>
      </c>
      <c r="S39" s="28">
        <f>COUNTA(Table2[[#This Row],[المؤهل]:[استمارة 111]])/12</f>
        <v>0</v>
      </c>
    </row>
    <row r="40" spans="2:19" ht="21.6" customHeight="1">
      <c r="B40" s="35">
        <v>134</v>
      </c>
      <c r="C40" s="36"/>
      <c r="D40" s="5"/>
      <c r="E40" s="38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7" t="str">
        <f>IF(COUNTA(Table2[[#This Row],[المؤهل]:[استمارة 111]])=12,"File is Completed","Uncompleted")</f>
        <v>Uncompleted</v>
      </c>
      <c r="S40" s="28">
        <f>COUNTA(Table2[[#This Row],[المؤهل]:[استمارة 111]])/12</f>
        <v>0</v>
      </c>
    </row>
    <row r="41" spans="2:19" ht="21.6" customHeight="1">
      <c r="B41" s="34">
        <v>135</v>
      </c>
      <c r="C41" s="36"/>
      <c r="D41" s="5"/>
      <c r="E41" s="39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7" t="str">
        <f>IF(COUNTA(Table2[[#This Row],[المؤهل]:[استمارة 111]])=12,"File is Completed","Uncompleted")</f>
        <v>Uncompleted</v>
      </c>
      <c r="S41" s="28">
        <f>COUNTA(Table2[[#This Row],[المؤهل]:[استمارة 111]])/12</f>
        <v>0</v>
      </c>
    </row>
    <row r="42" spans="2:19" ht="21.6" customHeight="1">
      <c r="B42" s="34">
        <v>136</v>
      </c>
      <c r="C42" s="36"/>
      <c r="D42" s="5"/>
      <c r="E42" s="39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7" t="str">
        <f>IF(COUNTA(Table2[[#This Row],[المؤهل]:[استمارة 111]])=12,"File is Completed","Uncompleted")</f>
        <v>Uncompleted</v>
      </c>
      <c r="S42" s="28">
        <f>COUNTA(Table2[[#This Row],[المؤهل]:[استمارة 111]])/12</f>
        <v>0</v>
      </c>
    </row>
    <row r="43" spans="2:19" ht="21.6" customHeight="1">
      <c r="B43" s="35">
        <v>137</v>
      </c>
      <c r="C43" s="36"/>
      <c r="D43" s="5"/>
      <c r="E43" s="39"/>
      <c r="F43" s="3" t="s">
        <v>16</v>
      </c>
      <c r="G43" s="3" t="s">
        <v>16</v>
      </c>
      <c r="H43" s="3" t="s">
        <v>16</v>
      </c>
      <c r="I43" s="3" t="s">
        <v>16</v>
      </c>
      <c r="J43" s="3" t="s">
        <v>16</v>
      </c>
      <c r="K43" s="3" t="s">
        <v>16</v>
      </c>
      <c r="L43" s="3" t="s">
        <v>16</v>
      </c>
      <c r="M43" s="3" t="s">
        <v>16</v>
      </c>
      <c r="N43" s="3" t="s">
        <v>16</v>
      </c>
      <c r="O43" s="3"/>
      <c r="P43" s="3" t="s">
        <v>16</v>
      </c>
      <c r="Q43" s="3"/>
      <c r="R43" s="7" t="str">
        <f>IF(COUNTA(Table2[[#This Row],[المؤهل]:[استمارة 111]])=12,"File is Completed","Uncompleted")</f>
        <v>Uncompleted</v>
      </c>
      <c r="S43" s="28">
        <f>COUNTA(Table2[[#This Row],[المؤهل]:[استمارة 111]])/12</f>
        <v>0.83333333333333337</v>
      </c>
    </row>
    <row r="44" spans="2:19" ht="21.6" customHeight="1">
      <c r="B44" s="34">
        <v>138</v>
      </c>
      <c r="C44" s="36"/>
      <c r="D44" s="5"/>
      <c r="E44" s="39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7" t="str">
        <f>IF(COUNTA(Table2[[#This Row],[المؤهل]:[استمارة 111]])=12,"File is Completed","Uncompleted")</f>
        <v>Uncompleted</v>
      </c>
      <c r="S44" s="28">
        <f>COUNTA(Table2[[#This Row],[المؤهل]:[استمارة 111]])/12</f>
        <v>0</v>
      </c>
    </row>
    <row r="45" spans="2:19" ht="21.6" customHeight="1">
      <c r="B45" s="34">
        <v>139</v>
      </c>
      <c r="C45" s="36"/>
      <c r="D45" s="5"/>
      <c r="E45" s="38"/>
      <c r="F45" s="3" t="s">
        <v>16</v>
      </c>
      <c r="G45" s="3" t="s">
        <v>16</v>
      </c>
      <c r="H45" s="3" t="s">
        <v>16</v>
      </c>
      <c r="I45" s="3" t="s">
        <v>16</v>
      </c>
      <c r="J45" s="3" t="s">
        <v>16</v>
      </c>
      <c r="K45" s="3" t="s">
        <v>16</v>
      </c>
      <c r="L45" s="3" t="s">
        <v>16</v>
      </c>
      <c r="M45" s="3" t="s">
        <v>16</v>
      </c>
      <c r="N45" s="3" t="s">
        <v>16</v>
      </c>
      <c r="O45" s="3"/>
      <c r="P45" s="3" t="s">
        <v>16</v>
      </c>
      <c r="Q45" s="3"/>
      <c r="R45" s="7" t="str">
        <f>IF(COUNTA(Table2[[#This Row],[المؤهل]:[استمارة 111]])=12,"File is Completed","Uncompleted")</f>
        <v>Uncompleted</v>
      </c>
      <c r="S45" s="28">
        <f>COUNTA(Table2[[#This Row],[المؤهل]:[استمارة 111]])/12</f>
        <v>0.83333333333333337</v>
      </c>
    </row>
    <row r="46" spans="2:19" ht="21.6" customHeight="1">
      <c r="B46" s="35">
        <v>140</v>
      </c>
      <c r="C46" s="36"/>
      <c r="D46" s="5"/>
      <c r="E46" s="39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7" t="str">
        <f>IF(COUNTA(Table2[[#This Row],[المؤهل]:[استمارة 111]])=12,"File is Completed","Uncompleted")</f>
        <v>Uncompleted</v>
      </c>
      <c r="S46" s="28">
        <f>COUNTA(Table2[[#This Row],[المؤهل]:[استمارة 111]])/12</f>
        <v>0</v>
      </c>
    </row>
    <row r="47" spans="2:19" ht="21.6" customHeight="1">
      <c r="B47" s="34">
        <v>141</v>
      </c>
      <c r="C47" s="36"/>
      <c r="D47" s="5"/>
      <c r="E47" s="39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7" t="str">
        <f>IF(COUNTA(Table2[[#This Row],[المؤهل]:[استمارة 111]])=12,"File is Completed","Uncompleted")</f>
        <v>Uncompleted</v>
      </c>
      <c r="S47" s="28">
        <f>COUNTA(Table2[[#This Row],[المؤهل]:[استمارة 111]])/12</f>
        <v>0</v>
      </c>
    </row>
    <row r="48" spans="2:19" ht="21.6" customHeight="1">
      <c r="B48" s="34">
        <v>142</v>
      </c>
      <c r="C48" s="36"/>
      <c r="D48" s="5"/>
      <c r="E48" s="38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7" t="str">
        <f>IF(COUNTA(Table2[[#This Row],[المؤهل]:[استمارة 111]])=12,"File is Completed","Uncompleted")</f>
        <v>Uncompleted</v>
      </c>
      <c r="S48" s="28">
        <f>COUNTA(Table2[[#This Row],[المؤهل]:[استمارة 111]])/12</f>
        <v>0</v>
      </c>
    </row>
    <row r="49" spans="2:19" ht="21.6" customHeight="1">
      <c r="B49" s="35">
        <v>143</v>
      </c>
      <c r="C49" s="36"/>
      <c r="D49" s="5"/>
      <c r="E49" s="38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7" t="str">
        <f>IF(COUNTA(Table2[[#This Row],[المؤهل]:[استمارة 111]])=12,"File is Completed","Uncompleted")</f>
        <v>Uncompleted</v>
      </c>
      <c r="S49" s="28">
        <f>COUNTA(Table2[[#This Row],[المؤهل]:[استمارة 111]])/12</f>
        <v>0</v>
      </c>
    </row>
    <row r="50" spans="2:19" ht="21.6" customHeight="1">
      <c r="B50" s="34">
        <v>144</v>
      </c>
      <c r="C50" s="36"/>
      <c r="D50" s="5"/>
      <c r="E50" s="38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7" t="str">
        <f>IF(COUNTA(Table2[[#This Row],[المؤهل]:[استمارة 111]])=12,"File is Completed","Uncompleted")</f>
        <v>Uncompleted</v>
      </c>
      <c r="S50" s="28">
        <f>COUNTA(Table2[[#This Row],[المؤهل]:[استمارة 111]])/12</f>
        <v>0</v>
      </c>
    </row>
    <row r="51" spans="2:19" ht="21.6" customHeight="1">
      <c r="B51" s="34">
        <v>145</v>
      </c>
      <c r="C51" s="36"/>
      <c r="D51" s="5"/>
      <c r="E51" s="38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7" t="str">
        <f>IF(COUNTA(Table2[[#This Row],[المؤهل]:[استمارة 111]])=12,"File is Completed","Uncompleted")</f>
        <v>Uncompleted</v>
      </c>
      <c r="S51" s="28">
        <f>COUNTA(Table2[[#This Row],[المؤهل]:[استمارة 111]])/12</f>
        <v>0</v>
      </c>
    </row>
    <row r="52" spans="2:19" ht="21.6" customHeight="1">
      <c r="B52" s="35">
        <v>146</v>
      </c>
      <c r="C52" s="36"/>
      <c r="D52" s="5"/>
      <c r="E52" s="3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7" t="str">
        <f>IF(COUNTA(Table2[[#This Row],[المؤهل]:[استمارة 111]])=12,"File is Completed","Uncompleted")</f>
        <v>Uncompleted</v>
      </c>
      <c r="S52" s="28">
        <f>COUNTA(Table2[[#This Row],[المؤهل]:[استمارة 111]])/12</f>
        <v>0</v>
      </c>
    </row>
    <row r="53" spans="2:19" ht="21.6" customHeight="1">
      <c r="B53" s="34">
        <v>147</v>
      </c>
      <c r="C53" s="36"/>
      <c r="D53" s="5"/>
      <c r="E53" s="38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7" t="str">
        <f>IF(COUNTA(Table2[[#This Row],[المؤهل]:[استمارة 111]])=12,"File is Completed","Uncompleted")</f>
        <v>Uncompleted</v>
      </c>
      <c r="S53" s="28">
        <f>COUNTA(Table2[[#This Row],[المؤهل]:[استمارة 111]])/12</f>
        <v>0</v>
      </c>
    </row>
    <row r="54" spans="2:19" ht="21.6" customHeight="1">
      <c r="B54" s="34">
        <v>148</v>
      </c>
      <c r="C54" s="36"/>
      <c r="D54" s="5"/>
      <c r="E54" s="38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7" t="str">
        <f>IF(COUNTA(Table2[[#This Row],[المؤهل]:[استمارة 111]])=12,"File is Completed","Uncompleted")</f>
        <v>Uncompleted</v>
      </c>
      <c r="S54" s="28">
        <f>COUNTA(Table2[[#This Row],[المؤهل]:[استمارة 111]])/12</f>
        <v>0</v>
      </c>
    </row>
    <row r="55" spans="2:19" ht="21.6" customHeight="1">
      <c r="B55" s="35">
        <v>149</v>
      </c>
      <c r="C55" s="36"/>
      <c r="D55" s="5"/>
      <c r="E55" s="39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7" t="str">
        <f>IF(COUNTA(Table2[[#This Row],[المؤهل]:[استمارة 111]])=12,"File is Completed","Uncompleted")</f>
        <v>Uncompleted</v>
      </c>
      <c r="S55" s="28">
        <f>COUNTA(Table2[[#This Row],[المؤهل]:[استمارة 111]])/12</f>
        <v>0</v>
      </c>
    </row>
    <row r="56" spans="2:19" ht="21.6" customHeight="1">
      <c r="B56" s="5"/>
      <c r="C56" s="5"/>
      <c r="D56" s="5"/>
      <c r="E56" s="5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7" t="str">
        <f>IF(COUNTA(Table2[[#This Row],[المؤهل]:[استمارة 111]])=12,"File is Completed","Uncompleted")</f>
        <v>Uncompleted</v>
      </c>
      <c r="S56" s="28">
        <f>COUNTA(Table2[[#This Row],[المؤهل]:[استمارة 111]])/12</f>
        <v>0</v>
      </c>
    </row>
    <row r="57" spans="2:19" ht="21.6" customHeight="1">
      <c r="B57" s="5"/>
      <c r="C57" s="5"/>
      <c r="D57" s="5"/>
      <c r="E57" s="5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7" t="str">
        <f>IF(COUNTA(Table2[[#This Row],[المؤهل]:[استمارة 111]])=12,"File is Completed","Uncompleted")</f>
        <v>Uncompleted</v>
      </c>
      <c r="S57" s="28">
        <f>COUNTA(Table2[[#This Row],[المؤهل]:[استمارة 111]])/12</f>
        <v>0</v>
      </c>
    </row>
    <row r="58" spans="2:19" ht="21.6" customHeight="1">
      <c r="B58" s="5"/>
      <c r="C58" s="5"/>
      <c r="D58" s="5"/>
      <c r="E58" s="5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7" t="str">
        <f>IF(COUNTA(Table2[[#This Row],[المؤهل]:[استمارة 111]])=12,"File is Completed","Uncompleted")</f>
        <v>Uncompleted</v>
      </c>
      <c r="S58" s="28">
        <f>COUNTA(Table2[[#This Row],[المؤهل]:[استمارة 111]])/12</f>
        <v>0</v>
      </c>
    </row>
    <row r="59" spans="2:19" ht="21.6" customHeight="1">
      <c r="B59" s="5"/>
      <c r="C59" s="5"/>
      <c r="D59" s="5"/>
      <c r="E59" s="5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7" t="str">
        <f>IF(COUNTA(Table2[[#This Row],[المؤهل]:[استمارة 111]])=12,"File is Completed","Uncompleted")</f>
        <v>Uncompleted</v>
      </c>
      <c r="S59" s="28">
        <f>COUNTA(Table2[[#This Row],[المؤهل]:[استمارة 111]])/12</f>
        <v>0</v>
      </c>
    </row>
    <row r="60" spans="2:19" ht="21.6" customHeight="1">
      <c r="B60" s="5"/>
      <c r="C60" s="5"/>
      <c r="D60" s="5"/>
      <c r="E60" s="5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7" t="str">
        <f>IF(COUNTA(Table2[[#This Row],[المؤهل]:[استمارة 111]])=12,"File is Completed","Uncompleted")</f>
        <v>Uncompleted</v>
      </c>
      <c r="S60" s="28">
        <f>COUNTA(Table2[[#This Row],[المؤهل]:[استمارة 111]])/12</f>
        <v>0</v>
      </c>
    </row>
    <row r="61" spans="2:19" ht="21.6" customHeight="1">
      <c r="B61" s="5"/>
      <c r="C61" s="5"/>
      <c r="D61" s="5"/>
      <c r="E61" s="5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7" t="str">
        <f>IF(COUNTA(Table2[[#This Row],[المؤهل]:[استمارة 111]])=12,"File is Completed","Uncompleted")</f>
        <v>Uncompleted</v>
      </c>
      <c r="S61" s="28">
        <f>COUNTA(Table2[[#This Row],[المؤهل]:[استمارة 111]])/12</f>
        <v>0</v>
      </c>
    </row>
    <row r="62" spans="2:19" ht="21.6" customHeight="1">
      <c r="B62" s="5"/>
      <c r="C62" s="5"/>
      <c r="D62" s="5"/>
      <c r="E62" s="5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7" t="str">
        <f>IF(COUNTA(Table2[[#This Row],[المؤهل]:[استمارة 111]])=12,"File is Completed","Uncompleted")</f>
        <v>Uncompleted</v>
      </c>
      <c r="S62" s="28">
        <f>COUNTA(Table2[[#This Row],[المؤهل]:[استمارة 111]])/12</f>
        <v>0</v>
      </c>
    </row>
    <row r="63" spans="2:19" ht="21.6" customHeight="1">
      <c r="B63" s="5"/>
      <c r="C63" s="5"/>
      <c r="D63" s="5"/>
      <c r="E63" s="5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7" t="str">
        <f>IF(COUNTA(Table2[[#This Row],[المؤهل]:[استمارة 111]])=12,"File is Completed","Uncompleted")</f>
        <v>Uncompleted</v>
      </c>
      <c r="S63" s="28">
        <f>COUNTA(Table2[[#This Row],[المؤهل]:[استمارة 111]])/12</f>
        <v>0</v>
      </c>
    </row>
    <row r="64" spans="2:19" ht="21.6" customHeight="1">
      <c r="B64" s="5"/>
      <c r="C64" s="5"/>
      <c r="D64" s="5"/>
      <c r="E64" s="5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7" t="str">
        <f>IF(COUNTA(Table2[[#This Row],[المؤهل]:[استمارة 111]])=12,"File is Completed","Uncompleted")</f>
        <v>Uncompleted</v>
      </c>
      <c r="S64" s="28">
        <f>COUNTA(Table2[[#This Row],[المؤهل]:[استمارة 111]])/12</f>
        <v>0</v>
      </c>
    </row>
    <row r="65" spans="2:19" ht="21.6" customHeight="1">
      <c r="B65" s="5"/>
      <c r="C65" s="5"/>
      <c r="D65" s="5"/>
      <c r="E65" s="5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7" t="str">
        <f>IF(COUNTA(Table2[[#This Row],[المؤهل]:[استمارة 111]])=12,"File is Completed","Uncompleted")</f>
        <v>Uncompleted</v>
      </c>
      <c r="S65" s="28">
        <f>COUNTA(Table2[[#This Row],[المؤهل]:[استمارة 111]])/12</f>
        <v>0</v>
      </c>
    </row>
    <row r="66" spans="2:19" ht="21.6" customHeight="1">
      <c r="B66" s="5"/>
      <c r="C66" s="5"/>
      <c r="D66" s="5"/>
      <c r="E66" s="5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7" t="str">
        <f>IF(COUNTA(Table2[[#This Row],[المؤهل]:[استمارة 111]])=12,"File is Completed","Uncompleted")</f>
        <v>Uncompleted</v>
      </c>
      <c r="S66" s="28">
        <f>COUNTA(Table2[[#This Row],[المؤهل]:[استمارة 111]])/12</f>
        <v>0</v>
      </c>
    </row>
    <row r="67" spans="2:19" ht="21.6" customHeight="1">
      <c r="B67" s="5"/>
      <c r="C67" s="5"/>
      <c r="D67" s="5"/>
      <c r="E67" s="5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7" t="str">
        <f>IF(COUNTA(Table2[[#This Row],[المؤهل]:[استمارة 111]])=12,"File is Completed","Uncompleted")</f>
        <v>Uncompleted</v>
      </c>
      <c r="S67" s="28">
        <f>COUNTA(Table2[[#This Row],[المؤهل]:[استمارة 111]])/12</f>
        <v>0</v>
      </c>
    </row>
    <row r="68" spans="2:19" ht="21.6" customHeight="1">
      <c r="B68" s="5"/>
      <c r="C68" s="5"/>
      <c r="D68" s="5"/>
      <c r="E68" s="5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7" t="str">
        <f>IF(COUNTA(Table2[[#This Row],[المؤهل]:[استمارة 111]])=12,"File is Completed","Uncompleted")</f>
        <v>Uncompleted</v>
      </c>
      <c r="S68" s="28">
        <f>COUNTA(Table2[[#This Row],[المؤهل]:[استمارة 111]])/12</f>
        <v>0</v>
      </c>
    </row>
    <row r="69" spans="2:19" ht="21.6" customHeight="1">
      <c r="B69" s="5"/>
      <c r="C69" s="5"/>
      <c r="D69" s="5"/>
      <c r="E69" s="5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7" t="str">
        <f>IF(COUNTA(Table2[[#This Row],[المؤهل]:[استمارة 111]])=12,"File is Completed","Uncompleted")</f>
        <v>Uncompleted</v>
      </c>
      <c r="S69" s="28">
        <f>COUNTA(Table2[[#This Row],[المؤهل]:[استمارة 111]])/12</f>
        <v>0</v>
      </c>
    </row>
    <row r="70" spans="2:19" ht="21.6" customHeight="1">
      <c r="B70" s="5"/>
      <c r="C70" s="5"/>
      <c r="D70" s="5"/>
      <c r="E70" s="5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7" t="str">
        <f>IF(COUNTA(Table2[[#This Row],[المؤهل]:[استمارة 111]])=12,"File is Completed","Uncompleted")</f>
        <v>Uncompleted</v>
      </c>
      <c r="S70" s="28">
        <f>COUNTA(Table2[[#This Row],[المؤهل]:[استمارة 111]])/12</f>
        <v>0</v>
      </c>
    </row>
    <row r="71" spans="2:19" ht="21.6" customHeight="1">
      <c r="B71" s="5"/>
      <c r="C71" s="5"/>
      <c r="D71" s="5"/>
      <c r="E71" s="5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7" t="str">
        <f>IF(COUNTA(Table2[[#This Row],[المؤهل]:[استمارة 111]])=12,"File is Completed","Uncompleted")</f>
        <v>Uncompleted</v>
      </c>
      <c r="S71" s="28">
        <f>COUNTA(Table2[[#This Row],[المؤهل]:[استمارة 111]])/12</f>
        <v>0</v>
      </c>
    </row>
    <row r="72" spans="2:19" ht="21.6" customHeight="1">
      <c r="B72" s="5"/>
      <c r="C72" s="5"/>
      <c r="D72" s="5"/>
      <c r="E72" s="5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7" t="str">
        <f>IF(COUNTA(Table2[[#This Row],[المؤهل]:[استمارة 111]])=12,"File is Completed","Uncompleted")</f>
        <v>Uncompleted</v>
      </c>
      <c r="S72" s="28">
        <f>COUNTA(Table2[[#This Row],[المؤهل]:[استمارة 111]])/12</f>
        <v>0</v>
      </c>
    </row>
    <row r="73" spans="2:19" ht="21.6" customHeight="1">
      <c r="B73" s="5"/>
      <c r="C73" s="5"/>
      <c r="D73" s="5"/>
      <c r="E73" s="5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7" t="str">
        <f>IF(COUNTA(Table2[[#This Row],[المؤهل]:[استمارة 111]])=12,"File is Completed","Uncompleted")</f>
        <v>Uncompleted</v>
      </c>
      <c r="S73" s="28">
        <f>COUNTA(Table2[[#This Row],[المؤهل]:[استمارة 111]])/12</f>
        <v>0</v>
      </c>
    </row>
    <row r="74" spans="2:19" ht="21.6" customHeight="1">
      <c r="B74" s="5"/>
      <c r="C74" s="5"/>
      <c r="D74" s="5"/>
      <c r="E74" s="5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7" t="str">
        <f>IF(COUNTA(Table2[[#This Row],[المؤهل]:[استمارة 111]])=12,"File is Completed","Uncompleted")</f>
        <v>Uncompleted</v>
      </c>
      <c r="S74" s="28">
        <f>COUNTA(Table2[[#This Row],[المؤهل]:[استمارة 111]])/12</f>
        <v>0</v>
      </c>
    </row>
    <row r="75" spans="2:19" ht="21.6" customHeight="1">
      <c r="B75" s="5"/>
      <c r="C75" s="5"/>
      <c r="D75" s="5"/>
      <c r="E75" s="5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7" t="str">
        <f>IF(COUNTA(Table2[[#This Row],[المؤهل]:[استمارة 111]])=12,"File is Completed","Uncompleted")</f>
        <v>Uncompleted</v>
      </c>
      <c r="S75" s="28">
        <f>COUNTA(Table2[[#This Row],[المؤهل]:[استمارة 111]])/12</f>
        <v>0</v>
      </c>
    </row>
    <row r="76" spans="2:19" ht="21.6" customHeight="1">
      <c r="B76" s="5"/>
      <c r="C76" s="5"/>
      <c r="D76" s="5"/>
      <c r="E76" s="5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7" t="str">
        <f>IF(COUNTA(Table2[[#This Row],[المؤهل]:[استمارة 111]])=12,"File is Completed","Uncompleted")</f>
        <v>Uncompleted</v>
      </c>
      <c r="S76" s="28">
        <f>COUNTA(Table2[[#This Row],[المؤهل]:[استمارة 111]])/12</f>
        <v>0</v>
      </c>
    </row>
    <row r="77" spans="2:19" ht="21.6" customHeight="1">
      <c r="B77" s="5"/>
      <c r="C77" s="5"/>
      <c r="D77" s="5"/>
      <c r="E77" s="5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7" t="str">
        <f>IF(COUNTA(Table2[[#This Row],[المؤهل]:[استمارة 111]])=12,"File is Completed","Uncompleted")</f>
        <v>Uncompleted</v>
      </c>
      <c r="S77" s="28">
        <f>COUNTA(Table2[[#This Row],[المؤهل]:[استمارة 111]])/12</f>
        <v>0</v>
      </c>
    </row>
    <row r="78" spans="2:19" ht="21.6" customHeight="1">
      <c r="B78" s="5"/>
      <c r="C78" s="5"/>
      <c r="D78" s="5"/>
      <c r="E78" s="5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7" t="str">
        <f>IF(COUNTA(Table2[[#This Row],[المؤهل]:[استمارة 111]])=12,"File is Completed","Uncompleted")</f>
        <v>Uncompleted</v>
      </c>
      <c r="S78" s="28">
        <f>COUNTA(Table2[[#This Row],[المؤهل]:[استمارة 111]])/12</f>
        <v>0</v>
      </c>
    </row>
    <row r="79" spans="2:19" ht="21.6" customHeight="1">
      <c r="B79" s="5"/>
      <c r="C79" s="5"/>
      <c r="D79" s="5"/>
      <c r="E79" s="5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7" t="str">
        <f>IF(COUNTA(Table2[[#This Row],[المؤهل]:[استمارة 111]])=12,"File is Completed","Uncompleted")</f>
        <v>Uncompleted</v>
      </c>
      <c r="S79" s="28">
        <f>COUNTA(Table2[[#This Row],[المؤهل]:[استمارة 111]])/12</f>
        <v>0</v>
      </c>
    </row>
    <row r="80" spans="2:19" ht="21.6" customHeight="1">
      <c r="B80" s="5"/>
      <c r="C80" s="5"/>
      <c r="D80" s="5"/>
      <c r="E80" s="5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7" t="str">
        <f>IF(COUNTA(Table2[[#This Row],[المؤهل]:[استمارة 111]])=12,"File is Completed","Uncompleted")</f>
        <v>Uncompleted</v>
      </c>
      <c r="S80" s="28">
        <f>COUNTA(Table2[[#This Row],[المؤهل]:[استمارة 111]])/12</f>
        <v>0</v>
      </c>
    </row>
    <row r="81" spans="2:19" ht="21.6" customHeight="1">
      <c r="B81" s="5"/>
      <c r="C81" s="5"/>
      <c r="D81" s="5"/>
      <c r="E81" s="5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7" t="str">
        <f>IF(COUNTA(Table2[[#This Row],[المؤهل]:[استمارة 111]])=12,"File is Completed","Uncompleted")</f>
        <v>Uncompleted</v>
      </c>
      <c r="S81" s="28">
        <f>COUNTA(Table2[[#This Row],[المؤهل]:[استمارة 111]])/12</f>
        <v>0</v>
      </c>
    </row>
    <row r="82" spans="2:19" ht="21.6" customHeight="1">
      <c r="B82" s="5"/>
      <c r="C82" s="5"/>
      <c r="D82" s="5"/>
      <c r="E82" s="5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7" t="str">
        <f>IF(COUNTA(Table2[[#This Row],[المؤهل]:[استمارة 111]])=12,"File is Completed","Uncompleted")</f>
        <v>Uncompleted</v>
      </c>
      <c r="S82" s="28">
        <f>COUNTA(Table2[[#This Row],[المؤهل]:[استمارة 111]])/12</f>
        <v>0</v>
      </c>
    </row>
    <row r="83" spans="2:19" ht="21.6" customHeight="1">
      <c r="B83" s="5"/>
      <c r="C83" s="5"/>
      <c r="D83" s="5"/>
      <c r="E83" s="5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7" t="str">
        <f>IF(COUNTA(Table2[[#This Row],[المؤهل]:[استمارة 111]])=12,"File is Completed","Uncompleted")</f>
        <v>Uncompleted</v>
      </c>
      <c r="S83" s="28">
        <f>COUNTA(Table2[[#This Row],[المؤهل]:[استمارة 111]])/12</f>
        <v>0</v>
      </c>
    </row>
    <row r="84" spans="2:19" ht="21.6" customHeight="1">
      <c r="B84" s="5"/>
      <c r="C84" s="5"/>
      <c r="D84" s="5"/>
      <c r="E84" s="5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7" t="str">
        <f>IF(COUNTA(Table2[[#This Row],[المؤهل]:[استمارة 111]])=12,"File is Completed","Uncompleted")</f>
        <v>Uncompleted</v>
      </c>
      <c r="S84" s="28">
        <f>COUNTA(Table2[[#This Row],[المؤهل]:[استمارة 111]])/12</f>
        <v>0</v>
      </c>
    </row>
    <row r="85" spans="2:19" ht="21.6" customHeight="1">
      <c r="B85" s="5"/>
      <c r="C85" s="5"/>
      <c r="D85" s="5"/>
      <c r="E85" s="5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7" t="str">
        <f>IF(COUNTA(Table2[[#This Row],[المؤهل]:[استمارة 111]])=12,"File is Completed","Uncompleted")</f>
        <v>Uncompleted</v>
      </c>
      <c r="S85" s="28">
        <f>COUNTA(Table2[[#This Row],[المؤهل]:[استمارة 111]])/12</f>
        <v>0</v>
      </c>
    </row>
    <row r="86" spans="2:19" ht="21.6" customHeight="1">
      <c r="B86" s="5"/>
      <c r="C86" s="5"/>
      <c r="D86" s="5"/>
      <c r="E86" s="5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7" t="str">
        <f>IF(COUNTA(Table2[[#This Row],[المؤهل]:[استمارة 111]])=12,"File is Completed","Uncompleted")</f>
        <v>Uncompleted</v>
      </c>
      <c r="S86" s="28">
        <f>COUNTA(Table2[[#This Row],[المؤهل]:[استمارة 111]])/12</f>
        <v>0</v>
      </c>
    </row>
    <row r="87" spans="2:19" ht="21.6" customHeight="1">
      <c r="B87" s="5"/>
      <c r="C87" s="5"/>
      <c r="D87" s="5"/>
      <c r="E87" s="5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7" t="str">
        <f>IF(COUNTA(Table2[[#This Row],[المؤهل]:[استمارة 111]])=12,"File is Completed","Uncompleted")</f>
        <v>Uncompleted</v>
      </c>
      <c r="S87" s="28">
        <f>COUNTA(Table2[[#This Row],[المؤهل]:[استمارة 111]])/12</f>
        <v>0</v>
      </c>
    </row>
    <row r="88" spans="2:19" ht="21.6" customHeight="1">
      <c r="B88" s="5"/>
      <c r="C88" s="5"/>
      <c r="D88" s="5"/>
      <c r="E88" s="5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7" t="str">
        <f>IF(COUNTA(Table2[[#This Row],[المؤهل]:[استمارة 111]])=12,"File is Completed","Uncompleted")</f>
        <v>Uncompleted</v>
      </c>
      <c r="S88" s="28">
        <f>COUNTA(Table2[[#This Row],[المؤهل]:[استمارة 111]])/12</f>
        <v>0</v>
      </c>
    </row>
    <row r="89" spans="2:19" ht="21.6" customHeight="1">
      <c r="B89" s="5"/>
      <c r="C89" s="5"/>
      <c r="D89" s="5"/>
      <c r="E89" s="5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7" t="str">
        <f>IF(COUNTA(Table2[[#This Row],[المؤهل]:[استمارة 111]])=12,"File is Completed","Uncompleted")</f>
        <v>Uncompleted</v>
      </c>
      <c r="S89" s="28">
        <f>COUNTA(Table2[[#This Row],[المؤهل]:[استمارة 111]])/12</f>
        <v>0</v>
      </c>
    </row>
    <row r="90" spans="2:19" ht="21.6" customHeight="1">
      <c r="B90" s="5"/>
      <c r="C90" s="5"/>
      <c r="D90" s="5"/>
      <c r="E90" s="5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7" t="str">
        <f>IF(COUNTA(Table2[[#This Row],[المؤهل]:[استمارة 111]])=12,"File is Completed","Uncompleted")</f>
        <v>Uncompleted</v>
      </c>
      <c r="S90" s="28">
        <f>COUNTA(Table2[[#This Row],[المؤهل]:[استمارة 111]])/12</f>
        <v>0</v>
      </c>
    </row>
    <row r="91" spans="2:19" ht="21.6" customHeight="1">
      <c r="B91" s="5"/>
      <c r="C91" s="5"/>
      <c r="D91" s="5"/>
      <c r="E91" s="5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7" t="str">
        <f>IF(COUNTA(Table2[[#This Row],[المؤهل]:[استمارة 111]])=12,"File is Completed","Uncompleted")</f>
        <v>Uncompleted</v>
      </c>
      <c r="S91" s="28">
        <f>COUNTA(Table2[[#This Row],[المؤهل]:[استمارة 111]])/12</f>
        <v>0</v>
      </c>
    </row>
    <row r="92" spans="2:19" ht="21.6" customHeight="1">
      <c r="B92" s="5"/>
      <c r="C92" s="5"/>
      <c r="D92" s="5"/>
      <c r="E92" s="5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7" t="str">
        <f>IF(COUNTA(Table2[[#This Row],[المؤهل]:[استمارة 111]])=12,"File is Completed","Uncompleted")</f>
        <v>Uncompleted</v>
      </c>
      <c r="S92" s="28">
        <f>COUNTA(Table2[[#This Row],[المؤهل]:[استمارة 111]])/12</f>
        <v>0</v>
      </c>
    </row>
    <row r="93" spans="2:19" ht="21.6" customHeight="1">
      <c r="B93" s="5"/>
      <c r="C93" s="5"/>
      <c r="D93" s="5"/>
      <c r="E93" s="5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7" t="str">
        <f>IF(COUNTA(Table2[[#This Row],[المؤهل]:[استمارة 111]])=12,"File is Completed","Uncompleted")</f>
        <v>Uncompleted</v>
      </c>
      <c r="S93" s="28">
        <f>COUNTA(Table2[[#This Row],[المؤهل]:[استمارة 111]])/12</f>
        <v>0</v>
      </c>
    </row>
    <row r="94" spans="2:19" ht="21.6" customHeight="1">
      <c r="B94" s="5"/>
      <c r="C94" s="5"/>
      <c r="D94" s="5"/>
      <c r="E94" s="5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7" t="str">
        <f>IF(COUNTA(Table2[[#This Row],[المؤهل]:[استمارة 111]])=12,"File is Completed","Uncompleted")</f>
        <v>Uncompleted</v>
      </c>
      <c r="S94" s="28">
        <f>COUNTA(Table2[[#This Row],[المؤهل]:[استمارة 111]])/12</f>
        <v>0</v>
      </c>
    </row>
    <row r="95" spans="2:19" ht="21.6" customHeight="1">
      <c r="B95" s="5"/>
      <c r="C95" s="5"/>
      <c r="D95" s="5"/>
      <c r="E95" s="5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7" t="str">
        <f>IF(COUNTA(Table2[[#This Row],[المؤهل]:[استمارة 111]])=12,"File is Completed","Uncompleted")</f>
        <v>Uncompleted</v>
      </c>
      <c r="S95" s="28">
        <f>COUNTA(Table2[[#This Row],[المؤهل]:[استمارة 111]])/12</f>
        <v>0</v>
      </c>
    </row>
    <row r="96" spans="2:19" ht="21.6" customHeight="1">
      <c r="B96" s="5"/>
      <c r="C96" s="5"/>
      <c r="D96" s="5"/>
      <c r="E96" s="5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7" t="str">
        <f>IF(COUNTA(Table2[[#This Row],[المؤهل]:[استمارة 111]])=12,"File is Completed","Uncompleted")</f>
        <v>Uncompleted</v>
      </c>
      <c r="S96" s="28">
        <f>COUNTA(Table2[[#This Row],[المؤهل]:[استمارة 111]])/12</f>
        <v>0</v>
      </c>
    </row>
    <row r="97" spans="2:19" ht="21.6" customHeight="1">
      <c r="B97" s="5"/>
      <c r="C97" s="5"/>
      <c r="D97" s="5"/>
      <c r="E97" s="5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7" t="str">
        <f>IF(COUNTA(Table2[[#This Row],[المؤهل]:[استمارة 111]])=12,"File is Completed","Uncompleted")</f>
        <v>Uncompleted</v>
      </c>
      <c r="S97" s="28">
        <f>COUNTA(Table2[[#This Row],[المؤهل]:[استمارة 111]])/12</f>
        <v>0</v>
      </c>
    </row>
    <row r="98" spans="2:19" ht="21.6" customHeight="1">
      <c r="B98" s="5"/>
      <c r="C98" s="5"/>
      <c r="D98" s="5"/>
      <c r="E98" s="5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7" t="str">
        <f>IF(COUNTA(Table2[[#This Row],[المؤهل]:[استمارة 111]])=12,"File is Completed","Uncompleted")</f>
        <v>Uncompleted</v>
      </c>
      <c r="S98" s="28">
        <f>COUNTA(Table2[[#This Row],[المؤهل]:[استمارة 111]])/12</f>
        <v>0</v>
      </c>
    </row>
    <row r="99" spans="2:19" ht="21.6" customHeight="1">
      <c r="B99" s="5"/>
      <c r="C99" s="5"/>
      <c r="D99" s="5"/>
      <c r="E99" s="5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7" t="str">
        <f>IF(COUNTA(Table2[[#This Row],[المؤهل]:[استمارة 111]])=12,"File is Completed","Uncompleted")</f>
        <v>Uncompleted</v>
      </c>
      <c r="S99" s="28">
        <f>COUNTA(Table2[[#This Row],[المؤهل]:[استمارة 111]])/12</f>
        <v>0</v>
      </c>
    </row>
    <row r="100" spans="2:19" ht="21.6" customHeight="1">
      <c r="B100" s="29"/>
      <c r="C100" s="29"/>
      <c r="D100" s="29"/>
      <c r="E100" s="29"/>
      <c r="F100" s="30">
        <f>SUBTOTAL(103,Table2[المؤهل])</f>
        <v>3</v>
      </c>
      <c r="G100" s="30">
        <f>SUBTOTAL(103,Table2[الميلاد])</f>
        <v>3</v>
      </c>
      <c r="H100" s="30">
        <f>SUBTOTAL(103,Table2[كعب عمل])</f>
        <v>3</v>
      </c>
      <c r="I100" s="30">
        <f>SUBTOTAL(103,Table2[التجنيد])</f>
        <v>3</v>
      </c>
      <c r="J100" s="30">
        <f>SUBTOTAL(103,Table2[التامينات])</f>
        <v>3</v>
      </c>
      <c r="K100" s="27">
        <f>SUBTOTAL(103,Table2[فيش جنائي])</f>
        <v>3</v>
      </c>
      <c r="L100" s="30">
        <f>SUBTOTAL(103,Table2[صور شخصية])</f>
        <v>3</v>
      </c>
      <c r="M100" s="30">
        <f>SUBTOTAL(103,Table2[عقد العمل])</f>
        <v>2</v>
      </c>
      <c r="N100" s="30">
        <f>SUBTOTAL(103,Table2[استمارة 1])</f>
        <v>3</v>
      </c>
      <c r="O100" s="30">
        <f>SUBTOTAL(103,Table2[تقييم الاداء])</f>
        <v>0</v>
      </c>
      <c r="P100" s="30">
        <f>SUBTOTAL(103,Table2[الحالة الاجتماعية])</f>
        <v>2</v>
      </c>
      <c r="Q100" s="30">
        <f>SUBTOTAL(103,Table2[استمارة 111])</f>
        <v>1</v>
      </c>
      <c r="R100" s="31"/>
      <c r="S100" s="32">
        <f>SUBTOTAL(101,Table2[Compliation Percentage])</f>
        <v>2.5438596491228073E-2</v>
      </c>
    </row>
  </sheetData>
  <mergeCells count="1">
    <mergeCell ref="B2:R2"/>
  </mergeCells>
  <conditionalFormatting sqref="F5:Q100">
    <cfRule type="cellIs" dxfId="79" priority="1" operator="equal">
      <formula>"ü"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H8"/>
  <sheetViews>
    <sheetView showGridLines="0" workbookViewId="0">
      <selection activeCell="I6" sqref="I6"/>
    </sheetView>
  </sheetViews>
  <sheetFormatPr defaultRowHeight="25.9" customHeight="1"/>
  <cols>
    <col min="1" max="1" width="1.21875" customWidth="1"/>
    <col min="2" max="2" width="8.77734375" customWidth="1"/>
    <col min="3" max="3" width="22.21875" customWidth="1"/>
    <col min="4" max="4" width="17.88671875" customWidth="1"/>
    <col min="5" max="5" width="11" customWidth="1"/>
    <col min="6" max="17" width="4.21875" customWidth="1"/>
    <col min="18" max="18" width="16.77734375" customWidth="1"/>
    <col min="19" max="19" width="9.88671875" hidden="1" customWidth="1"/>
    <col min="20" max="34" width="8.77734375" style="2"/>
  </cols>
  <sheetData>
    <row r="1" spans="2:33" ht="7.15" customHeight="1"/>
    <row r="2" spans="2:33" ht="57.6" customHeight="1">
      <c r="B2" s="41" t="s">
        <v>25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T2" s="14">
        <f>Table1[[#Totals],[Compilation Percentage]]</f>
        <v>0.58333333333333337</v>
      </c>
      <c r="U2" s="14">
        <f>1-T2</f>
        <v>0.41666666666666663</v>
      </c>
    </row>
    <row r="3" spans="2:33" ht="69" customHeight="1" thickBot="1">
      <c r="B3" s="23"/>
      <c r="C3" s="23"/>
      <c r="D3" s="24"/>
      <c r="E3" s="24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U3" s="2">
        <f ca="1">COUNTIF(Table1[Joining Date],"&gt;"&amp;TODAY())</f>
        <v>0</v>
      </c>
      <c r="X3" s="2">
        <f>COUNTA(Table1[Name])</f>
        <v>3</v>
      </c>
    </row>
    <row r="4" spans="2:33" ht="80.45" customHeight="1" thickTop="1">
      <c r="B4" s="16" t="s">
        <v>0</v>
      </c>
      <c r="C4" s="16" t="s">
        <v>1</v>
      </c>
      <c r="D4" s="16" t="s">
        <v>2</v>
      </c>
      <c r="E4" s="16" t="s">
        <v>3</v>
      </c>
      <c r="F4" s="17" t="s">
        <v>6</v>
      </c>
      <c r="G4" s="17" t="s">
        <v>7</v>
      </c>
      <c r="H4" s="17" t="s">
        <v>8</v>
      </c>
      <c r="I4" s="17" t="s">
        <v>9</v>
      </c>
      <c r="J4" s="17" t="s">
        <v>10</v>
      </c>
      <c r="K4" s="17" t="s">
        <v>5</v>
      </c>
      <c r="L4" s="17" t="s">
        <v>11</v>
      </c>
      <c r="M4" s="17" t="s">
        <v>12</v>
      </c>
      <c r="N4" s="17" t="s">
        <v>13</v>
      </c>
      <c r="O4" s="17" t="s">
        <v>14</v>
      </c>
      <c r="P4" s="17" t="s">
        <v>4</v>
      </c>
      <c r="Q4" s="17" t="s">
        <v>15</v>
      </c>
      <c r="R4" s="16" t="s">
        <v>18</v>
      </c>
      <c r="S4" s="20" t="s">
        <v>27</v>
      </c>
      <c r="V4" s="2" t="s">
        <v>6</v>
      </c>
      <c r="W4" s="2" t="s">
        <v>7</v>
      </c>
      <c r="X4" s="2" t="s">
        <v>8</v>
      </c>
      <c r="Y4" s="2" t="s">
        <v>9</v>
      </c>
      <c r="Z4" s="2" t="s">
        <v>10</v>
      </c>
      <c r="AA4" s="2" t="s">
        <v>5</v>
      </c>
      <c r="AB4" s="2" t="s">
        <v>11</v>
      </c>
      <c r="AC4" s="2" t="s">
        <v>12</v>
      </c>
      <c r="AD4" s="2" t="s">
        <v>13</v>
      </c>
      <c r="AE4" s="2" t="s">
        <v>14</v>
      </c>
      <c r="AF4" s="2" t="s">
        <v>4</v>
      </c>
      <c r="AG4" s="2" t="s">
        <v>15</v>
      </c>
    </row>
    <row r="5" spans="2:33" ht="25.9" customHeight="1">
      <c r="B5" s="1">
        <v>12310</v>
      </c>
      <c r="C5" s="1" t="s">
        <v>19</v>
      </c>
      <c r="D5" s="1" t="s">
        <v>20</v>
      </c>
      <c r="E5" s="19">
        <v>43941</v>
      </c>
      <c r="F5" s="18" t="s">
        <v>16</v>
      </c>
      <c r="G5" s="18" t="s">
        <v>16</v>
      </c>
      <c r="H5" s="18" t="s">
        <v>16</v>
      </c>
      <c r="I5" s="18" t="s">
        <v>16</v>
      </c>
      <c r="J5" s="18" t="s">
        <v>16</v>
      </c>
      <c r="K5" s="18" t="s">
        <v>16</v>
      </c>
      <c r="L5" s="18" t="s">
        <v>16</v>
      </c>
      <c r="M5" s="18" t="s">
        <v>16</v>
      </c>
      <c r="N5" s="18" t="s">
        <v>16</v>
      </c>
      <c r="O5" s="18" t="s">
        <v>16</v>
      </c>
      <c r="P5" s="18" t="s">
        <v>16</v>
      </c>
      <c r="Q5" s="18" t="s">
        <v>16</v>
      </c>
      <c r="R5" s="1" t="str">
        <f>IF(COUNTA(F5:Q7)=12,"File is Completed","Uncompleted")</f>
        <v>Uncompleted</v>
      </c>
      <c r="S5" s="21">
        <f t="shared" ref="S5:S6" si="0">COUNTA(F5:Q5)/12</f>
        <v>1</v>
      </c>
      <c r="V5" s="15">
        <f>Table1[[#Totals],[CV]]/$X$3</f>
        <v>0.66666666666666663</v>
      </c>
      <c r="W5" s="15">
        <f>Table1[[#Totals],[Rec. Approval]]/$X$3</f>
        <v>0.33333333333333331</v>
      </c>
      <c r="X5" s="15">
        <f>Table1[[#Totals],[Interview Sheet]]/$X$3</f>
        <v>1</v>
      </c>
      <c r="Y5" s="15">
        <f>Table1[[#Totals],[Offer]]/$X$3</f>
        <v>0.33333333333333331</v>
      </c>
      <c r="Z5" s="15">
        <f>Table1[[#Totals],[Education Cer.]]/$X$3</f>
        <v>0.66666666666666663</v>
      </c>
      <c r="AA5" s="15">
        <f>Table1[[#Totals],[ID]]/$X$3</f>
        <v>0.33333333333333331</v>
      </c>
      <c r="AB5" s="15">
        <f>Table1[[#Totals],[Family ID]]/$X$3</f>
        <v>1</v>
      </c>
      <c r="AC5" s="15">
        <f>Table1[[#Totals],[Medical Test]]/$X$3</f>
        <v>0.33333333333333331</v>
      </c>
      <c r="AD5" s="15">
        <f>Table1[[#Totals],[Photos]]/$X$3</f>
        <v>0.66666666666666663</v>
      </c>
      <c r="AE5" s="15">
        <f>Table1[[#Totals],[Joining]]/$X$3</f>
        <v>0.66666666666666663</v>
      </c>
      <c r="AF5" s="15">
        <f>Table1[[#Totals],[Contract]]/$X$3</f>
        <v>0.66666666666666663</v>
      </c>
      <c r="AG5" s="15">
        <f>Table1[[#Totals],[IBAN]]/$X$3</f>
        <v>0.33333333333333331</v>
      </c>
    </row>
    <row r="6" spans="2:33" ht="25.9" customHeight="1">
      <c r="B6" s="1">
        <v>3995</v>
      </c>
      <c r="C6" s="1" t="s">
        <v>26</v>
      </c>
      <c r="D6" s="1" t="s">
        <v>21</v>
      </c>
      <c r="E6" s="19">
        <v>43939</v>
      </c>
      <c r="F6" s="18"/>
      <c r="G6" s="18"/>
      <c r="H6" s="18" t="s">
        <v>16</v>
      </c>
      <c r="I6" s="18"/>
      <c r="J6" s="18" t="s">
        <v>16</v>
      </c>
      <c r="K6" s="18"/>
      <c r="L6" s="18" t="s">
        <v>16</v>
      </c>
      <c r="M6" s="18"/>
      <c r="N6" s="18" t="s">
        <v>16</v>
      </c>
      <c r="O6" s="18"/>
      <c r="P6" s="18" t="s">
        <v>16</v>
      </c>
      <c r="Q6" s="18"/>
      <c r="R6" s="1" t="str">
        <f>IF(COUNTA(F6:Q8)=12,"File is Completed","Uncompleted")</f>
        <v>Uncompleted</v>
      </c>
      <c r="S6" s="21">
        <f t="shared" si="0"/>
        <v>0.41666666666666669</v>
      </c>
    </row>
    <row r="7" spans="2:33" ht="25.9" customHeight="1">
      <c r="B7" s="1">
        <v>9940</v>
      </c>
      <c r="C7" s="1" t="s">
        <v>28</v>
      </c>
      <c r="D7" s="1" t="s">
        <v>24</v>
      </c>
      <c r="E7" s="19">
        <v>43938</v>
      </c>
      <c r="F7" s="18" t="s">
        <v>16</v>
      </c>
      <c r="G7" s="18"/>
      <c r="H7" s="18" t="s">
        <v>16</v>
      </c>
      <c r="I7" s="18"/>
      <c r="J7" s="18"/>
      <c r="K7" s="18"/>
      <c r="L7" s="18" t="s">
        <v>16</v>
      </c>
      <c r="M7" s="18"/>
      <c r="N7" s="18"/>
      <c r="O7" s="18" t="s">
        <v>16</v>
      </c>
      <c r="P7" s="18"/>
      <c r="Q7" s="18"/>
      <c r="R7" s="1" t="str">
        <f>IF(COUNTA(F7:Q9)=12,"File is Completed","Uncompleted")</f>
        <v>Uncompleted</v>
      </c>
      <c r="S7" s="21">
        <f>COUNTA(F7:Q7)/12</f>
        <v>0.33333333333333331</v>
      </c>
    </row>
    <row r="8" spans="2:33" ht="25.9" customHeight="1">
      <c r="B8" s="22"/>
      <c r="C8" s="22"/>
      <c r="D8" s="22"/>
      <c r="E8" s="22"/>
      <c r="F8" s="26">
        <f>SUBTOTAL(103,Table1[CV])</f>
        <v>2</v>
      </c>
      <c r="G8" s="26">
        <f>SUBTOTAL(103,Table1[Rec. Approval])</f>
        <v>1</v>
      </c>
      <c r="H8" s="26">
        <f>SUBTOTAL(103,Table1[Interview Sheet])</f>
        <v>3</v>
      </c>
      <c r="I8" s="26">
        <f>SUBTOTAL(103,Table1[Offer])</f>
        <v>1</v>
      </c>
      <c r="J8" s="26">
        <f>SUBTOTAL(103,Table1[Education Cer.])</f>
        <v>2</v>
      </c>
      <c r="K8" s="26">
        <f>SUBTOTAL(103,Table1[ID])</f>
        <v>1</v>
      </c>
      <c r="L8" s="26">
        <f>SUBTOTAL(103,Table1[Family ID])</f>
        <v>3</v>
      </c>
      <c r="M8" s="26">
        <f>SUBTOTAL(103,Table1[Medical Test])</f>
        <v>1</v>
      </c>
      <c r="N8" s="26">
        <f>SUBTOTAL(103,Table1[Photos])</f>
        <v>2</v>
      </c>
      <c r="O8" s="26">
        <f>SUBTOTAL(103,Table1[Joining])</f>
        <v>2</v>
      </c>
      <c r="P8" s="26">
        <f>SUBTOTAL(103,Table1[Contract])</f>
        <v>2</v>
      </c>
      <c r="Q8" s="26">
        <f>SUBTOTAL(103,Table1[IBAN])</f>
        <v>1</v>
      </c>
      <c r="R8" s="22"/>
      <c r="S8" s="25">
        <f>SUBTOTAL(101,Table1[Compilation Percentage])</f>
        <v>0.58333333333333337</v>
      </c>
    </row>
  </sheetData>
  <mergeCells count="1">
    <mergeCell ref="B2:R2"/>
  </mergeCells>
  <conditionalFormatting sqref="F5:Q8">
    <cfRule type="cellIs" dxfId="57" priority="1" operator="equal">
      <formula>"ü"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  <Status xmlns="71af3243-3dd4-4a8d-8c0d-dd76da1f02a5">Not started</Statu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a754d229f0057affa62b555f2ac55d44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c067517bd06b16cb9c9e315ad40fb255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031620-0CD8-4AAE-8EC6-436B3D62EE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85DAC3-5577-4F92-BC50-C73326E4E765}">
  <ds:schemaRefs>
    <ds:schemaRef ds:uri="71af3243-3dd4-4a8d-8c0d-dd76da1f02a5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16c05727-aa75-4e4a-9b5f-8a80a1165891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16DA176-6B9F-4034-AF79-8F915457D6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2019-06-20T11:23:19Z</dcterms:created>
  <dcterms:modified xsi:type="dcterms:W3CDTF">2022-03-01T07:42:05Z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