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20640" windowHeight="11640" activeTab="2"/>
  </bookViews>
  <sheets>
    <sheet name="Data" sheetId="1" r:id="rId1"/>
    <sheet name="Employees Lsit" sheetId="2" r:id="rId2"/>
    <sheet name="Sheet1" sheetId="4" r:id="rId3"/>
  </sheets>
  <definedNames>
    <definedName name="EmployeeBadeg">EmployeeList[Employee'#]</definedName>
    <definedName name="IDSList">EmployeeList[Employee'#]</definedName>
    <definedName name="_xlnm.Print_Area" localSheetId="0">Data!$I$2:$L$18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4" l="1"/>
  <c r="AW12" i="4"/>
  <c r="AB6" i="4"/>
  <c r="AW7" i="4" s="1"/>
  <c r="AW18" i="4" s="1"/>
  <c r="G6" i="4"/>
  <c r="O6" i="4" s="1"/>
  <c r="AL4" i="4"/>
  <c r="AB4" i="4"/>
  <c r="O4" i="4"/>
  <c r="AX18" i="4" l="1"/>
  <c r="F21" i="4" s="1"/>
  <c r="H20" i="4" s="1"/>
  <c r="I20" i="4" s="1"/>
  <c r="AY18" i="4"/>
  <c r="F25" i="4" s="1"/>
  <c r="AZ18" i="4"/>
  <c r="F29" i="4" s="1"/>
  <c r="H31" i="4" s="1"/>
  <c r="I31" i="4" s="1"/>
  <c r="AW23" i="4"/>
  <c r="AY7" i="4"/>
  <c r="L11" i="4" s="1"/>
  <c r="AX7" i="4"/>
  <c r="E11" i="4" s="1"/>
  <c r="BB7" i="4"/>
  <c r="AG11" i="4" s="1"/>
  <c r="BA7" i="4"/>
  <c r="AZ7" i="4"/>
  <c r="S11" i="4" l="1"/>
  <c r="AH21" i="4"/>
  <c r="H23" i="4"/>
  <c r="I23" i="4" s="1"/>
  <c r="H27" i="4"/>
  <c r="I27" i="4" s="1"/>
  <c r="AH25" i="4"/>
  <c r="AZ23" i="4"/>
  <c r="Q29" i="4" s="1"/>
  <c r="AY23" i="4"/>
  <c r="AX23" i="4"/>
  <c r="Q21" i="4" s="1"/>
  <c r="S20" i="4" s="1"/>
  <c r="T20" i="4" s="1"/>
  <c r="AZ8" i="4"/>
  <c r="S14" i="4" s="1"/>
  <c r="V13" i="4" s="1"/>
  <c r="Z11" i="4"/>
  <c r="BA8" i="4"/>
  <c r="Z14" i="4" s="1"/>
  <c r="AC13" i="4" s="1"/>
  <c r="AX8" i="4"/>
  <c r="E14" i="4" s="1"/>
  <c r="H13" i="4" s="1"/>
  <c r="BB8" i="4"/>
  <c r="AG14" i="4" s="1"/>
  <c r="AJ13" i="4" s="1"/>
  <c r="AY8" i="4"/>
  <c r="L14" i="4" s="1"/>
  <c r="O13" i="4" s="1"/>
  <c r="Q25" i="4" l="1"/>
  <c r="S23" i="4" s="1"/>
  <c r="T23" i="4" s="1"/>
  <c r="AH29" i="4"/>
  <c r="S31" i="4"/>
  <c r="T31" i="4" s="1"/>
  <c r="S27" i="4" l="1"/>
  <c r="T27" i="4" s="1"/>
</calcChain>
</file>

<file path=xl/sharedStrings.xml><?xml version="1.0" encoding="utf-8"?>
<sst xmlns="http://schemas.openxmlformats.org/spreadsheetml/2006/main" count="144" uniqueCount="61">
  <si>
    <t>90th
Upper decile</t>
  </si>
  <si>
    <t>75th
Upper quartile</t>
  </si>
  <si>
    <t>50th
Median</t>
  </si>
  <si>
    <t>25th
Lower quartile</t>
  </si>
  <si>
    <t>10th
Lower decile</t>
  </si>
  <si>
    <t>Level</t>
  </si>
  <si>
    <t>Salary Benchmark (Basic) - External</t>
  </si>
  <si>
    <t>Median</t>
  </si>
  <si>
    <t>Min</t>
  </si>
  <si>
    <t>Max</t>
  </si>
  <si>
    <t>Salary Benchmark (Basic) - Internal</t>
  </si>
  <si>
    <t>Salary Scale</t>
  </si>
  <si>
    <t>Name</t>
  </si>
  <si>
    <t>Employee#</t>
  </si>
  <si>
    <t>Position</t>
  </si>
  <si>
    <t>Department</t>
  </si>
  <si>
    <t>DOJ</t>
  </si>
  <si>
    <t>Basic Salary</t>
  </si>
  <si>
    <t>90th Upper decile</t>
  </si>
  <si>
    <t>75th Upper quartile</t>
  </si>
  <si>
    <t>50th Median</t>
  </si>
  <si>
    <t>25th Lower quartile</t>
  </si>
  <si>
    <t>10th Lower decile</t>
  </si>
  <si>
    <t>Employee Badge</t>
  </si>
  <si>
    <t>Basic</t>
  </si>
  <si>
    <t>Tenure</t>
  </si>
  <si>
    <t>External</t>
  </si>
  <si>
    <t>Mid</t>
  </si>
  <si>
    <t>â</t>
  </si>
  <si>
    <t>á</t>
  </si>
  <si>
    <t>Internal</t>
  </si>
  <si>
    <t>Difference from Median</t>
  </si>
  <si>
    <t>Date of Joinig</t>
  </si>
  <si>
    <t>Salary Benchmark (External)</t>
  </si>
  <si>
    <t>Salary Benchmark (Internal)</t>
  </si>
  <si>
    <t>فني تكسير</t>
  </si>
  <si>
    <t>فني تجليد</t>
  </si>
  <si>
    <t>فني لصق يدوي</t>
  </si>
  <si>
    <t>فني طباعة</t>
  </si>
  <si>
    <t>مساعد تجليد</t>
  </si>
  <si>
    <t>مساعد طباعة</t>
  </si>
  <si>
    <t>امين مخزن</t>
  </si>
  <si>
    <t>مساعد تكسير</t>
  </si>
  <si>
    <t>مدير انتاج</t>
  </si>
  <si>
    <t>خدمات</t>
  </si>
  <si>
    <t>مدير تصميمات</t>
  </si>
  <si>
    <t>مصمم جرافيك</t>
  </si>
  <si>
    <t>خدمة عملاء</t>
  </si>
  <si>
    <t>مدير موارد بشرية</t>
  </si>
  <si>
    <t>مدير حسابات</t>
  </si>
  <si>
    <t>مدير مخازن</t>
  </si>
  <si>
    <t>محاسب اول</t>
  </si>
  <si>
    <t>محاسب ثان</t>
  </si>
  <si>
    <t>مراقب مخزون</t>
  </si>
  <si>
    <t>مشتريات</t>
  </si>
  <si>
    <t>اخصائي موارد بشرية</t>
  </si>
  <si>
    <t>سائق درجة ثانية</t>
  </si>
  <si>
    <t>سائق درجة ثالثة</t>
  </si>
  <si>
    <t>فني لصق الي</t>
  </si>
  <si>
    <t>مساعد لصق</t>
  </si>
  <si>
    <t>Salary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</si>
</sst>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11"/>
      <color theme="1"/>
      <name val="Wingdings"/>
      <charset val="2"/>
    </font>
    <font>
      <sz val="11"/>
      <color rgb="FFC00000"/>
      <name val="Wingdings"/>
      <charset val="2"/>
    </font>
    <font>
      <sz val="11"/>
      <color theme="7"/>
      <name val="Wingdings"/>
      <charset val="2"/>
    </font>
    <font>
      <i/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1" tint="0.499984740745262"/>
      <name val="Agency FB"/>
      <family val="2"/>
    </font>
    <font>
      <sz val="11"/>
      <color rgb="FF00B050"/>
      <name val="Wingdings"/>
      <charset val="2"/>
    </font>
    <font>
      <sz val="8"/>
      <color theme="1"/>
      <name val="Calibri"/>
      <family val="2"/>
    </font>
    <font>
      <b/>
      <sz val="11"/>
      <color theme="6"/>
      <name val="Agency FB"/>
      <family val="2"/>
    </font>
    <font>
      <b/>
      <sz val="11"/>
      <color theme="7"/>
      <name val="Agency FB"/>
      <family val="2"/>
    </font>
    <font>
      <sz val="20"/>
      <color theme="0"/>
      <name val="Calibri"/>
      <family val="2"/>
    </font>
    <font>
      <b/>
      <sz val="11"/>
      <color rgb="FF0070C0"/>
      <name val="Calibri"/>
      <family val="2"/>
    </font>
    <font>
      <b/>
      <sz val="11"/>
      <color theme="1" tint="0.34998626667073579"/>
      <name val="Agency FB"/>
      <family val="2"/>
    </font>
    <font>
      <sz val="11"/>
      <color theme="3" tint="0.39997558519241921"/>
      <name val="Wingdings"/>
      <charset val="2"/>
    </font>
    <font>
      <sz val="11"/>
      <color theme="3" tint="0.59999389629810485"/>
      <name val="Wingdings"/>
      <charset val="2"/>
    </font>
    <font>
      <sz val="11"/>
      <color theme="6"/>
      <name val="Wingdings"/>
      <charset val="2"/>
    </font>
    <font>
      <sz val="11"/>
      <color rgb="FFDB5B6D"/>
      <name val="Wingdings"/>
      <charset val="2"/>
    </font>
    <font>
      <sz val="12"/>
      <color theme="0"/>
      <name val="Calibri"/>
      <family val="2"/>
    </font>
    <font>
      <b/>
      <sz val="10"/>
      <color theme="1" tint="0.499984740745262"/>
      <name val="Agency FB"/>
      <family val="2"/>
    </font>
    <font>
      <b/>
      <sz val="11"/>
      <color theme="3" tint="0.39997558519241921"/>
      <name val="Agency FB"/>
      <family val="2"/>
    </font>
    <font>
      <b/>
      <sz val="11"/>
      <color rgb="FFDB5B6D"/>
      <name val="Agency FB"/>
      <family val="2"/>
    </font>
    <font>
      <b/>
      <sz val="16"/>
      <color theme="1"/>
      <name val="Agency FB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24439"/>
        <bgColor indexed="64"/>
      </patternFill>
    </fill>
    <fill>
      <patternFill patternType="solid">
        <fgColor rgb="FF435B4E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43" fontId="0" fillId="0" borderId="0" xfId="1" applyFont="1" applyAlignment="1">
      <alignment horizontal="left" vertical="center"/>
    </xf>
    <xf numFmtId="0" fontId="6" fillId="0" borderId="0" xfId="0" applyFont="1" applyBorder="1"/>
    <xf numFmtId="0" fontId="7" fillId="0" borderId="0" xfId="0" applyFont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2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0" xfId="0" applyFont="1" applyBorder="1"/>
    <xf numFmtId="0" fontId="18" fillId="0" borderId="0" xfId="0" applyFont="1" applyBorder="1"/>
    <xf numFmtId="0" fontId="19" fillId="0" borderId="0" xfId="0" applyFont="1" applyBorder="1"/>
    <xf numFmtId="0" fontId="20" fillId="0" borderId="0" xfId="0" applyFont="1" applyBorder="1"/>
    <xf numFmtId="0" fontId="21" fillId="0" borderId="0" xfId="0" applyFont="1" applyBorder="1"/>
    <xf numFmtId="0" fontId="0" fillId="0" borderId="22" xfId="0" applyBorder="1"/>
    <xf numFmtId="0" fontId="12" fillId="0" borderId="23" xfId="0" applyFont="1" applyBorder="1"/>
    <xf numFmtId="0" fontId="12" fillId="0" borderId="0" xfId="0" applyFont="1" applyBorder="1"/>
    <xf numFmtId="3" fontId="23" fillId="0" borderId="0" xfId="0" applyNumberFormat="1" applyFont="1" applyBorder="1"/>
    <xf numFmtId="3" fontId="23" fillId="0" borderId="22" xfId="0" applyNumberFormat="1" applyFont="1" applyBorder="1"/>
    <xf numFmtId="0" fontId="11" fillId="0" borderId="4" xfId="0" applyFont="1" applyBorder="1"/>
    <xf numFmtId="0" fontId="0" fillId="0" borderId="4" xfId="0" applyBorder="1"/>
    <xf numFmtId="0" fontId="7" fillId="0" borderId="4" xfId="0" applyFont="1" applyBorder="1"/>
    <xf numFmtId="3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3" fontId="0" fillId="0" borderId="24" xfId="0" applyNumberFormat="1" applyFont="1" applyBorder="1" applyAlignment="1">
      <alignment horizontal="center" vertical="center"/>
    </xf>
    <xf numFmtId="3" fontId="0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10" borderId="26" xfId="0" applyNumberFormat="1" applyFill="1" applyBorder="1" applyAlignment="1">
      <alignment horizontal="center"/>
    </xf>
    <xf numFmtId="3" fontId="0" fillId="0" borderId="24" xfId="0" applyNumberFormat="1" applyFill="1" applyBorder="1" applyAlignment="1">
      <alignment horizontal="center" vertical="center"/>
    </xf>
    <xf numFmtId="3" fontId="0" fillId="0" borderId="27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3" fontId="16" fillId="0" borderId="19" xfId="0" applyNumberFormat="1" applyFont="1" applyBorder="1" applyAlignment="1">
      <alignment horizontal="left" vertical="center"/>
    </xf>
    <xf numFmtId="3" fontId="16" fillId="0" borderId="20" xfId="0" applyNumberFormat="1" applyFont="1" applyBorder="1" applyAlignment="1">
      <alignment horizontal="left" vertical="center"/>
    </xf>
    <xf numFmtId="3" fontId="16" fillId="0" borderId="21" xfId="0" applyNumberFormat="1" applyFont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4" fontId="16" fillId="0" borderId="19" xfId="0" applyNumberFormat="1" applyFont="1" applyBorder="1" applyAlignment="1">
      <alignment horizontal="left" vertical="center"/>
    </xf>
    <xf numFmtId="14" fontId="16" fillId="0" borderId="20" xfId="0" applyNumberFormat="1" applyFont="1" applyBorder="1" applyAlignment="1">
      <alignment horizontal="left" vertical="center"/>
    </xf>
    <xf numFmtId="14" fontId="16" fillId="0" borderId="21" xfId="0" applyNumberFormat="1" applyFont="1" applyBorder="1" applyAlignment="1">
      <alignment horizontal="left" vertical="center"/>
    </xf>
    <xf numFmtId="3" fontId="23" fillId="0" borderId="0" xfId="0" applyNumberFormat="1" applyFont="1" applyBorder="1" applyAlignment="1">
      <alignment horizontal="center"/>
    </xf>
    <xf numFmtId="3" fontId="23" fillId="0" borderId="22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26" fillId="0" borderId="3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3" fontId="25" fillId="0" borderId="0" xfId="0" applyNumberFormat="1" applyFont="1" applyBorder="1" applyAlignment="1">
      <alignment horizontal="center"/>
    </xf>
    <xf numFmtId="0" fontId="22" fillId="2" borderId="0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4">
    <dxf>
      <font>
        <color theme="7"/>
      </font>
      <fill>
        <patternFill patternType="none">
          <bgColor auto="1"/>
        </patternFill>
      </fill>
    </dxf>
    <dxf>
      <font>
        <color rgb="FFDB5B6D"/>
      </font>
    </dxf>
    <dxf>
      <fill>
        <patternFill>
          <bgColor rgb="FFFFAFBE"/>
        </patternFill>
      </fill>
    </dxf>
    <dxf>
      <font>
        <color theme="0"/>
      </font>
      <fill>
        <patternFill>
          <bgColor theme="6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7"/>
        </patternFill>
      </fill>
    </dxf>
    <dxf>
      <fill>
        <patternFill>
          <bgColor rgb="FFFFAFBE"/>
        </patternFill>
      </fill>
    </dxf>
    <dxf>
      <font>
        <color theme="0"/>
      </font>
      <fill>
        <patternFill>
          <bgColor theme="6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7"/>
        </patternFill>
      </fill>
    </dxf>
    <dxf>
      <font>
        <color theme="1" tint="0.499984740745262"/>
      </font>
      <fill>
        <patternFill>
          <bgColor rgb="FFFFBDCA"/>
        </patternFill>
      </fill>
    </dxf>
    <dxf>
      <font>
        <color theme="1" tint="0.499984740745262"/>
      </font>
      <fill>
        <patternFill>
          <bgColor theme="6" tint="0.59996337778862885"/>
        </patternFill>
      </fill>
    </dxf>
    <dxf>
      <font>
        <color theme="1" tint="0.499984740745262"/>
      </font>
      <fill>
        <patternFill>
          <bgColor theme="3" tint="0.7999816888943144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7"/>
        </patternFill>
      </fill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B5B6D"/>
      <color rgb="FFFFAFBE"/>
      <color rgb="FFFFBDCA"/>
      <color rgb="FF435B4E"/>
      <color rgb="FF324439"/>
      <color rgb="FFE9CDCD"/>
      <color rgb="FFF5F0AD"/>
      <color rgb="FFECCCCC"/>
      <color rgb="FFFFD9E0"/>
      <color rgb="FF3549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External" displayName="External" ref="B3:G28" totalsRowShown="0" headerRowDxfId="43" dataDxfId="42">
  <autoFilter ref="B3:G28"/>
  <tableColumns count="6">
    <tableColumn id="1" name="Level" dataDxfId="41"/>
    <tableColumn id="2" name="90th_x000a_Upper decile" dataDxfId="40"/>
    <tableColumn id="3" name="75th_x000a_Upper quartile" dataDxfId="39"/>
    <tableColumn id="4" name="50th_x000a_Median" dataDxfId="38"/>
    <tableColumn id="5" name="25th_x000a_Lower quartile" dataDxfId="37"/>
    <tableColumn id="6" name="10th_x000a_Lower decile" dataDxfId="36"/>
  </tableColumns>
  <tableStyleInfo name="TableStyleLight14" showFirstColumn="0" showLastColumn="0" showRowStripes="1" showColumnStripes="1"/>
</table>
</file>

<file path=xl/tables/table2.xml><?xml version="1.0" encoding="utf-8"?>
<table xmlns="http://schemas.openxmlformats.org/spreadsheetml/2006/main" id="2" name="Internal" displayName="Internal" ref="I3:L28" totalsRowShown="0" headerRowDxfId="35" dataDxfId="34">
  <autoFilter ref="I3:L28"/>
  <tableColumns count="4">
    <tableColumn id="1" name="Level" dataDxfId="33"/>
    <tableColumn id="2" name="Max" dataDxfId="32"/>
    <tableColumn id="3" name="Median" dataDxfId="31"/>
    <tableColumn id="4" name="Min" dataDxfId="30"/>
  </tableColumns>
  <tableStyleInfo name="TableStyleLight13" showFirstColumn="0" showLastColumn="0" showRowStripes="1" showColumnStripes="1"/>
</table>
</file>

<file path=xl/tables/table3.xml><?xml version="1.0" encoding="utf-8"?>
<table xmlns="http://schemas.openxmlformats.org/spreadsheetml/2006/main" id="4" name="salary_Scale" displayName="salary_Scale" ref="N3:Q28" totalsRowShown="0" headerRowDxfId="29" dataDxfId="28">
  <autoFilter ref="N3:Q28"/>
  <tableColumns count="4">
    <tableColumn id="1" name="Level" dataDxfId="27"/>
    <tableColumn id="2" name="Max" dataDxfId="26"/>
    <tableColumn id="3" name="Median" dataDxfId="25"/>
    <tableColumn id="4" name="Min" dataDxfId="24"/>
  </tableColumns>
  <tableStyleInfo name="TableStyleLight12" showFirstColumn="0" showLastColumn="0" showRowStripes="1" showColumnStripes="1"/>
</table>
</file>

<file path=xl/tables/table4.xml><?xml version="1.0" encoding="utf-8"?>
<table xmlns="http://schemas.openxmlformats.org/spreadsheetml/2006/main" id="5" name="EmployeeList" displayName="EmployeeList" ref="A1:G66" totalsRowShown="0" headerRowDxfId="23" dataDxfId="22">
  <autoFilter ref="A1:G66"/>
  <tableColumns count="7">
    <tableColumn id="1" name="Employee#" dataDxfId="21"/>
    <tableColumn id="2" name="Name" dataDxfId="20"/>
    <tableColumn id="3" name="Position" dataDxfId="19"/>
    <tableColumn id="4" name="Department" dataDxfId="18"/>
    <tableColumn id="5" name="DOJ" dataDxfId="17"/>
    <tableColumn id="7" name="Level" dataDxfId="16"/>
    <tableColumn id="6" name="Basic Salary" dataDxfId="15" dataCellStyle="Comma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8"/>
  <sheetViews>
    <sheetView showGridLines="0" topLeftCell="F1" workbookViewId="0">
      <selection activeCell="N21" sqref="N21"/>
    </sheetView>
  </sheetViews>
  <sheetFormatPr defaultRowHeight="26.25" customHeight="1" x14ac:dyDescent="0.25"/>
  <cols>
    <col min="1" max="1" width="3.85546875" customWidth="1"/>
    <col min="2" max="2" width="16" style="2" bestFit="1" customWidth="1"/>
    <col min="3" max="7" width="16.7109375" style="2" customWidth="1"/>
    <col min="8" max="8" width="3.85546875" style="2" customWidth="1"/>
    <col min="9" max="9" width="16" style="2" bestFit="1" customWidth="1"/>
    <col min="10" max="12" width="16.7109375" style="2" customWidth="1"/>
    <col min="13" max="13" width="3.85546875" style="2" customWidth="1"/>
    <col min="14" max="14" width="16" style="2" bestFit="1" customWidth="1"/>
    <col min="15" max="17" width="16.7109375" style="2" customWidth="1"/>
  </cols>
  <sheetData>
    <row r="2" spans="2:19" ht="26.25" customHeight="1" x14ac:dyDescent="0.25">
      <c r="B2" s="49" t="s">
        <v>6</v>
      </c>
      <c r="C2" s="49"/>
      <c r="D2" s="49"/>
      <c r="E2" s="49"/>
      <c r="F2" s="49"/>
      <c r="G2" s="49"/>
      <c r="I2" s="50" t="s">
        <v>10</v>
      </c>
      <c r="J2" s="50"/>
      <c r="K2" s="50"/>
      <c r="L2" s="50"/>
      <c r="N2" s="51" t="s">
        <v>11</v>
      </c>
      <c r="O2" s="51"/>
      <c r="P2" s="51"/>
      <c r="Q2" s="51"/>
    </row>
    <row r="3" spans="2:19" ht="26.25" customHeight="1" x14ac:dyDescent="0.25">
      <c r="B3" s="2" t="s">
        <v>5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I3" s="2" t="s">
        <v>5</v>
      </c>
      <c r="J3" s="2" t="s">
        <v>9</v>
      </c>
      <c r="K3" s="2" t="s">
        <v>7</v>
      </c>
      <c r="L3" s="2" t="s">
        <v>8</v>
      </c>
      <c r="N3" s="2" t="s">
        <v>5</v>
      </c>
      <c r="O3" s="2" t="s">
        <v>9</v>
      </c>
      <c r="P3" s="2" t="s">
        <v>7</v>
      </c>
      <c r="Q3" s="2" t="s">
        <v>8</v>
      </c>
    </row>
    <row r="4" spans="2:19" ht="26.25" customHeight="1" x14ac:dyDescent="0.25">
      <c r="B4" s="4" t="s">
        <v>43</v>
      </c>
      <c r="C4" s="5">
        <v>11000</v>
      </c>
      <c r="D4" s="41">
        <v>10500</v>
      </c>
      <c r="E4" s="5">
        <v>10000</v>
      </c>
      <c r="F4" s="5">
        <v>9000</v>
      </c>
      <c r="G4" s="5">
        <v>8000</v>
      </c>
      <c r="H4" s="5"/>
      <c r="I4" s="4" t="s">
        <v>43</v>
      </c>
      <c r="J4" s="5">
        <v>11300</v>
      </c>
      <c r="K4" s="5">
        <v>10000</v>
      </c>
      <c r="L4" s="5">
        <v>8500</v>
      </c>
      <c r="M4" s="6"/>
      <c r="N4" s="4" t="s">
        <v>43</v>
      </c>
      <c r="O4" s="5">
        <v>12000</v>
      </c>
      <c r="P4" s="5">
        <v>11000</v>
      </c>
      <c r="Q4" s="5">
        <v>9000</v>
      </c>
      <c r="S4" s="1"/>
    </row>
    <row r="5" spans="2:19" ht="26.25" customHeight="1" x14ac:dyDescent="0.25">
      <c r="B5" s="4" t="s">
        <v>49</v>
      </c>
      <c r="C5" s="5">
        <v>10000</v>
      </c>
      <c r="D5" s="41">
        <v>8500</v>
      </c>
      <c r="E5" s="5">
        <v>7500</v>
      </c>
      <c r="F5" s="5">
        <v>7000</v>
      </c>
      <c r="G5" s="5">
        <v>6000</v>
      </c>
      <c r="H5" s="5"/>
      <c r="I5" s="4" t="s">
        <v>49</v>
      </c>
      <c r="J5" s="5">
        <v>7770</v>
      </c>
      <c r="K5" s="5">
        <v>7000</v>
      </c>
      <c r="L5" s="5">
        <v>6000</v>
      </c>
      <c r="M5" s="6"/>
      <c r="N5" s="4" t="s">
        <v>49</v>
      </c>
      <c r="O5" s="5">
        <v>8000</v>
      </c>
      <c r="P5" s="5">
        <v>7000</v>
      </c>
      <c r="Q5" s="5">
        <v>6500</v>
      </c>
      <c r="S5" s="1"/>
    </row>
    <row r="6" spans="2:19" ht="26.25" customHeight="1" x14ac:dyDescent="0.25">
      <c r="B6" s="4" t="s">
        <v>48</v>
      </c>
      <c r="C6" s="5">
        <v>15000</v>
      </c>
      <c r="D6" s="41">
        <v>12000</v>
      </c>
      <c r="E6" s="5">
        <v>10000</v>
      </c>
      <c r="F6" s="5">
        <v>9000</v>
      </c>
      <c r="G6" s="5">
        <v>8500</v>
      </c>
      <c r="H6" s="5"/>
      <c r="I6" s="4" t="s">
        <v>48</v>
      </c>
      <c r="J6" s="5"/>
      <c r="K6" s="5"/>
      <c r="L6" s="5"/>
      <c r="M6" s="6"/>
      <c r="N6" s="4" t="s">
        <v>48</v>
      </c>
      <c r="O6" s="5"/>
      <c r="P6" s="5"/>
      <c r="Q6" s="5"/>
      <c r="S6" s="1"/>
    </row>
    <row r="7" spans="2:19" ht="26.25" customHeight="1" x14ac:dyDescent="0.25">
      <c r="B7" s="4" t="s">
        <v>50</v>
      </c>
      <c r="C7" s="5">
        <v>6000</v>
      </c>
      <c r="D7" s="41">
        <v>5500</v>
      </c>
      <c r="E7" s="5">
        <v>5000</v>
      </c>
      <c r="F7" s="5">
        <v>4750</v>
      </c>
      <c r="G7" s="5">
        <v>4500</v>
      </c>
      <c r="H7" s="5"/>
      <c r="I7" s="4" t="s">
        <v>50</v>
      </c>
      <c r="J7" s="5">
        <v>5500</v>
      </c>
      <c r="K7" s="5">
        <v>5100</v>
      </c>
      <c r="L7" s="5">
        <v>4500</v>
      </c>
      <c r="M7" s="6"/>
      <c r="N7" s="4" t="s">
        <v>50</v>
      </c>
      <c r="O7" s="5">
        <v>5500</v>
      </c>
      <c r="P7" s="5">
        <v>5100</v>
      </c>
      <c r="Q7" s="5">
        <v>4500</v>
      </c>
      <c r="S7" s="1"/>
    </row>
    <row r="8" spans="2:19" ht="26.25" customHeight="1" x14ac:dyDescent="0.25">
      <c r="B8" s="4" t="s">
        <v>51</v>
      </c>
      <c r="C8" s="5">
        <v>5000</v>
      </c>
      <c r="D8" s="41">
        <v>4500</v>
      </c>
      <c r="E8" s="5">
        <v>4250</v>
      </c>
      <c r="F8" s="5">
        <v>4000</v>
      </c>
      <c r="G8" s="5">
        <v>3750</v>
      </c>
      <c r="H8" s="5"/>
      <c r="I8" s="4" t="s">
        <v>51</v>
      </c>
      <c r="J8" s="5">
        <v>4500</v>
      </c>
      <c r="K8" s="5">
        <v>3850</v>
      </c>
      <c r="L8" s="5">
        <v>2600</v>
      </c>
      <c r="M8" s="6"/>
      <c r="N8" s="4" t="s">
        <v>51</v>
      </c>
      <c r="O8" s="5">
        <v>4500</v>
      </c>
      <c r="P8" s="5">
        <v>3850</v>
      </c>
      <c r="Q8" s="5">
        <v>3500</v>
      </c>
      <c r="S8" s="1"/>
    </row>
    <row r="9" spans="2:19" ht="26.25" customHeight="1" x14ac:dyDescent="0.25">
      <c r="B9" s="4" t="s">
        <v>52</v>
      </c>
      <c r="C9" s="5">
        <v>3500</v>
      </c>
      <c r="D9" s="41">
        <v>3250</v>
      </c>
      <c r="E9" s="5">
        <v>3000</v>
      </c>
      <c r="F9" s="5">
        <v>2750</v>
      </c>
      <c r="G9" s="5">
        <v>2500</v>
      </c>
      <c r="H9" s="5"/>
      <c r="I9" s="4" t="s">
        <v>52</v>
      </c>
      <c r="J9" s="5">
        <v>3000</v>
      </c>
      <c r="K9" s="5">
        <v>2500</v>
      </c>
      <c r="L9" s="5">
        <v>2500</v>
      </c>
      <c r="M9" s="6"/>
      <c r="N9" s="4" t="s">
        <v>52</v>
      </c>
      <c r="O9" s="5">
        <v>3000</v>
      </c>
      <c r="P9" s="5">
        <v>2750</v>
      </c>
      <c r="Q9" s="5">
        <v>2500</v>
      </c>
      <c r="S9" s="1"/>
    </row>
    <row r="10" spans="2:19" ht="26.25" customHeight="1" x14ac:dyDescent="0.25">
      <c r="B10" s="4" t="s">
        <v>53</v>
      </c>
      <c r="C10" s="5">
        <v>4000</v>
      </c>
      <c r="D10" s="41">
        <v>3750</v>
      </c>
      <c r="E10" s="5">
        <v>3500</v>
      </c>
      <c r="F10" s="5">
        <v>3300</v>
      </c>
      <c r="G10" s="5">
        <v>3000</v>
      </c>
      <c r="H10" s="5"/>
      <c r="I10" s="4" t="s">
        <v>53</v>
      </c>
      <c r="J10" s="5">
        <v>3500</v>
      </c>
      <c r="K10" s="5">
        <v>2500</v>
      </c>
      <c r="L10" s="5">
        <v>2500</v>
      </c>
      <c r="M10" s="6"/>
      <c r="N10" s="4" t="s">
        <v>53</v>
      </c>
      <c r="O10" s="5">
        <v>3500</v>
      </c>
      <c r="P10" s="5">
        <v>3000</v>
      </c>
      <c r="Q10" s="5">
        <v>2500</v>
      </c>
      <c r="S10" s="1"/>
    </row>
    <row r="11" spans="2:19" ht="26.25" customHeight="1" x14ac:dyDescent="0.25">
      <c r="B11" s="4" t="s">
        <v>41</v>
      </c>
      <c r="C11" s="5">
        <v>4000</v>
      </c>
      <c r="D11" s="41">
        <v>3750</v>
      </c>
      <c r="E11" s="5">
        <v>3500</v>
      </c>
      <c r="F11" s="5">
        <v>3250</v>
      </c>
      <c r="G11" s="5">
        <v>3000</v>
      </c>
      <c r="H11" s="5"/>
      <c r="I11" s="4" t="s">
        <v>41</v>
      </c>
      <c r="J11" s="5">
        <v>3670</v>
      </c>
      <c r="K11" s="5">
        <v>2700</v>
      </c>
      <c r="L11" s="5">
        <v>2600</v>
      </c>
      <c r="M11" s="6"/>
      <c r="N11" s="4" t="s">
        <v>41</v>
      </c>
      <c r="O11" s="5">
        <v>4000</v>
      </c>
      <c r="P11" s="5">
        <v>3650</v>
      </c>
      <c r="Q11" s="5">
        <v>3000</v>
      </c>
      <c r="S11" s="1"/>
    </row>
    <row r="12" spans="2:19" ht="26.25" customHeight="1" x14ac:dyDescent="0.25">
      <c r="B12" s="4" t="s">
        <v>47</v>
      </c>
      <c r="C12" s="5">
        <v>4500</v>
      </c>
      <c r="D12" s="41">
        <v>4000</v>
      </c>
      <c r="E12" s="5">
        <v>3500</v>
      </c>
      <c r="F12" s="5">
        <v>3000</v>
      </c>
      <c r="G12" s="5">
        <v>2500</v>
      </c>
      <c r="H12" s="5"/>
      <c r="I12" s="4" t="s">
        <v>47</v>
      </c>
      <c r="J12" s="5">
        <v>4200</v>
      </c>
      <c r="K12" s="5">
        <v>4000</v>
      </c>
      <c r="L12" s="5">
        <v>3500</v>
      </c>
      <c r="M12" s="6"/>
      <c r="N12" s="4" t="s">
        <v>47</v>
      </c>
      <c r="O12" s="5">
        <v>4500</v>
      </c>
      <c r="P12" s="5">
        <v>4000</v>
      </c>
      <c r="Q12" s="5">
        <v>3000</v>
      </c>
      <c r="S12" s="1"/>
    </row>
    <row r="13" spans="2:19" ht="26.25" customHeight="1" x14ac:dyDescent="0.25">
      <c r="B13" s="4" t="s">
        <v>54</v>
      </c>
      <c r="C13" s="5">
        <v>5000</v>
      </c>
      <c r="D13" s="41">
        <v>4750</v>
      </c>
      <c r="E13" s="5">
        <v>4500</v>
      </c>
      <c r="F13" s="5">
        <v>4250</v>
      </c>
      <c r="G13" s="5">
        <v>4000</v>
      </c>
      <c r="H13" s="5"/>
      <c r="I13" s="4" t="s">
        <v>54</v>
      </c>
      <c r="J13" s="5">
        <v>4650</v>
      </c>
      <c r="K13" s="5">
        <v>4200</v>
      </c>
      <c r="L13" s="5">
        <v>3850</v>
      </c>
      <c r="M13" s="6"/>
      <c r="N13" s="4" t="s">
        <v>54</v>
      </c>
      <c r="O13" s="5">
        <v>5000</v>
      </c>
      <c r="P13" s="5">
        <v>4500</v>
      </c>
      <c r="Q13" s="5">
        <v>4000</v>
      </c>
      <c r="S13" s="1"/>
    </row>
    <row r="14" spans="2:19" ht="26.25" customHeight="1" x14ac:dyDescent="0.25">
      <c r="B14" s="4" t="s">
        <v>55</v>
      </c>
      <c r="C14" s="5">
        <v>7000</v>
      </c>
      <c r="D14" s="41">
        <v>6000</v>
      </c>
      <c r="E14" s="5">
        <v>5500</v>
      </c>
      <c r="F14" s="5">
        <v>5000</v>
      </c>
      <c r="G14" s="5">
        <v>4500</v>
      </c>
      <c r="H14" s="5"/>
      <c r="I14" s="4" t="s">
        <v>55</v>
      </c>
      <c r="J14" s="5">
        <v>5600</v>
      </c>
      <c r="K14" s="5">
        <v>5000</v>
      </c>
      <c r="L14" s="5">
        <v>3000</v>
      </c>
      <c r="M14" s="6"/>
      <c r="N14" s="4" t="s">
        <v>55</v>
      </c>
      <c r="O14" s="5">
        <v>6000</v>
      </c>
      <c r="P14" s="5">
        <v>5000</v>
      </c>
      <c r="Q14" s="5">
        <v>4000</v>
      </c>
      <c r="S14" s="1"/>
    </row>
    <row r="15" spans="2:19" ht="26.25" customHeight="1" x14ac:dyDescent="0.25">
      <c r="B15" s="4" t="s">
        <v>45</v>
      </c>
      <c r="C15" s="5">
        <v>10000</v>
      </c>
      <c r="D15" s="41">
        <v>9500</v>
      </c>
      <c r="E15" s="5">
        <v>9000</v>
      </c>
      <c r="F15" s="5">
        <v>8500</v>
      </c>
      <c r="G15" s="5">
        <v>8000</v>
      </c>
      <c r="H15" s="5"/>
      <c r="I15" s="4" t="s">
        <v>45</v>
      </c>
      <c r="J15" s="5">
        <v>10900</v>
      </c>
      <c r="K15" s="5">
        <v>9500</v>
      </c>
      <c r="L15" s="5">
        <v>9000</v>
      </c>
      <c r="M15" s="6"/>
      <c r="N15" s="4" t="s">
        <v>45</v>
      </c>
      <c r="O15" s="5">
        <v>11000</v>
      </c>
      <c r="P15" s="5">
        <v>10000</v>
      </c>
      <c r="Q15" s="5">
        <v>9000</v>
      </c>
      <c r="S15" s="1"/>
    </row>
    <row r="16" spans="2:19" ht="26.25" customHeight="1" x14ac:dyDescent="0.25">
      <c r="B16" s="4" t="s">
        <v>46</v>
      </c>
      <c r="C16" s="5">
        <v>7000</v>
      </c>
      <c r="D16" s="41">
        <v>7500</v>
      </c>
      <c r="E16" s="5">
        <v>6000</v>
      </c>
      <c r="F16" s="5">
        <v>5000</v>
      </c>
      <c r="G16" s="5">
        <v>4000</v>
      </c>
      <c r="H16" s="5"/>
      <c r="I16" s="4" t="s">
        <v>46</v>
      </c>
      <c r="J16" s="5">
        <v>8500</v>
      </c>
      <c r="K16" s="5">
        <v>5100</v>
      </c>
      <c r="L16" s="5">
        <v>3800</v>
      </c>
      <c r="M16" s="6"/>
      <c r="N16" s="4" t="s">
        <v>46</v>
      </c>
      <c r="O16" s="5">
        <v>8000</v>
      </c>
      <c r="P16" s="5">
        <v>7000</v>
      </c>
      <c r="Q16" s="5">
        <v>5000</v>
      </c>
      <c r="S16" s="1"/>
    </row>
    <row r="17" spans="2:19" ht="26.25" customHeight="1" x14ac:dyDescent="0.25">
      <c r="B17" s="4" t="s">
        <v>56</v>
      </c>
      <c r="C17" s="5">
        <v>5000</v>
      </c>
      <c r="D17" s="41">
        <v>4500</v>
      </c>
      <c r="E17" s="5">
        <v>4000</v>
      </c>
      <c r="F17" s="5">
        <v>3500</v>
      </c>
      <c r="G17" s="5">
        <v>3000</v>
      </c>
      <c r="H17" s="5"/>
      <c r="I17" s="4" t="s">
        <v>56</v>
      </c>
      <c r="J17" s="5">
        <v>4500</v>
      </c>
      <c r="K17" s="5">
        <v>4000</v>
      </c>
      <c r="L17" s="5">
        <v>4000</v>
      </c>
      <c r="M17" s="6"/>
      <c r="N17" s="4" t="s">
        <v>56</v>
      </c>
      <c r="O17" s="5">
        <v>4500</v>
      </c>
      <c r="P17" s="5">
        <v>4000</v>
      </c>
      <c r="Q17" s="5">
        <v>3500</v>
      </c>
      <c r="S17" s="1"/>
    </row>
    <row r="18" spans="2:19" ht="26.25" customHeight="1" x14ac:dyDescent="0.25">
      <c r="B18" s="4" t="s">
        <v>57</v>
      </c>
      <c r="C18" s="5">
        <v>4500</v>
      </c>
      <c r="D18" s="42">
        <v>4000</v>
      </c>
      <c r="E18" s="5">
        <v>3500</v>
      </c>
      <c r="F18" s="5">
        <v>3000</v>
      </c>
      <c r="G18" s="5">
        <v>2800</v>
      </c>
      <c r="H18" s="5"/>
      <c r="I18" s="4" t="s">
        <v>57</v>
      </c>
      <c r="J18" s="5">
        <v>4000</v>
      </c>
      <c r="K18" s="5">
        <v>3650</v>
      </c>
      <c r="L18" s="5">
        <v>3650</v>
      </c>
      <c r="M18" s="6"/>
      <c r="N18" s="4" t="s">
        <v>57</v>
      </c>
      <c r="O18" s="5">
        <v>4000</v>
      </c>
      <c r="P18" s="5">
        <v>3500</v>
      </c>
      <c r="Q18" s="5">
        <v>3000</v>
      </c>
      <c r="S18" s="1"/>
    </row>
    <row r="19" spans="2:19" ht="26.25" customHeight="1" x14ac:dyDescent="0.25">
      <c r="B19" s="4" t="s">
        <v>44</v>
      </c>
      <c r="C19" s="5">
        <v>3500</v>
      </c>
      <c r="D19" s="46">
        <v>3000</v>
      </c>
      <c r="E19" s="5">
        <v>2800</v>
      </c>
      <c r="F19" s="5">
        <v>2500</v>
      </c>
      <c r="G19" s="5">
        <v>2000</v>
      </c>
      <c r="I19" s="4" t="s">
        <v>44</v>
      </c>
      <c r="J19" s="5">
        <v>3400</v>
      </c>
      <c r="K19" s="5">
        <v>3000</v>
      </c>
      <c r="L19" s="5">
        <v>2800</v>
      </c>
      <c r="N19" s="4" t="s">
        <v>44</v>
      </c>
      <c r="O19" s="5">
        <v>3500</v>
      </c>
      <c r="P19" s="5">
        <v>3000</v>
      </c>
      <c r="Q19" s="5">
        <v>2500</v>
      </c>
    </row>
    <row r="20" spans="2:19" ht="26.25" customHeight="1" x14ac:dyDescent="0.25">
      <c r="B20" s="4" t="s">
        <v>38</v>
      </c>
      <c r="C20" s="5">
        <v>8000</v>
      </c>
      <c r="D20" s="47">
        <v>7000</v>
      </c>
      <c r="E20" s="5">
        <v>5000</v>
      </c>
      <c r="F20" s="5">
        <v>4500</v>
      </c>
      <c r="G20" s="5">
        <v>4000</v>
      </c>
      <c r="I20" s="4" t="s">
        <v>38</v>
      </c>
      <c r="J20" s="5">
        <v>4150</v>
      </c>
      <c r="K20" s="5">
        <v>4000</v>
      </c>
      <c r="L20" s="5">
        <v>3650</v>
      </c>
      <c r="N20" s="4" t="s">
        <v>38</v>
      </c>
      <c r="O20" s="5">
        <v>4500</v>
      </c>
      <c r="P20" s="5">
        <v>4000</v>
      </c>
      <c r="Q20" s="5">
        <v>3500</v>
      </c>
    </row>
    <row r="21" spans="2:19" ht="26.25" customHeight="1" x14ac:dyDescent="0.25">
      <c r="B21" s="4" t="s">
        <v>36</v>
      </c>
      <c r="C21" s="5">
        <v>5000</v>
      </c>
      <c r="D21" s="47">
        <v>4500</v>
      </c>
      <c r="E21" s="5">
        <v>4250</v>
      </c>
      <c r="F21" s="5">
        <v>4000</v>
      </c>
      <c r="G21" s="5">
        <v>3900</v>
      </c>
      <c r="I21" s="4" t="s">
        <v>36</v>
      </c>
      <c r="J21" s="5">
        <v>4500</v>
      </c>
      <c r="K21" s="5">
        <v>4200</v>
      </c>
      <c r="L21" s="5">
        <v>4000</v>
      </c>
      <c r="N21" s="4" t="s">
        <v>36</v>
      </c>
      <c r="O21" s="5">
        <v>5000</v>
      </c>
      <c r="P21" s="5">
        <v>4500</v>
      </c>
      <c r="Q21" s="5">
        <v>4000</v>
      </c>
    </row>
    <row r="22" spans="2:19" ht="26.25" customHeight="1" x14ac:dyDescent="0.25">
      <c r="B22" s="4" t="s">
        <v>58</v>
      </c>
      <c r="C22" s="5">
        <v>9000</v>
      </c>
      <c r="D22" s="47">
        <v>8000</v>
      </c>
      <c r="E22" s="5">
        <v>7500</v>
      </c>
      <c r="F22" s="5">
        <v>7000</v>
      </c>
      <c r="G22" s="5">
        <v>6500</v>
      </c>
      <c r="I22" s="4" t="s">
        <v>58</v>
      </c>
      <c r="J22" s="5">
        <v>5200</v>
      </c>
      <c r="K22" s="5">
        <v>4500</v>
      </c>
      <c r="L22" s="5">
        <v>4000</v>
      </c>
      <c r="N22" s="4" t="s">
        <v>58</v>
      </c>
      <c r="O22" s="5">
        <v>5200</v>
      </c>
      <c r="P22" s="5">
        <v>4500</v>
      </c>
      <c r="Q22" s="5">
        <v>4000</v>
      </c>
    </row>
    <row r="23" spans="2:19" ht="26.25" customHeight="1" x14ac:dyDescent="0.25">
      <c r="B23" s="4" t="s">
        <v>37</v>
      </c>
      <c r="C23" s="5">
        <v>6000</v>
      </c>
      <c r="D23" s="47">
        <v>5500</v>
      </c>
      <c r="E23" s="5">
        <v>5000</v>
      </c>
      <c r="F23" s="5">
        <v>4500</v>
      </c>
      <c r="G23" s="5">
        <v>4000</v>
      </c>
      <c r="I23" s="4" t="s">
        <v>37</v>
      </c>
      <c r="J23" s="5">
        <v>4250</v>
      </c>
      <c r="K23" s="5">
        <v>3900</v>
      </c>
      <c r="L23" s="5">
        <v>3750</v>
      </c>
      <c r="N23" s="4" t="s">
        <v>37</v>
      </c>
      <c r="O23" s="5">
        <v>4500</v>
      </c>
      <c r="P23" s="5">
        <v>4000</v>
      </c>
      <c r="Q23" s="5">
        <v>3800</v>
      </c>
    </row>
    <row r="24" spans="2:19" ht="26.25" customHeight="1" x14ac:dyDescent="0.25">
      <c r="B24" s="4" t="s">
        <v>35</v>
      </c>
      <c r="C24" s="5">
        <v>6500</v>
      </c>
      <c r="D24" s="46">
        <v>6000</v>
      </c>
      <c r="E24" s="5">
        <v>5500</v>
      </c>
      <c r="F24" s="5">
        <v>5000</v>
      </c>
      <c r="G24" s="5">
        <v>4800</v>
      </c>
      <c r="I24" s="4" t="s">
        <v>35</v>
      </c>
      <c r="J24" s="5">
        <v>5400</v>
      </c>
      <c r="K24" s="5">
        <v>5000</v>
      </c>
      <c r="L24" s="5">
        <v>4800</v>
      </c>
      <c r="N24" s="4" t="s">
        <v>35</v>
      </c>
      <c r="O24" s="5">
        <v>6000</v>
      </c>
      <c r="P24" s="5">
        <v>5500</v>
      </c>
      <c r="Q24" s="5">
        <v>5000</v>
      </c>
    </row>
    <row r="25" spans="2:19" ht="26.25" customHeight="1" x14ac:dyDescent="0.25">
      <c r="B25" s="4" t="s">
        <v>40</v>
      </c>
      <c r="C25" s="5">
        <v>4000</v>
      </c>
      <c r="D25" s="47">
        <v>3750</v>
      </c>
      <c r="E25" s="5">
        <v>3500</v>
      </c>
      <c r="F25" s="5">
        <v>3250</v>
      </c>
      <c r="G25" s="5">
        <v>3000</v>
      </c>
      <c r="I25" s="4" t="s">
        <v>40</v>
      </c>
      <c r="J25" s="5">
        <v>3520</v>
      </c>
      <c r="K25" s="5">
        <v>3250</v>
      </c>
      <c r="L25" s="5">
        <v>3000</v>
      </c>
      <c r="N25" s="4" t="s">
        <v>40</v>
      </c>
      <c r="O25" s="5">
        <v>4000</v>
      </c>
      <c r="P25" s="5">
        <v>3500</v>
      </c>
      <c r="Q25" s="5">
        <v>3000</v>
      </c>
    </row>
    <row r="26" spans="2:19" ht="26.25" customHeight="1" x14ac:dyDescent="0.25">
      <c r="B26" s="4" t="s">
        <v>39</v>
      </c>
      <c r="C26" s="5">
        <v>4000</v>
      </c>
      <c r="D26" s="47">
        <v>3750</v>
      </c>
      <c r="E26" s="5">
        <v>3500</v>
      </c>
      <c r="F26" s="5">
        <v>3250</v>
      </c>
      <c r="G26" s="5">
        <v>3000</v>
      </c>
      <c r="I26" s="4" t="s">
        <v>39</v>
      </c>
      <c r="J26" s="5">
        <v>3500</v>
      </c>
      <c r="K26" s="5">
        <v>3200</v>
      </c>
      <c r="L26" s="5">
        <v>2800</v>
      </c>
      <c r="N26" s="4" t="s">
        <v>39</v>
      </c>
      <c r="O26" s="5">
        <v>4000</v>
      </c>
      <c r="P26" s="5">
        <v>3500</v>
      </c>
      <c r="Q26" s="5">
        <v>3000</v>
      </c>
    </row>
    <row r="27" spans="2:19" ht="26.25" customHeight="1" x14ac:dyDescent="0.25">
      <c r="B27" s="4" t="s">
        <v>59</v>
      </c>
      <c r="C27" s="5">
        <v>3500</v>
      </c>
      <c r="D27" s="47">
        <v>3250</v>
      </c>
      <c r="E27" s="5">
        <v>3000</v>
      </c>
      <c r="F27" s="5">
        <v>2750</v>
      </c>
      <c r="G27" s="5">
        <v>2500</v>
      </c>
      <c r="I27" s="4" t="s">
        <v>59</v>
      </c>
      <c r="J27" s="5">
        <v>2900</v>
      </c>
      <c r="K27" s="5">
        <v>2750</v>
      </c>
      <c r="L27" s="5">
        <v>2400</v>
      </c>
      <c r="N27" s="4" t="s">
        <v>59</v>
      </c>
      <c r="O27" s="5">
        <v>3500</v>
      </c>
      <c r="P27" s="5">
        <v>2800</v>
      </c>
      <c r="Q27" s="5">
        <v>2500</v>
      </c>
    </row>
    <row r="28" spans="2:19" ht="26.25" customHeight="1" x14ac:dyDescent="0.25">
      <c r="B28" s="4" t="s">
        <v>42</v>
      </c>
      <c r="C28" s="5">
        <v>4500</v>
      </c>
      <c r="D28" s="47">
        <v>4250</v>
      </c>
      <c r="E28" s="5">
        <v>4000</v>
      </c>
      <c r="F28" s="5">
        <v>3750</v>
      </c>
      <c r="G28" s="5">
        <v>3000</v>
      </c>
      <c r="I28" s="4" t="s">
        <v>42</v>
      </c>
      <c r="J28" s="5">
        <v>3700</v>
      </c>
      <c r="K28" s="5">
        <v>2850</v>
      </c>
      <c r="L28" s="5">
        <v>2100</v>
      </c>
      <c r="N28" s="4" t="s">
        <v>42</v>
      </c>
      <c r="O28" s="5">
        <v>3700</v>
      </c>
      <c r="P28" s="5">
        <v>3250</v>
      </c>
      <c r="Q28" s="5">
        <v>2800</v>
      </c>
    </row>
  </sheetData>
  <mergeCells count="3">
    <mergeCell ref="B2:G2"/>
    <mergeCell ref="I2:L2"/>
    <mergeCell ref="N2:Q2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showGridLines="0" workbookViewId="0">
      <selection activeCell="G2" sqref="A2:G66"/>
    </sheetView>
  </sheetViews>
  <sheetFormatPr defaultRowHeight="21.75" customHeight="1" x14ac:dyDescent="0.25"/>
  <cols>
    <col min="1" max="1" width="13.140625" style="8" bestFit="1" customWidth="1"/>
    <col min="2" max="2" width="25.85546875" style="8" bestFit="1" customWidth="1"/>
    <col min="3" max="3" width="10.42578125" style="8" customWidth="1"/>
    <col min="4" max="4" width="16.85546875" style="8" customWidth="1"/>
    <col min="5" max="6" width="18.7109375" style="8" customWidth="1"/>
    <col min="7" max="7" width="13.28515625" style="8" customWidth="1"/>
    <col min="8" max="16384" width="9.140625" style="8"/>
  </cols>
  <sheetData>
    <row r="1" spans="1:7" ht="21.75" customHeight="1" x14ac:dyDescent="0.25">
      <c r="A1" s="8" t="s">
        <v>13</v>
      </c>
      <c r="B1" s="8" t="s">
        <v>12</v>
      </c>
      <c r="C1" s="8" t="s">
        <v>14</v>
      </c>
      <c r="D1" s="8" t="s">
        <v>15</v>
      </c>
      <c r="E1" s="8" t="s">
        <v>16</v>
      </c>
      <c r="F1" s="9" t="s">
        <v>5</v>
      </c>
      <c r="G1" s="8" t="s">
        <v>17</v>
      </c>
    </row>
    <row r="2" spans="1:7" ht="21.75" customHeight="1" x14ac:dyDescent="0.25">
      <c r="B2" s="2"/>
      <c r="D2" s="40"/>
      <c r="E2" s="44"/>
      <c r="F2" s="9"/>
      <c r="G2" s="43"/>
    </row>
    <row r="3" spans="1:7" ht="21.75" customHeight="1" x14ac:dyDescent="0.25">
      <c r="B3" s="2"/>
      <c r="D3" s="40"/>
      <c r="E3" s="44"/>
      <c r="G3" s="43"/>
    </row>
    <row r="4" spans="1:7" ht="21.75" customHeight="1" x14ac:dyDescent="0.25">
      <c r="B4" s="2"/>
      <c r="D4" s="40"/>
      <c r="E4" s="44"/>
      <c r="G4" s="43"/>
    </row>
    <row r="5" spans="1:7" ht="21.75" customHeight="1" x14ac:dyDescent="0.25">
      <c r="B5" s="2"/>
      <c r="D5" s="40"/>
      <c r="E5" s="44"/>
      <c r="G5" s="43"/>
    </row>
    <row r="6" spans="1:7" ht="21.75" customHeight="1" x14ac:dyDescent="0.25">
      <c r="B6" s="2"/>
      <c r="D6" s="40"/>
      <c r="E6" s="45"/>
      <c r="G6" s="43"/>
    </row>
    <row r="7" spans="1:7" ht="21.75" customHeight="1" x14ac:dyDescent="0.25">
      <c r="B7" s="2"/>
      <c r="D7" s="40"/>
      <c r="E7" s="45"/>
      <c r="G7" s="43"/>
    </row>
    <row r="8" spans="1:7" ht="21.75" customHeight="1" x14ac:dyDescent="0.25">
      <c r="B8" s="2"/>
      <c r="D8" s="40"/>
      <c r="E8" s="44"/>
      <c r="G8" s="43"/>
    </row>
    <row r="9" spans="1:7" ht="21.75" customHeight="1" x14ac:dyDescent="0.25">
      <c r="B9" s="2"/>
      <c r="D9" s="40"/>
      <c r="E9" s="45"/>
      <c r="G9" s="43"/>
    </row>
    <row r="10" spans="1:7" ht="21.75" customHeight="1" x14ac:dyDescent="0.25">
      <c r="B10" s="2"/>
      <c r="D10" s="40"/>
      <c r="E10" s="45"/>
      <c r="G10" s="43"/>
    </row>
    <row r="11" spans="1:7" ht="21.75" customHeight="1" x14ac:dyDescent="0.25">
      <c r="B11" s="2"/>
      <c r="D11" s="40"/>
      <c r="E11" s="44"/>
      <c r="G11" s="43"/>
    </row>
    <row r="12" spans="1:7" ht="21.75" customHeight="1" x14ac:dyDescent="0.25">
      <c r="B12" s="2"/>
      <c r="D12" s="40"/>
      <c r="E12" s="44"/>
      <c r="G12" s="43"/>
    </row>
    <row r="13" spans="1:7" ht="21.75" customHeight="1" x14ac:dyDescent="0.25">
      <c r="B13" s="2"/>
      <c r="D13" s="40"/>
      <c r="E13" s="44"/>
      <c r="G13" s="43"/>
    </row>
    <row r="14" spans="1:7" ht="21.75" customHeight="1" x14ac:dyDescent="0.25">
      <c r="B14" s="2"/>
      <c r="D14" s="40"/>
      <c r="E14" s="44"/>
      <c r="G14" s="43"/>
    </row>
    <row r="15" spans="1:7" ht="21.75" customHeight="1" x14ac:dyDescent="0.25">
      <c r="B15" s="2"/>
      <c r="D15" s="40"/>
      <c r="E15" s="44"/>
      <c r="G15" s="43"/>
    </row>
    <row r="16" spans="1:7" ht="21.75" customHeight="1" x14ac:dyDescent="0.25">
      <c r="B16" s="2"/>
      <c r="D16" s="40"/>
      <c r="E16" s="44"/>
      <c r="G16" s="43"/>
    </row>
    <row r="17" spans="2:7" ht="21.75" customHeight="1" x14ac:dyDescent="0.25">
      <c r="B17" s="2"/>
      <c r="D17" s="40"/>
      <c r="E17" s="44"/>
      <c r="G17" s="43"/>
    </row>
    <row r="18" spans="2:7" ht="21.75" customHeight="1" x14ac:dyDescent="0.25">
      <c r="B18" s="2"/>
      <c r="D18" s="40"/>
      <c r="E18" s="44"/>
      <c r="G18" s="43"/>
    </row>
    <row r="19" spans="2:7" ht="21.75" customHeight="1" x14ac:dyDescent="0.25">
      <c r="B19" s="2"/>
      <c r="D19" s="40"/>
      <c r="E19" s="45"/>
      <c r="G19" s="43"/>
    </row>
    <row r="20" spans="2:7" ht="21.75" customHeight="1" x14ac:dyDescent="0.25">
      <c r="B20" s="2"/>
      <c r="D20" s="40"/>
      <c r="E20" s="44"/>
      <c r="G20" s="43"/>
    </row>
    <row r="21" spans="2:7" ht="21.75" customHeight="1" x14ac:dyDescent="0.25">
      <c r="B21" s="2"/>
      <c r="D21" s="40"/>
      <c r="E21" s="44"/>
      <c r="G21" s="43"/>
    </row>
    <row r="22" spans="2:7" ht="21.75" customHeight="1" x14ac:dyDescent="0.25">
      <c r="B22" s="2"/>
      <c r="D22" s="40"/>
      <c r="E22" s="45"/>
      <c r="G22" s="43"/>
    </row>
    <row r="23" spans="2:7" ht="21.75" customHeight="1" x14ac:dyDescent="0.25">
      <c r="B23" s="2"/>
      <c r="D23" s="40"/>
      <c r="E23" s="44"/>
      <c r="G23" s="43"/>
    </row>
    <row r="24" spans="2:7" ht="21.75" customHeight="1" x14ac:dyDescent="0.25">
      <c r="B24" s="2"/>
      <c r="D24" s="40"/>
      <c r="E24" s="44"/>
      <c r="G24" s="43"/>
    </row>
    <row r="25" spans="2:7" ht="21.75" customHeight="1" x14ac:dyDescent="0.25">
      <c r="B25" s="2"/>
      <c r="D25" s="40"/>
      <c r="E25" s="45"/>
      <c r="G25" s="43"/>
    </row>
    <row r="26" spans="2:7" ht="21.75" customHeight="1" x14ac:dyDescent="0.25">
      <c r="B26" s="2"/>
      <c r="D26" s="40"/>
      <c r="E26" s="45"/>
      <c r="G26" s="43"/>
    </row>
    <row r="27" spans="2:7" ht="21.75" customHeight="1" x14ac:dyDescent="0.25">
      <c r="B27" s="2"/>
      <c r="D27" s="40"/>
      <c r="E27" s="44"/>
      <c r="G27" s="43"/>
    </row>
    <row r="28" spans="2:7" ht="21.75" customHeight="1" x14ac:dyDescent="0.25">
      <c r="B28" s="2"/>
      <c r="D28" s="40"/>
      <c r="E28" s="44"/>
      <c r="G28" s="43"/>
    </row>
    <row r="29" spans="2:7" ht="21.75" customHeight="1" x14ac:dyDescent="0.25">
      <c r="B29" s="2"/>
      <c r="D29" s="40"/>
      <c r="E29" s="44"/>
      <c r="G29" s="43"/>
    </row>
    <row r="30" spans="2:7" ht="21.75" customHeight="1" x14ac:dyDescent="0.25">
      <c r="B30" s="2"/>
      <c r="D30" s="40"/>
      <c r="E30" s="44"/>
      <c r="G30" s="43"/>
    </row>
    <row r="31" spans="2:7" ht="21.75" customHeight="1" x14ac:dyDescent="0.25">
      <c r="B31" s="2"/>
      <c r="D31" s="40"/>
      <c r="E31" s="44"/>
      <c r="G31" s="43"/>
    </row>
    <row r="32" spans="2:7" ht="21.75" customHeight="1" x14ac:dyDescent="0.25">
      <c r="B32" s="2"/>
      <c r="D32" s="40"/>
      <c r="E32" s="45"/>
      <c r="G32" s="43"/>
    </row>
    <row r="33" spans="2:7" ht="21.75" customHeight="1" x14ac:dyDescent="0.25">
      <c r="B33" s="2"/>
      <c r="D33" s="40"/>
      <c r="E33" s="44"/>
      <c r="G33" s="43"/>
    </row>
    <row r="34" spans="2:7" ht="21.75" customHeight="1" x14ac:dyDescent="0.25">
      <c r="B34" s="2"/>
      <c r="D34" s="40"/>
      <c r="E34" s="45"/>
      <c r="G34" s="43"/>
    </row>
    <row r="35" spans="2:7" ht="21.75" customHeight="1" x14ac:dyDescent="0.25">
      <c r="B35" s="2"/>
      <c r="D35" s="40"/>
      <c r="E35" s="44"/>
      <c r="G35" s="43"/>
    </row>
    <row r="36" spans="2:7" ht="21.75" customHeight="1" x14ac:dyDescent="0.25">
      <c r="B36" s="2"/>
      <c r="D36" s="40"/>
      <c r="E36" s="44"/>
      <c r="G36" s="43"/>
    </row>
    <row r="37" spans="2:7" ht="21.75" customHeight="1" x14ac:dyDescent="0.25">
      <c r="B37" s="2"/>
      <c r="D37" s="40"/>
      <c r="E37" s="45"/>
      <c r="G37" s="43"/>
    </row>
    <row r="38" spans="2:7" ht="21.75" customHeight="1" x14ac:dyDescent="0.25">
      <c r="B38" s="2"/>
      <c r="D38" s="40"/>
      <c r="E38" s="44"/>
      <c r="G38" s="43"/>
    </row>
    <row r="39" spans="2:7" ht="21.75" customHeight="1" x14ac:dyDescent="0.25">
      <c r="B39" s="2"/>
      <c r="D39" s="40"/>
      <c r="E39" s="44"/>
      <c r="G39" s="43"/>
    </row>
    <row r="40" spans="2:7" ht="21.75" customHeight="1" x14ac:dyDescent="0.25">
      <c r="B40" s="2"/>
      <c r="D40" s="40"/>
      <c r="E40" s="44"/>
      <c r="G40" s="43"/>
    </row>
    <row r="41" spans="2:7" ht="21.75" customHeight="1" x14ac:dyDescent="0.25">
      <c r="B41" s="2"/>
      <c r="D41" s="40"/>
      <c r="E41" s="44"/>
      <c r="G41" s="43"/>
    </row>
    <row r="42" spans="2:7" ht="21.75" customHeight="1" x14ac:dyDescent="0.25">
      <c r="B42" s="2"/>
      <c r="D42" s="40"/>
      <c r="E42" s="48"/>
      <c r="G42" s="43"/>
    </row>
    <row r="43" spans="2:7" ht="21.75" customHeight="1" x14ac:dyDescent="0.25">
      <c r="B43" s="2"/>
      <c r="D43" s="40"/>
      <c r="E43" s="44"/>
      <c r="G43" s="43"/>
    </row>
    <row r="44" spans="2:7" ht="21.75" customHeight="1" x14ac:dyDescent="0.25">
      <c r="B44" s="2"/>
      <c r="E44" s="44"/>
      <c r="G44" s="43"/>
    </row>
    <row r="45" spans="2:7" ht="21.75" customHeight="1" x14ac:dyDescent="0.25">
      <c r="B45" s="2"/>
      <c r="D45" s="40"/>
      <c r="E45" s="44"/>
      <c r="G45" s="43"/>
    </row>
    <row r="46" spans="2:7" ht="21.75" customHeight="1" x14ac:dyDescent="0.25">
      <c r="B46" s="2"/>
      <c r="E46" s="44"/>
      <c r="G46" s="43"/>
    </row>
    <row r="47" spans="2:7" ht="21.75" customHeight="1" x14ac:dyDescent="0.25">
      <c r="B47" s="2"/>
      <c r="D47" s="40"/>
      <c r="E47" s="44"/>
      <c r="G47" s="43"/>
    </row>
    <row r="48" spans="2:7" ht="21.75" customHeight="1" x14ac:dyDescent="0.25">
      <c r="B48" s="2"/>
      <c r="D48" s="40"/>
      <c r="E48" s="44"/>
      <c r="G48" s="43"/>
    </row>
    <row r="49" spans="2:7" ht="21.75" customHeight="1" x14ac:dyDescent="0.25">
      <c r="B49" s="2"/>
      <c r="D49" s="40"/>
      <c r="E49" s="45"/>
      <c r="G49" s="43"/>
    </row>
    <row r="50" spans="2:7" ht="21.75" customHeight="1" x14ac:dyDescent="0.25">
      <c r="B50" s="2"/>
      <c r="E50" s="45"/>
      <c r="G50" s="43"/>
    </row>
    <row r="51" spans="2:7" ht="21.75" customHeight="1" x14ac:dyDescent="0.25">
      <c r="B51" s="2"/>
      <c r="E51" s="44"/>
      <c r="G51" s="43"/>
    </row>
    <row r="52" spans="2:7" ht="21.75" customHeight="1" x14ac:dyDescent="0.25">
      <c r="B52" s="2"/>
      <c r="E52" s="44"/>
      <c r="G52" s="43"/>
    </row>
    <row r="53" spans="2:7" ht="21.75" customHeight="1" x14ac:dyDescent="0.25">
      <c r="B53" s="2"/>
      <c r="E53" s="45"/>
      <c r="G53" s="43"/>
    </row>
    <row r="54" spans="2:7" ht="21.75" customHeight="1" x14ac:dyDescent="0.25">
      <c r="B54" s="2"/>
      <c r="D54" s="40"/>
      <c r="E54" s="44"/>
      <c r="G54" s="43"/>
    </row>
    <row r="55" spans="2:7" ht="21.75" customHeight="1" x14ac:dyDescent="0.25">
      <c r="B55" s="2"/>
      <c r="D55" s="40"/>
      <c r="E55" s="44"/>
      <c r="G55" s="43"/>
    </row>
    <row r="56" spans="2:7" ht="21.75" customHeight="1" x14ac:dyDescent="0.25">
      <c r="B56" s="2"/>
      <c r="D56" s="40"/>
      <c r="E56" s="44"/>
      <c r="G56" s="43"/>
    </row>
    <row r="57" spans="2:7" ht="21.75" customHeight="1" x14ac:dyDescent="0.25">
      <c r="B57" s="2"/>
      <c r="D57" s="40"/>
      <c r="E57" s="44"/>
      <c r="G57" s="43"/>
    </row>
    <row r="58" spans="2:7" ht="21.75" customHeight="1" x14ac:dyDescent="0.25">
      <c r="B58" s="2"/>
      <c r="E58" s="44"/>
      <c r="G58" s="43"/>
    </row>
    <row r="59" spans="2:7" ht="21.75" customHeight="1" x14ac:dyDescent="0.25">
      <c r="B59" s="2"/>
      <c r="D59" s="40"/>
      <c r="E59" s="45"/>
      <c r="G59" s="43"/>
    </row>
    <row r="60" spans="2:7" ht="21.75" customHeight="1" x14ac:dyDescent="0.25">
      <c r="B60" s="2"/>
      <c r="E60" s="45"/>
      <c r="G60" s="43"/>
    </row>
    <row r="61" spans="2:7" ht="21.75" customHeight="1" x14ac:dyDescent="0.25">
      <c r="B61" s="2"/>
      <c r="E61" s="45"/>
      <c r="G61" s="43"/>
    </row>
    <row r="62" spans="2:7" ht="21.75" customHeight="1" x14ac:dyDescent="0.25">
      <c r="B62" s="2"/>
      <c r="E62" s="45"/>
      <c r="G62" s="43"/>
    </row>
    <row r="63" spans="2:7" ht="21.75" customHeight="1" x14ac:dyDescent="0.25">
      <c r="B63" s="2"/>
      <c r="E63" s="45"/>
      <c r="G63" s="43"/>
    </row>
    <row r="64" spans="2:7" ht="21.75" customHeight="1" x14ac:dyDescent="0.25">
      <c r="B64" s="2"/>
      <c r="E64" s="44"/>
      <c r="G64" s="43"/>
    </row>
    <row r="65" spans="2:7" ht="21.75" customHeight="1" x14ac:dyDescent="0.25">
      <c r="B65" s="2"/>
      <c r="E65" s="48"/>
      <c r="G65" s="43"/>
    </row>
    <row r="66" spans="2:7" ht="21.75" customHeight="1" x14ac:dyDescent="0.25">
      <c r="B66" s="2"/>
      <c r="F66" s="9"/>
      <c r="G66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showGridLines="0" tabSelected="1" workbookViewId="0">
      <selection activeCell="G4" sqref="G4:J4"/>
    </sheetView>
  </sheetViews>
  <sheetFormatPr defaultColWidth="3.28515625" defaultRowHeight="15" x14ac:dyDescent="0.25"/>
  <cols>
    <col min="49" max="55" width="17.5703125" style="20" customWidth="1"/>
    <col min="56" max="56" width="17.5703125" customWidth="1"/>
  </cols>
  <sheetData>
    <row r="1" spans="1:54" x14ac:dyDescent="0.25">
      <c r="A1" s="52" t="s">
        <v>60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4"/>
    </row>
    <row r="2" spans="1:54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</row>
    <row r="3" spans="1:54" x14ac:dyDescent="0.25">
      <c r="A3" s="2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22"/>
    </row>
    <row r="4" spans="1:54" ht="21.75" customHeight="1" x14ac:dyDescent="0.25">
      <c r="A4" s="21"/>
      <c r="B4" s="58" t="s">
        <v>23</v>
      </c>
      <c r="C4" s="58"/>
      <c r="D4" s="58"/>
      <c r="E4" s="58"/>
      <c r="F4" s="58"/>
      <c r="G4" s="59">
        <v>171</v>
      </c>
      <c r="H4" s="60"/>
      <c r="I4" s="60"/>
      <c r="J4" s="61"/>
      <c r="K4" s="7"/>
      <c r="L4" s="58" t="s">
        <v>12</v>
      </c>
      <c r="M4" s="58"/>
      <c r="N4" s="58"/>
      <c r="O4" s="59" t="str">
        <f>IFERROR(VLOOKUP(G4,EmployeeList[],2,0),"")</f>
        <v/>
      </c>
      <c r="P4" s="60"/>
      <c r="Q4" s="60"/>
      <c r="R4" s="60"/>
      <c r="S4" s="60"/>
      <c r="T4" s="60"/>
      <c r="U4" s="60"/>
      <c r="V4" s="61"/>
      <c r="W4" s="7"/>
      <c r="X4" s="58" t="s">
        <v>15</v>
      </c>
      <c r="Y4" s="58"/>
      <c r="Z4" s="58"/>
      <c r="AA4" s="58"/>
      <c r="AB4" s="59" t="str">
        <f>IFERROR(VLOOKUP(G4,EmployeeList[],4,0),"")</f>
        <v/>
      </c>
      <c r="AC4" s="60"/>
      <c r="AD4" s="60"/>
      <c r="AE4" s="60"/>
      <c r="AF4" s="60"/>
      <c r="AG4" s="61"/>
      <c r="AH4" s="7"/>
      <c r="AI4" s="58" t="s">
        <v>14</v>
      </c>
      <c r="AJ4" s="58"/>
      <c r="AK4" s="58"/>
      <c r="AL4" s="59" t="str">
        <f>IFERROR(VLOOKUP(G4,EmployeeList[],3,0),"")</f>
        <v/>
      </c>
      <c r="AM4" s="60"/>
      <c r="AN4" s="60"/>
      <c r="AO4" s="60"/>
      <c r="AP4" s="60"/>
      <c r="AQ4" s="61"/>
      <c r="AR4" s="22"/>
    </row>
    <row r="5" spans="1:54" ht="6" customHeight="1" x14ac:dyDescent="0.25">
      <c r="A5" s="2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22"/>
    </row>
    <row r="6" spans="1:54" ht="21.75" customHeight="1" x14ac:dyDescent="0.25">
      <c r="A6" s="21"/>
      <c r="B6" s="58" t="s">
        <v>32</v>
      </c>
      <c r="C6" s="58"/>
      <c r="D6" s="58"/>
      <c r="E6" s="58"/>
      <c r="F6" s="58"/>
      <c r="G6" s="79" t="str">
        <f>IFERROR(VLOOKUP(G4,EmployeeList[],5,0),"")</f>
        <v/>
      </c>
      <c r="H6" s="80"/>
      <c r="I6" s="80"/>
      <c r="J6" s="81"/>
      <c r="K6" s="7"/>
      <c r="L6" s="58" t="s">
        <v>25</v>
      </c>
      <c r="M6" s="58"/>
      <c r="N6" s="58"/>
      <c r="O6" s="59" t="e">
        <f ca="1">DATEDIF(G6,TODAY(),"Y")</f>
        <v>#VALUE!</v>
      </c>
      <c r="P6" s="60"/>
      <c r="Q6" s="60"/>
      <c r="R6" s="60"/>
      <c r="S6" s="60"/>
      <c r="T6" s="60"/>
      <c r="U6" s="60"/>
      <c r="V6" s="61"/>
      <c r="W6" s="7"/>
      <c r="X6" s="58" t="s">
        <v>5</v>
      </c>
      <c r="Y6" s="58"/>
      <c r="Z6" s="58"/>
      <c r="AA6" s="58"/>
      <c r="AB6" s="59" t="str">
        <f>IFERROR(VLOOKUP(G4,EmployeeList[],6,0),"")</f>
        <v/>
      </c>
      <c r="AC6" s="60"/>
      <c r="AD6" s="60"/>
      <c r="AE6" s="60"/>
      <c r="AF6" s="60"/>
      <c r="AG6" s="61"/>
      <c r="AH6" s="7"/>
      <c r="AI6" s="58" t="s">
        <v>24</v>
      </c>
      <c r="AJ6" s="58"/>
      <c r="AK6" s="58"/>
      <c r="AL6" s="62" t="str">
        <f>IFERROR(VLOOKUP(G4,EmployeeList[],7,0),"")</f>
        <v/>
      </c>
      <c r="AM6" s="63"/>
      <c r="AN6" s="63"/>
      <c r="AO6" s="63"/>
      <c r="AP6" s="63"/>
      <c r="AQ6" s="64"/>
      <c r="AR6" s="22"/>
      <c r="AW6" s="20" t="s">
        <v>5</v>
      </c>
      <c r="AX6" s="20" t="s">
        <v>0</v>
      </c>
      <c r="AY6" s="20" t="s">
        <v>1</v>
      </c>
      <c r="AZ6" s="20" t="s">
        <v>2</v>
      </c>
      <c r="BA6" s="20" t="s">
        <v>3</v>
      </c>
      <c r="BB6" s="20" t="s">
        <v>4</v>
      </c>
    </row>
    <row r="7" spans="1:54" x14ac:dyDescent="0.25">
      <c r="A7" s="2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22"/>
      <c r="AW7" s="20" t="str">
        <f>AB6</f>
        <v/>
      </c>
      <c r="AX7" s="39" t="e">
        <f>VLOOKUP(AW7,External[],2,0)</f>
        <v>#N/A</v>
      </c>
      <c r="AY7" s="39" t="e">
        <f>VLOOKUP(AW7,External[],3,0)</f>
        <v>#N/A</v>
      </c>
      <c r="AZ7" s="39" t="e">
        <f>VLOOKUP(AW7,External[],4,0)</f>
        <v>#N/A</v>
      </c>
      <c r="BA7" s="39" t="e">
        <f>VLOOKUP(AW7,External[],5,0)</f>
        <v>#N/A</v>
      </c>
      <c r="BB7" s="39" t="e">
        <f>VLOOKUP(AW7,External[],6,0)</f>
        <v>#N/A</v>
      </c>
    </row>
    <row r="8" spans="1:54" x14ac:dyDescent="0.25">
      <c r="A8" s="2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22"/>
      <c r="AX8" s="20" t="e">
        <f>IF(AL6&gt;=AX7,1,0)</f>
        <v>#N/A</v>
      </c>
      <c r="AY8" s="20" t="e">
        <f>IF(AND(AL6&gt;=AY7,AL6&lt;AX7),1,0)</f>
        <v>#N/A</v>
      </c>
      <c r="AZ8" s="20" t="e">
        <f>IF(AND(AL6&gt;=AZ7,AL6&lt;AY7),1,0)</f>
        <v>#N/A</v>
      </c>
      <c r="BA8" s="20" t="e">
        <f>IF(AND(AL6&gt;=BA7,AL6&lt;AZ7),1,0)</f>
        <v>#N/A</v>
      </c>
      <c r="BB8" s="20" t="e">
        <f>IF(AL6&lt;BA7,1,0)</f>
        <v>#N/A</v>
      </c>
    </row>
    <row r="9" spans="1:54" x14ac:dyDescent="0.25">
      <c r="A9" s="21"/>
      <c r="B9" s="7"/>
      <c r="C9" s="71" t="s">
        <v>33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3"/>
      <c r="AP9" s="7"/>
      <c r="AQ9" s="7"/>
      <c r="AR9" s="22"/>
    </row>
    <row r="10" spans="1:54" x14ac:dyDescent="0.25">
      <c r="A10" s="21"/>
      <c r="B10" s="7"/>
      <c r="C10" s="74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6"/>
      <c r="AP10" s="7"/>
      <c r="AQ10" s="7"/>
      <c r="AR10" s="22"/>
    </row>
    <row r="11" spans="1:54" ht="36.75" customHeight="1" x14ac:dyDescent="0.25">
      <c r="A11" s="21"/>
      <c r="B11" s="7"/>
      <c r="C11" s="14"/>
      <c r="D11" s="7"/>
      <c r="E11" s="77" t="e">
        <f>AX7</f>
        <v>#N/A</v>
      </c>
      <c r="F11" s="78"/>
      <c r="G11" s="78"/>
      <c r="H11" s="78"/>
      <c r="I11" s="78"/>
      <c r="J11" s="78"/>
      <c r="K11" s="78"/>
      <c r="L11" s="77" t="e">
        <f>AY7</f>
        <v>#N/A</v>
      </c>
      <c r="M11" s="78"/>
      <c r="N11" s="78"/>
      <c r="O11" s="78"/>
      <c r="P11" s="78"/>
      <c r="Q11" s="78"/>
      <c r="R11" s="78"/>
      <c r="S11" s="77" t="e">
        <f>AZ7</f>
        <v>#N/A</v>
      </c>
      <c r="T11" s="78"/>
      <c r="U11" s="78"/>
      <c r="V11" s="78"/>
      <c r="W11" s="78"/>
      <c r="X11" s="78"/>
      <c r="Y11" s="78"/>
      <c r="Z11" s="77" t="e">
        <f>BA7</f>
        <v>#N/A</v>
      </c>
      <c r="AA11" s="78"/>
      <c r="AB11" s="78"/>
      <c r="AC11" s="78"/>
      <c r="AD11" s="78"/>
      <c r="AE11" s="78"/>
      <c r="AF11" s="78"/>
      <c r="AG11" s="77" t="e">
        <f>BB7</f>
        <v>#N/A</v>
      </c>
      <c r="AH11" s="78"/>
      <c r="AI11" s="78"/>
      <c r="AJ11" s="78"/>
      <c r="AK11" s="78"/>
      <c r="AL11" s="78"/>
      <c r="AM11" s="78"/>
      <c r="AN11" s="7"/>
      <c r="AO11" s="15"/>
      <c r="AP11" s="7"/>
      <c r="AQ11" s="7"/>
      <c r="AR11" s="22"/>
    </row>
    <row r="12" spans="1:54" ht="15.75" thickBot="1" x14ac:dyDescent="0.3">
      <c r="A12" s="21"/>
      <c r="B12" s="7"/>
      <c r="C12" s="14"/>
      <c r="D12" s="7"/>
      <c r="E12" s="65" t="s">
        <v>18</v>
      </c>
      <c r="F12" s="66"/>
      <c r="G12" s="66"/>
      <c r="H12" s="66"/>
      <c r="I12" s="66"/>
      <c r="J12" s="66"/>
      <c r="K12" s="66"/>
      <c r="L12" s="67" t="s">
        <v>19</v>
      </c>
      <c r="M12" s="67"/>
      <c r="N12" s="67"/>
      <c r="O12" s="67"/>
      <c r="P12" s="67"/>
      <c r="Q12" s="67"/>
      <c r="R12" s="67"/>
      <c r="S12" s="68" t="s">
        <v>20</v>
      </c>
      <c r="T12" s="68"/>
      <c r="U12" s="68"/>
      <c r="V12" s="68"/>
      <c r="W12" s="68"/>
      <c r="X12" s="68"/>
      <c r="Y12" s="68"/>
      <c r="Z12" s="69" t="s">
        <v>21</v>
      </c>
      <c r="AA12" s="69"/>
      <c r="AB12" s="69"/>
      <c r="AC12" s="69"/>
      <c r="AD12" s="69"/>
      <c r="AE12" s="69"/>
      <c r="AF12" s="69"/>
      <c r="AG12" s="70" t="s">
        <v>22</v>
      </c>
      <c r="AH12" s="70"/>
      <c r="AI12" s="70"/>
      <c r="AJ12" s="70"/>
      <c r="AK12" s="70"/>
      <c r="AL12" s="70"/>
      <c r="AM12" s="70"/>
      <c r="AN12" s="7"/>
      <c r="AO12" s="15"/>
      <c r="AP12" s="7"/>
      <c r="AQ12" s="7"/>
      <c r="AR12" s="22"/>
      <c r="AW12" s="20" t="str">
        <f>IFERROR(VLOOKUP(G4,EmployeeList[],7,0),"")</f>
        <v/>
      </c>
    </row>
    <row r="13" spans="1:54" x14ac:dyDescent="0.25">
      <c r="A13" s="21"/>
      <c r="B13" s="7"/>
      <c r="C13" s="14"/>
      <c r="D13" s="7"/>
      <c r="E13" s="26"/>
      <c r="F13" s="26"/>
      <c r="G13" s="26"/>
      <c r="H13" s="12" t="e">
        <f>IF(E14&lt;&gt;"","é","")</f>
        <v>#N/A</v>
      </c>
      <c r="I13" s="26"/>
      <c r="J13" s="26"/>
      <c r="K13" s="26"/>
      <c r="L13" s="26"/>
      <c r="M13" s="26"/>
      <c r="N13" s="26"/>
      <c r="O13" s="27" t="e">
        <f>IF(L14&lt;&gt;"","é","")</f>
        <v>#N/A</v>
      </c>
      <c r="P13" s="26"/>
      <c r="Q13" s="26"/>
      <c r="R13" s="26"/>
      <c r="S13" s="26"/>
      <c r="T13" s="26"/>
      <c r="U13" s="26"/>
      <c r="V13" s="28" t="e">
        <f>IF(S14&lt;&gt;"","é","")</f>
        <v>#N/A</v>
      </c>
      <c r="W13" s="26"/>
      <c r="X13" s="26"/>
      <c r="Y13" s="26"/>
      <c r="Z13" s="26"/>
      <c r="AA13" s="26"/>
      <c r="AB13" s="26"/>
      <c r="AC13" s="29" t="e">
        <f>IF(Z14&lt;&gt;"","é","")</f>
        <v>#N/A</v>
      </c>
      <c r="AD13" s="26"/>
      <c r="AE13" s="26"/>
      <c r="AF13" s="26"/>
      <c r="AG13" s="26"/>
      <c r="AH13" s="26"/>
      <c r="AI13" s="26"/>
      <c r="AJ13" s="30" t="e">
        <f>IF(AG14&lt;&gt;"","é","")</f>
        <v>#N/A</v>
      </c>
      <c r="AK13" s="26"/>
      <c r="AL13" s="26"/>
      <c r="AM13" s="26"/>
      <c r="AN13" s="7"/>
      <c r="AO13" s="15"/>
      <c r="AP13" s="7"/>
      <c r="AQ13" s="7"/>
      <c r="AR13" s="22"/>
    </row>
    <row r="14" spans="1:54" ht="21" customHeight="1" x14ac:dyDescent="0.25">
      <c r="A14" s="21"/>
      <c r="B14" s="7"/>
      <c r="C14" s="14"/>
      <c r="D14" s="7"/>
      <c r="E14" s="87" t="e">
        <f>IF(AX8=0,"",AL6)</f>
        <v>#N/A</v>
      </c>
      <c r="F14" s="87"/>
      <c r="G14" s="87"/>
      <c r="H14" s="87"/>
      <c r="I14" s="87"/>
      <c r="J14" s="87"/>
      <c r="K14" s="87"/>
      <c r="L14" s="87" t="e">
        <f>IF(AY8=0,"",AL6)</f>
        <v>#N/A</v>
      </c>
      <c r="M14" s="87"/>
      <c r="N14" s="87"/>
      <c r="O14" s="87"/>
      <c r="P14" s="87"/>
      <c r="Q14" s="87"/>
      <c r="R14" s="87"/>
      <c r="S14" s="87" t="e">
        <f>IF(AZ8=0,"",AL6)</f>
        <v>#N/A</v>
      </c>
      <c r="T14" s="87"/>
      <c r="U14" s="87"/>
      <c r="V14" s="87"/>
      <c r="W14" s="87"/>
      <c r="X14" s="87"/>
      <c r="Y14" s="87"/>
      <c r="Z14" s="87" t="e">
        <f>IF(BA8=0,"",AL6)</f>
        <v>#N/A</v>
      </c>
      <c r="AA14" s="87"/>
      <c r="AB14" s="87"/>
      <c r="AC14" s="87"/>
      <c r="AD14" s="87"/>
      <c r="AE14" s="87"/>
      <c r="AF14" s="87"/>
      <c r="AG14" s="87" t="e">
        <f>IF(BB8=0,"",AL6)</f>
        <v>#N/A</v>
      </c>
      <c r="AH14" s="87"/>
      <c r="AI14" s="87"/>
      <c r="AJ14" s="87"/>
      <c r="AK14" s="87"/>
      <c r="AL14" s="87"/>
      <c r="AM14" s="87"/>
      <c r="AN14" s="7"/>
      <c r="AO14" s="15"/>
      <c r="AP14" s="7"/>
      <c r="AQ14" s="7"/>
      <c r="AR14" s="22"/>
    </row>
    <row r="15" spans="1:54" ht="21" customHeight="1" x14ac:dyDescent="0.25">
      <c r="A15" s="21"/>
      <c r="B15" s="7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7"/>
      <c r="AQ15" s="7"/>
      <c r="AR15" s="22"/>
    </row>
    <row r="16" spans="1:54" x14ac:dyDescent="0.25">
      <c r="A16" s="2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22"/>
    </row>
    <row r="17" spans="1:52" x14ac:dyDescent="0.25">
      <c r="A17" s="2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2"/>
      <c r="AW17" s="20" t="s">
        <v>5</v>
      </c>
      <c r="AX17" s="20" t="s">
        <v>9</v>
      </c>
      <c r="AY17" s="20" t="s">
        <v>7</v>
      </c>
      <c r="AZ17" s="20" t="s">
        <v>8</v>
      </c>
    </row>
    <row r="18" spans="1:52" x14ac:dyDescent="0.25">
      <c r="A18" s="21"/>
      <c r="B18" s="7"/>
      <c r="C18" s="95" t="s">
        <v>34</v>
      </c>
      <c r="D18" s="95"/>
      <c r="E18" s="95"/>
      <c r="F18" s="95"/>
      <c r="G18" s="95"/>
      <c r="H18" s="95"/>
      <c r="I18" s="95"/>
      <c r="J18" s="95"/>
      <c r="K18" s="95"/>
      <c r="L18" s="7"/>
      <c r="M18" s="7"/>
      <c r="N18" s="95" t="s">
        <v>11</v>
      </c>
      <c r="O18" s="95"/>
      <c r="P18" s="95"/>
      <c r="Q18" s="95"/>
      <c r="R18" s="95"/>
      <c r="S18" s="95"/>
      <c r="T18" s="95"/>
      <c r="U18" s="95"/>
      <c r="V18" s="95"/>
      <c r="W18" s="7"/>
      <c r="X18" s="7"/>
      <c r="Y18" s="75" t="s">
        <v>31</v>
      </c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"/>
      <c r="AQ18" s="7"/>
      <c r="AR18" s="22"/>
      <c r="AW18" s="20" t="str">
        <f>AW7</f>
        <v/>
      </c>
      <c r="AX18" s="20" t="e">
        <f>VLOOKUP(AW18,Internal[],2,0)</f>
        <v>#N/A</v>
      </c>
      <c r="AY18" s="20" t="e">
        <f>VLOOKUP(AW18,Internal[],3,0)</f>
        <v>#N/A</v>
      </c>
      <c r="AZ18" s="20" t="e">
        <f>VLOOKUP(AW18,Internal[],4,0)</f>
        <v>#N/A</v>
      </c>
    </row>
    <row r="19" spans="1:52" x14ac:dyDescent="0.25">
      <c r="A19" s="21"/>
      <c r="B19" s="7"/>
      <c r="C19" s="95"/>
      <c r="D19" s="95"/>
      <c r="E19" s="95"/>
      <c r="F19" s="95"/>
      <c r="G19" s="95"/>
      <c r="H19" s="95"/>
      <c r="I19" s="95"/>
      <c r="J19" s="95"/>
      <c r="K19" s="95"/>
      <c r="L19" s="7"/>
      <c r="M19" s="7"/>
      <c r="N19" s="95"/>
      <c r="O19" s="95"/>
      <c r="P19" s="95"/>
      <c r="Q19" s="95"/>
      <c r="R19" s="95"/>
      <c r="S19" s="95"/>
      <c r="T19" s="95"/>
      <c r="U19" s="95"/>
      <c r="V19" s="95"/>
      <c r="W19" s="7"/>
      <c r="X19" s="7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"/>
      <c r="AQ19" s="7"/>
      <c r="AR19" s="22"/>
    </row>
    <row r="20" spans="1:52" x14ac:dyDescent="0.25">
      <c r="A20" s="21"/>
      <c r="B20" s="7"/>
      <c r="C20" s="13"/>
      <c r="D20" s="36" t="s">
        <v>29</v>
      </c>
      <c r="E20" s="37"/>
      <c r="F20" s="37"/>
      <c r="G20" s="37"/>
      <c r="H20" s="38" t="e">
        <f>IF(AL6&gt;F21,"×","")</f>
        <v>#N/A</v>
      </c>
      <c r="I20" s="86" t="e">
        <f>IF(H20&lt;&gt;"",AL6,"")</f>
        <v>#N/A</v>
      </c>
      <c r="J20" s="86"/>
      <c r="K20" s="19"/>
      <c r="L20" s="7"/>
      <c r="M20" s="7"/>
      <c r="N20" s="13"/>
      <c r="O20" s="36" t="s">
        <v>29</v>
      </c>
      <c r="P20" s="37"/>
      <c r="Q20" s="37"/>
      <c r="R20" s="37"/>
      <c r="S20" s="38" t="e">
        <f>IF(AL6&gt;Q21,"×","")</f>
        <v>#N/A</v>
      </c>
      <c r="T20" s="86" t="e">
        <f>IF(S20&lt;&gt;"",AL6,"")</f>
        <v>#N/A</v>
      </c>
      <c r="U20" s="86"/>
      <c r="V20" s="19"/>
      <c r="W20" s="7"/>
      <c r="X20" s="7"/>
      <c r="Y20" s="13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19"/>
      <c r="AP20" s="7"/>
      <c r="AQ20" s="7"/>
      <c r="AR20" s="22"/>
    </row>
    <row r="21" spans="1:52" x14ac:dyDescent="0.25">
      <c r="A21" s="21"/>
      <c r="B21" s="7"/>
      <c r="C21" s="14"/>
      <c r="D21" s="31"/>
      <c r="E21" s="32" t="s">
        <v>9</v>
      </c>
      <c r="F21" s="82" t="e">
        <f>AX18</f>
        <v>#N/A</v>
      </c>
      <c r="G21" s="83"/>
      <c r="H21" s="7"/>
      <c r="I21" s="7"/>
      <c r="J21" s="7"/>
      <c r="K21" s="15"/>
      <c r="L21" s="7"/>
      <c r="M21" s="7"/>
      <c r="N21" s="14"/>
      <c r="O21" s="31"/>
      <c r="P21" s="32" t="s">
        <v>9</v>
      </c>
      <c r="Q21" s="82" t="e">
        <f>AX23</f>
        <v>#N/A</v>
      </c>
      <c r="R21" s="83"/>
      <c r="S21" s="7"/>
      <c r="T21" s="7"/>
      <c r="U21" s="7"/>
      <c r="V21" s="15"/>
      <c r="W21" s="7"/>
      <c r="X21" s="7"/>
      <c r="Y21" s="14"/>
      <c r="Z21" s="96" t="s">
        <v>26</v>
      </c>
      <c r="AA21" s="97"/>
      <c r="AB21" s="97"/>
      <c r="AC21" s="97"/>
      <c r="AD21" s="97"/>
      <c r="AE21" s="98"/>
      <c r="AF21" s="7"/>
      <c r="AG21" s="7"/>
      <c r="AH21" s="88" t="e">
        <f>AL6-AZ7</f>
        <v>#VALUE!</v>
      </c>
      <c r="AI21" s="89"/>
      <c r="AJ21" s="89"/>
      <c r="AK21" s="89"/>
      <c r="AL21" s="89"/>
      <c r="AM21" s="89"/>
      <c r="AN21" s="90"/>
      <c r="AO21" s="15"/>
      <c r="AP21" s="7"/>
      <c r="AQ21" s="7"/>
      <c r="AR21" s="22"/>
    </row>
    <row r="22" spans="1:52" x14ac:dyDescent="0.25">
      <c r="A22" s="21"/>
      <c r="B22" s="7"/>
      <c r="C22" s="14"/>
      <c r="D22" s="31"/>
      <c r="E22" s="33"/>
      <c r="F22" s="34"/>
      <c r="G22" s="35"/>
      <c r="H22" s="7"/>
      <c r="I22" s="7"/>
      <c r="J22" s="7"/>
      <c r="K22" s="15"/>
      <c r="L22" s="7"/>
      <c r="M22" s="7"/>
      <c r="N22" s="14"/>
      <c r="O22" s="31"/>
      <c r="P22" s="33"/>
      <c r="Q22" s="34"/>
      <c r="R22" s="35"/>
      <c r="S22" s="7"/>
      <c r="T22" s="7"/>
      <c r="U22" s="7"/>
      <c r="V22" s="15"/>
      <c r="W22" s="7"/>
      <c r="X22" s="7"/>
      <c r="Y22" s="14"/>
      <c r="Z22" s="99"/>
      <c r="AA22" s="100"/>
      <c r="AB22" s="100"/>
      <c r="AC22" s="100"/>
      <c r="AD22" s="100"/>
      <c r="AE22" s="101"/>
      <c r="AF22" s="7"/>
      <c r="AG22" s="7"/>
      <c r="AH22" s="91"/>
      <c r="AI22" s="92"/>
      <c r="AJ22" s="92"/>
      <c r="AK22" s="92"/>
      <c r="AL22" s="92"/>
      <c r="AM22" s="92"/>
      <c r="AN22" s="93"/>
      <c r="AO22" s="15"/>
      <c r="AP22" s="7"/>
      <c r="AQ22" s="7"/>
      <c r="AR22" s="22"/>
      <c r="AW22" s="20" t="s">
        <v>5</v>
      </c>
      <c r="AX22" s="20" t="s">
        <v>9</v>
      </c>
      <c r="AY22" s="20" t="s">
        <v>7</v>
      </c>
      <c r="AZ22" s="20" t="s">
        <v>8</v>
      </c>
    </row>
    <row r="23" spans="1:52" x14ac:dyDescent="0.25">
      <c r="A23" s="21"/>
      <c r="B23" s="7"/>
      <c r="C23" s="14"/>
      <c r="D23" s="31"/>
      <c r="E23" s="33"/>
      <c r="F23" s="34"/>
      <c r="G23" s="35"/>
      <c r="H23" s="27" t="e">
        <f>IF(AND(AL6&gt;F25,AL6&lt;=F21),"×","")</f>
        <v>#N/A</v>
      </c>
      <c r="I23" s="84" t="e">
        <f>IF(H23&lt;&gt;"",AL6,"")</f>
        <v>#N/A</v>
      </c>
      <c r="J23" s="84"/>
      <c r="K23" s="15"/>
      <c r="L23" s="7"/>
      <c r="M23" s="7"/>
      <c r="N23" s="14"/>
      <c r="O23" s="31"/>
      <c r="P23" s="33"/>
      <c r="Q23" s="34"/>
      <c r="R23" s="35"/>
      <c r="S23" s="27" t="e">
        <f>IF(AND(AL6&gt;Q25,AL6&lt;=Q21),"×","")</f>
        <v>#N/A</v>
      </c>
      <c r="T23" s="84" t="e">
        <f>IF(S23&lt;&gt;"",AL6,"")</f>
        <v>#N/A</v>
      </c>
      <c r="U23" s="84"/>
      <c r="V23" s="15"/>
      <c r="W23" s="7"/>
      <c r="X23" s="7"/>
      <c r="Y23" s="1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15"/>
      <c r="AP23" s="7"/>
      <c r="AQ23" s="7"/>
      <c r="AR23" s="22"/>
      <c r="AW23" s="20" t="str">
        <f>AW18</f>
        <v/>
      </c>
      <c r="AX23" s="20" t="e">
        <f>VLOOKUP(AW23,salary_Scale[],2,0)</f>
        <v>#N/A</v>
      </c>
      <c r="AY23" s="20" t="e">
        <f>VLOOKUP(AW23,salary_Scale[],3,0)</f>
        <v>#N/A</v>
      </c>
      <c r="AZ23" s="20" t="e">
        <f>VLOOKUP(AW23,salary_Scale[],4,0)</f>
        <v>#N/A</v>
      </c>
    </row>
    <row r="24" spans="1:52" x14ac:dyDescent="0.25">
      <c r="A24" s="21"/>
      <c r="B24" s="7"/>
      <c r="C24" s="14"/>
      <c r="D24" s="31"/>
      <c r="E24" s="33"/>
      <c r="F24" s="34"/>
      <c r="G24" s="35"/>
      <c r="H24" s="7"/>
      <c r="I24" s="7"/>
      <c r="J24" s="7"/>
      <c r="K24" s="15"/>
      <c r="L24" s="7"/>
      <c r="M24" s="7"/>
      <c r="N24" s="14"/>
      <c r="O24" s="31"/>
      <c r="P24" s="33"/>
      <c r="Q24" s="34"/>
      <c r="R24" s="35"/>
      <c r="S24" s="7"/>
      <c r="T24" s="7"/>
      <c r="U24" s="7"/>
      <c r="V24" s="15"/>
      <c r="W24" s="7"/>
      <c r="X24" s="7"/>
      <c r="Y24" s="1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15"/>
      <c r="AP24" s="7"/>
      <c r="AQ24" s="7"/>
      <c r="AR24" s="22"/>
    </row>
    <row r="25" spans="1:52" x14ac:dyDescent="0.25">
      <c r="A25" s="21"/>
      <c r="B25" s="7"/>
      <c r="C25" s="14"/>
      <c r="D25" s="31"/>
      <c r="E25" s="32" t="s">
        <v>27</v>
      </c>
      <c r="F25" s="82" t="e">
        <f>AY18</f>
        <v>#N/A</v>
      </c>
      <c r="G25" s="83"/>
      <c r="H25" s="7"/>
      <c r="I25" s="7"/>
      <c r="J25" s="7"/>
      <c r="K25" s="15"/>
      <c r="L25" s="7"/>
      <c r="M25" s="7"/>
      <c r="N25" s="14"/>
      <c r="O25" s="31"/>
      <c r="P25" s="32" t="s">
        <v>27</v>
      </c>
      <c r="Q25" s="82" t="e">
        <f>AY23</f>
        <v>#N/A</v>
      </c>
      <c r="R25" s="83"/>
      <c r="S25" s="7"/>
      <c r="T25" s="7"/>
      <c r="U25" s="7"/>
      <c r="V25" s="15"/>
      <c r="W25" s="7"/>
      <c r="X25" s="7"/>
      <c r="Y25" s="14"/>
      <c r="Z25" s="96" t="s">
        <v>30</v>
      </c>
      <c r="AA25" s="97"/>
      <c r="AB25" s="97"/>
      <c r="AC25" s="97"/>
      <c r="AD25" s="97"/>
      <c r="AE25" s="98"/>
      <c r="AF25" s="7"/>
      <c r="AG25" s="7"/>
      <c r="AH25" s="88" t="e">
        <f>AL6-AY18</f>
        <v>#VALUE!</v>
      </c>
      <c r="AI25" s="89"/>
      <c r="AJ25" s="89"/>
      <c r="AK25" s="89"/>
      <c r="AL25" s="89"/>
      <c r="AM25" s="89"/>
      <c r="AN25" s="90"/>
      <c r="AO25" s="15"/>
      <c r="AP25" s="7"/>
      <c r="AQ25" s="7"/>
      <c r="AR25" s="22"/>
    </row>
    <row r="26" spans="1:52" x14ac:dyDescent="0.25">
      <c r="A26" s="21"/>
      <c r="B26" s="7"/>
      <c r="C26" s="14"/>
      <c r="D26" s="31"/>
      <c r="E26" s="33"/>
      <c r="F26" s="34"/>
      <c r="G26" s="35"/>
      <c r="H26" s="7"/>
      <c r="I26" s="7"/>
      <c r="J26" s="7"/>
      <c r="K26" s="15"/>
      <c r="L26" s="7"/>
      <c r="M26" s="7"/>
      <c r="N26" s="14"/>
      <c r="O26" s="31"/>
      <c r="P26" s="33"/>
      <c r="Q26" s="34"/>
      <c r="R26" s="35"/>
      <c r="S26" s="7"/>
      <c r="T26" s="7"/>
      <c r="U26" s="7"/>
      <c r="V26" s="15"/>
      <c r="W26" s="7"/>
      <c r="X26" s="7"/>
      <c r="Y26" s="14"/>
      <c r="Z26" s="99"/>
      <c r="AA26" s="100"/>
      <c r="AB26" s="100"/>
      <c r="AC26" s="100"/>
      <c r="AD26" s="100"/>
      <c r="AE26" s="101"/>
      <c r="AF26" s="7"/>
      <c r="AG26" s="7"/>
      <c r="AH26" s="91"/>
      <c r="AI26" s="92"/>
      <c r="AJ26" s="92"/>
      <c r="AK26" s="92"/>
      <c r="AL26" s="92"/>
      <c r="AM26" s="92"/>
      <c r="AN26" s="93"/>
      <c r="AO26" s="15"/>
      <c r="AP26" s="7"/>
      <c r="AQ26" s="7"/>
      <c r="AR26" s="22"/>
    </row>
    <row r="27" spans="1:52" x14ac:dyDescent="0.25">
      <c r="A27" s="21"/>
      <c r="B27" s="7"/>
      <c r="C27" s="14"/>
      <c r="D27" s="31"/>
      <c r="E27" s="33"/>
      <c r="F27" s="34"/>
      <c r="G27" s="35"/>
      <c r="H27" s="29" t="e">
        <f>IF(AND(AL6&gt;F29,AL6&lt;=F25),"×","")</f>
        <v>#N/A</v>
      </c>
      <c r="I27" s="85" t="e">
        <f>IF(H27&lt;&gt;"",AL6,"")</f>
        <v>#N/A</v>
      </c>
      <c r="J27" s="85"/>
      <c r="K27" s="15"/>
      <c r="L27" s="7"/>
      <c r="M27" s="7"/>
      <c r="N27" s="14"/>
      <c r="O27" s="31"/>
      <c r="P27" s="33"/>
      <c r="Q27" s="34"/>
      <c r="R27" s="35"/>
      <c r="S27" s="29" t="e">
        <f>IF(AND(AL6&gt;Q29,AL6&lt;=Q25),"×","")</f>
        <v>#N/A</v>
      </c>
      <c r="T27" s="85" t="e">
        <f>IF(S27&lt;&gt;"",AL6,"")</f>
        <v>#N/A</v>
      </c>
      <c r="U27" s="85"/>
      <c r="V27" s="15"/>
      <c r="W27" s="7"/>
      <c r="X27" s="7"/>
      <c r="Y27" s="1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15"/>
      <c r="AP27" s="7"/>
      <c r="AQ27" s="7"/>
      <c r="AR27" s="22"/>
    </row>
    <row r="28" spans="1:52" x14ac:dyDescent="0.25">
      <c r="A28" s="21"/>
      <c r="B28" s="7"/>
      <c r="C28" s="14"/>
      <c r="D28" s="31"/>
      <c r="E28" s="33"/>
      <c r="F28" s="34"/>
      <c r="G28" s="35"/>
      <c r="H28" s="7"/>
      <c r="I28" s="7"/>
      <c r="J28" s="7"/>
      <c r="K28" s="15"/>
      <c r="L28" s="7"/>
      <c r="M28" s="7"/>
      <c r="N28" s="14"/>
      <c r="O28" s="31"/>
      <c r="P28" s="33"/>
      <c r="Q28" s="34"/>
      <c r="R28" s="35"/>
      <c r="S28" s="7"/>
      <c r="T28" s="7"/>
      <c r="U28" s="7"/>
      <c r="V28" s="15"/>
      <c r="W28" s="7"/>
      <c r="X28" s="7"/>
      <c r="Y28" s="1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5"/>
      <c r="AP28" s="7"/>
      <c r="AQ28" s="7"/>
      <c r="AR28" s="22"/>
    </row>
    <row r="29" spans="1:52" x14ac:dyDescent="0.25">
      <c r="A29" s="21"/>
      <c r="B29" s="7"/>
      <c r="C29" s="14"/>
      <c r="D29" s="31"/>
      <c r="E29" s="32" t="s">
        <v>8</v>
      </c>
      <c r="F29" s="82" t="e">
        <f>AZ18</f>
        <v>#N/A</v>
      </c>
      <c r="G29" s="83"/>
      <c r="H29" s="7"/>
      <c r="I29" s="7"/>
      <c r="J29" s="7"/>
      <c r="K29" s="15"/>
      <c r="L29" s="7"/>
      <c r="M29" s="7"/>
      <c r="N29" s="14"/>
      <c r="O29" s="31"/>
      <c r="P29" s="32" t="s">
        <v>8</v>
      </c>
      <c r="Q29" s="82" t="e">
        <f>AZ23</f>
        <v>#N/A</v>
      </c>
      <c r="R29" s="83"/>
      <c r="S29" s="7"/>
      <c r="T29" s="7"/>
      <c r="U29" s="7"/>
      <c r="V29" s="15"/>
      <c r="W29" s="7"/>
      <c r="X29" s="7"/>
      <c r="Y29" s="14"/>
      <c r="Z29" s="96" t="s">
        <v>11</v>
      </c>
      <c r="AA29" s="97"/>
      <c r="AB29" s="97"/>
      <c r="AC29" s="97"/>
      <c r="AD29" s="97"/>
      <c r="AE29" s="98"/>
      <c r="AF29" s="7"/>
      <c r="AG29" s="7"/>
      <c r="AH29" s="88" t="e">
        <f>AL6-AY23</f>
        <v>#VALUE!</v>
      </c>
      <c r="AI29" s="89"/>
      <c r="AJ29" s="89"/>
      <c r="AK29" s="89"/>
      <c r="AL29" s="89"/>
      <c r="AM29" s="89"/>
      <c r="AN29" s="90"/>
      <c r="AO29" s="15"/>
      <c r="AP29" s="7"/>
      <c r="AQ29" s="7"/>
      <c r="AR29" s="22"/>
    </row>
    <row r="30" spans="1:52" x14ac:dyDescent="0.25">
      <c r="A30" s="21"/>
      <c r="B30" s="7"/>
      <c r="C30" s="14"/>
      <c r="D30" s="31"/>
      <c r="E30" s="7"/>
      <c r="F30" s="7"/>
      <c r="G30" s="31"/>
      <c r="H30" s="7"/>
      <c r="I30" s="7"/>
      <c r="J30" s="7"/>
      <c r="K30" s="15"/>
      <c r="L30" s="7"/>
      <c r="M30" s="7"/>
      <c r="N30" s="14"/>
      <c r="O30" s="31"/>
      <c r="P30" s="7"/>
      <c r="Q30" s="7"/>
      <c r="R30" s="31"/>
      <c r="S30" s="7"/>
      <c r="T30" s="7"/>
      <c r="U30" s="7"/>
      <c r="V30" s="15"/>
      <c r="W30" s="7"/>
      <c r="X30" s="7"/>
      <c r="Y30" s="14"/>
      <c r="Z30" s="99"/>
      <c r="AA30" s="100"/>
      <c r="AB30" s="100"/>
      <c r="AC30" s="100"/>
      <c r="AD30" s="100"/>
      <c r="AE30" s="101"/>
      <c r="AF30" s="7"/>
      <c r="AG30" s="7"/>
      <c r="AH30" s="91"/>
      <c r="AI30" s="92"/>
      <c r="AJ30" s="92"/>
      <c r="AK30" s="92"/>
      <c r="AL30" s="92"/>
      <c r="AM30" s="92"/>
      <c r="AN30" s="93"/>
      <c r="AO30" s="15"/>
      <c r="AP30" s="7"/>
      <c r="AQ30" s="7"/>
      <c r="AR30" s="22"/>
    </row>
    <row r="31" spans="1:52" ht="19.5" customHeight="1" x14ac:dyDescent="0.25">
      <c r="A31" s="21"/>
      <c r="B31" s="7"/>
      <c r="C31" s="14"/>
      <c r="D31" s="11" t="s">
        <v>28</v>
      </c>
      <c r="E31" s="7"/>
      <c r="F31" s="7"/>
      <c r="G31" s="7"/>
      <c r="H31" s="30" t="e">
        <f>IF(AL6&lt;F29,"×","")</f>
        <v>#N/A</v>
      </c>
      <c r="I31" s="94" t="e">
        <f>IF(H31&lt;&gt;"",AL6,"")</f>
        <v>#N/A</v>
      </c>
      <c r="J31" s="94"/>
      <c r="K31" s="15"/>
      <c r="L31" s="7"/>
      <c r="M31" s="7"/>
      <c r="N31" s="14"/>
      <c r="O31" s="11" t="s">
        <v>28</v>
      </c>
      <c r="P31" s="7"/>
      <c r="Q31" s="7"/>
      <c r="R31" s="7"/>
      <c r="S31" s="30" t="e">
        <f>IF(AL6&lt;Q29,"×","")</f>
        <v>#N/A</v>
      </c>
      <c r="T31" s="94" t="e">
        <f>IF(S31&lt;&gt;"",AL6,"")</f>
        <v>#N/A</v>
      </c>
      <c r="U31" s="94"/>
      <c r="V31" s="15"/>
      <c r="W31" s="7"/>
      <c r="X31" s="7"/>
      <c r="Y31" s="1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15"/>
      <c r="AP31" s="7"/>
      <c r="AQ31" s="7"/>
      <c r="AR31" s="22"/>
    </row>
    <row r="32" spans="1:52" ht="18.75" customHeight="1" x14ac:dyDescent="0.25">
      <c r="A32" s="21"/>
      <c r="B32" s="7"/>
      <c r="C32" s="16"/>
      <c r="D32" s="17"/>
      <c r="E32" s="17"/>
      <c r="F32" s="17"/>
      <c r="G32" s="17"/>
      <c r="H32" s="17"/>
      <c r="I32" s="17"/>
      <c r="J32" s="17"/>
      <c r="K32" s="18"/>
      <c r="L32" s="7"/>
      <c r="M32" s="7"/>
      <c r="N32" s="16"/>
      <c r="O32" s="17"/>
      <c r="P32" s="17"/>
      <c r="Q32" s="17"/>
      <c r="R32" s="17"/>
      <c r="S32" s="17"/>
      <c r="T32" s="17"/>
      <c r="U32" s="17"/>
      <c r="V32" s="18"/>
      <c r="W32" s="7"/>
      <c r="X32" s="7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7"/>
      <c r="AQ32" s="7"/>
      <c r="AR32" s="22"/>
    </row>
    <row r="33" spans="1:44" x14ac:dyDescent="0.25">
      <c r="A33" s="2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2"/>
    </row>
    <row r="34" spans="1:44" x14ac:dyDescent="0.2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5"/>
    </row>
  </sheetData>
  <mergeCells count="56">
    <mergeCell ref="I31:J31"/>
    <mergeCell ref="S11:Y11"/>
    <mergeCell ref="T23:U23"/>
    <mergeCell ref="C18:K19"/>
    <mergeCell ref="N18:V19"/>
    <mergeCell ref="T20:U20"/>
    <mergeCell ref="Q21:R21"/>
    <mergeCell ref="Y18:AO19"/>
    <mergeCell ref="Z21:AE22"/>
    <mergeCell ref="F21:G21"/>
    <mergeCell ref="T31:U31"/>
    <mergeCell ref="Z25:AE26"/>
    <mergeCell ref="Z29:AE30"/>
    <mergeCell ref="Z11:AF11"/>
    <mergeCell ref="AG11:AM11"/>
    <mergeCell ref="E14:K14"/>
    <mergeCell ref="F29:G29"/>
    <mergeCell ref="I23:J23"/>
    <mergeCell ref="I27:J27"/>
    <mergeCell ref="I20:J20"/>
    <mergeCell ref="AI6:AK6"/>
    <mergeCell ref="L14:R14"/>
    <mergeCell ref="S14:Y14"/>
    <mergeCell ref="Z14:AF14"/>
    <mergeCell ref="AG14:AM14"/>
    <mergeCell ref="F25:G25"/>
    <mergeCell ref="AH21:AN22"/>
    <mergeCell ref="AH25:AN26"/>
    <mergeCell ref="AH29:AN30"/>
    <mergeCell ref="Q25:R25"/>
    <mergeCell ref="T27:U27"/>
    <mergeCell ref="Q29:R29"/>
    <mergeCell ref="AL6:AQ6"/>
    <mergeCell ref="E12:K12"/>
    <mergeCell ref="L12:R12"/>
    <mergeCell ref="S12:Y12"/>
    <mergeCell ref="Z12:AF12"/>
    <mergeCell ref="AG12:AM12"/>
    <mergeCell ref="C9:AO10"/>
    <mergeCell ref="E11:K11"/>
    <mergeCell ref="L11:R11"/>
    <mergeCell ref="B6:F6"/>
    <mergeCell ref="G6:J6"/>
    <mergeCell ref="L6:N6"/>
    <mergeCell ref="O6:V6"/>
    <mergeCell ref="X6:AA6"/>
    <mergeCell ref="AB6:AG6"/>
    <mergeCell ref="A1:AR2"/>
    <mergeCell ref="B4:F4"/>
    <mergeCell ref="G4:J4"/>
    <mergeCell ref="L4:N4"/>
    <mergeCell ref="O4:V4"/>
    <mergeCell ref="X4:AA4"/>
    <mergeCell ref="AB4:AG4"/>
    <mergeCell ref="AI4:AK4"/>
    <mergeCell ref="AL4:AQ4"/>
  </mergeCells>
  <conditionalFormatting sqref="E14:K14">
    <cfRule type="cellIs" dxfId="14" priority="15" operator="notEqual">
      <formula>""</formula>
    </cfRule>
  </conditionalFormatting>
  <conditionalFormatting sqref="L14:R14">
    <cfRule type="cellIs" dxfId="13" priority="14" operator="notEqual">
      <formula>""</formula>
    </cfRule>
  </conditionalFormatting>
  <conditionalFormatting sqref="S14:Y14">
    <cfRule type="cellIs" dxfId="12" priority="13" operator="notEqual">
      <formula>""</formula>
    </cfRule>
  </conditionalFormatting>
  <conditionalFormatting sqref="Z14:AF14">
    <cfRule type="cellIs" dxfId="11" priority="12" operator="notEqual">
      <formula>""</formula>
    </cfRule>
  </conditionalFormatting>
  <conditionalFormatting sqref="AG14:AM14">
    <cfRule type="cellIs" dxfId="10" priority="11" operator="notEqual">
      <formula>""</formula>
    </cfRule>
  </conditionalFormatting>
  <conditionalFormatting sqref="E20:G21">
    <cfRule type="expression" dxfId="9" priority="10">
      <formula>$I$20&lt;&gt;""</formula>
    </cfRule>
  </conditionalFormatting>
  <conditionalFormatting sqref="E22:G25">
    <cfRule type="expression" dxfId="8" priority="9">
      <formula>$I$23&lt;&gt;""</formula>
    </cfRule>
  </conditionalFormatting>
  <conditionalFormatting sqref="E26:G29">
    <cfRule type="expression" dxfId="7" priority="8">
      <formula>$I$27&lt;&gt;""</formula>
    </cfRule>
  </conditionalFormatting>
  <conditionalFormatting sqref="E30:G31">
    <cfRule type="expression" dxfId="6" priority="7">
      <formula>$I$31&lt;&gt;""</formula>
    </cfRule>
  </conditionalFormatting>
  <conditionalFormatting sqref="P20:R21">
    <cfRule type="expression" dxfId="5" priority="6">
      <formula>$T$20&lt;&gt;""</formula>
    </cfRule>
  </conditionalFormatting>
  <conditionalFormatting sqref="P22:R25">
    <cfRule type="expression" dxfId="4" priority="5">
      <formula>$T$23&lt;&gt;""</formula>
    </cfRule>
  </conditionalFormatting>
  <conditionalFormatting sqref="P26:R29">
    <cfRule type="expression" dxfId="3" priority="4">
      <formula>$T$27&lt;&gt;""</formula>
    </cfRule>
  </conditionalFormatting>
  <conditionalFormatting sqref="P30:R31">
    <cfRule type="expression" dxfId="2" priority="3">
      <formula>$T$31&lt;&gt;""</formula>
    </cfRule>
  </conditionalFormatting>
  <conditionalFormatting sqref="AH21:AN22 AH25:AN26 AH29:AN30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G4:J4">
      <formula1>IDSList</formula1>
    </dataValidation>
  </dataValidations>
  <printOptions horizontalCentered="1" verticalCentered="1"/>
  <pageMargins left="0.14000000000000001" right="0.15" top="0.38" bottom="0.38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</vt:lpstr>
      <vt:lpstr>Employees Lsit</vt:lpstr>
      <vt:lpstr>Sheet1</vt:lpstr>
      <vt:lpstr>EmployeeBadeg</vt:lpstr>
      <vt:lpstr>IDSList</vt:lpstr>
      <vt:lpstr>Data!Print_Area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 Al-Faify</dc:creator>
  <cp:lastModifiedBy>pc7</cp:lastModifiedBy>
  <cp:lastPrinted>2022-02-07T09:41:31Z</cp:lastPrinted>
  <dcterms:created xsi:type="dcterms:W3CDTF">2021-09-09T16:31:35Z</dcterms:created>
  <dcterms:modified xsi:type="dcterms:W3CDTF">2022-03-01T07:33:26Z</dcterms:modified>
</cp:coreProperties>
</file>