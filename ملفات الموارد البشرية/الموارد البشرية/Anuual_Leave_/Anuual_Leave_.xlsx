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0" yWindow="0" windowWidth="19200" windowHeight="11370" tabRatio="459" activeTab="1"/>
  </bookViews>
  <sheets>
    <sheet name="امثله وقواعد عامه" sheetId="4" r:id="rId1"/>
    <sheet name="رصيد الاجازات " sheetId="5" r:id="rId2"/>
    <sheet name="التبين وقارون" sheetId="2" state="hidden" r:id="rId3"/>
  </sheet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13" i="5" l="1"/>
  <c r="AK13" i="5"/>
  <c r="F3" i="5"/>
  <c r="H3" i="5"/>
  <c r="F4" i="5"/>
  <c r="H4" i="5"/>
  <c r="F5" i="5"/>
  <c r="H5" i="5"/>
  <c r="F6" i="5"/>
  <c r="H6" i="5"/>
  <c r="F7" i="5"/>
  <c r="H7" i="5"/>
  <c r="F8" i="5"/>
  <c r="H8" i="5"/>
  <c r="F9" i="5"/>
  <c r="H9" i="5"/>
  <c r="F10" i="5"/>
  <c r="H10" i="5"/>
  <c r="F11" i="5"/>
  <c r="H11" i="5"/>
  <c r="F12" i="5"/>
  <c r="H12" i="5"/>
  <c r="F13" i="5"/>
  <c r="H13" i="5"/>
  <c r="F14" i="5"/>
  <c r="H14" i="5"/>
  <c r="F15" i="5"/>
  <c r="H15" i="5"/>
  <c r="F16" i="5"/>
  <c r="H16" i="5"/>
  <c r="F17" i="5"/>
  <c r="H17" i="5"/>
  <c r="F18" i="5"/>
  <c r="H18" i="5"/>
  <c r="F19" i="5"/>
  <c r="H19" i="5"/>
  <c r="F20" i="5"/>
  <c r="H20" i="5"/>
  <c r="F21" i="5"/>
  <c r="H21" i="5"/>
  <c r="F22" i="5"/>
  <c r="H22" i="5"/>
  <c r="F23" i="5"/>
  <c r="H23" i="5"/>
  <c r="F24" i="5"/>
  <c r="H24" i="5"/>
  <c r="F25" i="5"/>
  <c r="H25" i="5"/>
  <c r="F26" i="5"/>
  <c r="H26" i="5"/>
  <c r="F27" i="5"/>
  <c r="H27" i="5"/>
  <c r="F28" i="5"/>
  <c r="H28" i="5"/>
  <c r="F29" i="5"/>
  <c r="H29" i="5"/>
  <c r="F30" i="5"/>
  <c r="H30" i="5"/>
  <c r="F31" i="5"/>
  <c r="H31" i="5"/>
  <c r="F32" i="5"/>
  <c r="H32" i="5"/>
  <c r="F33" i="5"/>
  <c r="H33" i="5"/>
  <c r="F34" i="5"/>
  <c r="H34" i="5"/>
  <c r="F35" i="5"/>
  <c r="H35" i="5"/>
  <c r="F36" i="5"/>
  <c r="H36" i="5"/>
  <c r="F37" i="5"/>
  <c r="H37" i="5"/>
  <c r="F38" i="5"/>
  <c r="H38" i="5"/>
  <c r="F39" i="5"/>
  <c r="H39" i="5"/>
  <c r="F40" i="5"/>
  <c r="H40" i="5"/>
  <c r="F41" i="5"/>
  <c r="H41" i="5"/>
  <c r="F42" i="5"/>
  <c r="H42" i="5"/>
  <c r="F43" i="5"/>
  <c r="H43" i="5"/>
  <c r="F44" i="5"/>
  <c r="H44" i="5"/>
  <c r="F45" i="5"/>
  <c r="H45" i="5"/>
  <c r="F46" i="5"/>
  <c r="H46" i="5"/>
  <c r="F47" i="5"/>
  <c r="H47" i="5"/>
  <c r="F48" i="5"/>
  <c r="H48" i="5"/>
  <c r="F49" i="5"/>
  <c r="H49" i="5"/>
  <c r="F50" i="5"/>
  <c r="H50" i="5"/>
  <c r="F51" i="5"/>
  <c r="H51" i="5"/>
  <c r="F52" i="5"/>
  <c r="H52" i="5"/>
  <c r="F53" i="5"/>
  <c r="H53" i="5"/>
  <c r="F54" i="5"/>
  <c r="H54" i="5"/>
  <c r="F55" i="5"/>
  <c r="H55" i="5"/>
  <c r="F56" i="5"/>
  <c r="H56" i="5"/>
  <c r="F57" i="5"/>
  <c r="H57" i="5"/>
  <c r="F58" i="5"/>
  <c r="H58" i="5"/>
  <c r="F59" i="5"/>
  <c r="H59" i="5"/>
  <c r="F60" i="5"/>
  <c r="H60" i="5"/>
  <c r="F61" i="5"/>
  <c r="H61" i="5"/>
  <c r="F62" i="5"/>
  <c r="H62" i="5"/>
  <c r="F63" i="5"/>
  <c r="H63" i="5"/>
  <c r="F64" i="5"/>
  <c r="H64" i="5"/>
  <c r="F65" i="5"/>
  <c r="H65" i="5"/>
  <c r="F66" i="5"/>
  <c r="H66" i="5"/>
  <c r="F67" i="5"/>
  <c r="H67" i="5"/>
  <c r="F68" i="5"/>
  <c r="H68" i="5"/>
  <c r="F69" i="5"/>
  <c r="H69" i="5"/>
  <c r="F70" i="5"/>
  <c r="H70" i="5"/>
  <c r="F71" i="5"/>
  <c r="H71" i="5"/>
  <c r="F72" i="5"/>
  <c r="H72" i="5"/>
  <c r="F73" i="5"/>
  <c r="H73" i="5"/>
  <c r="F74" i="5"/>
  <c r="H74" i="5"/>
  <c r="F75" i="5"/>
  <c r="H75" i="5"/>
  <c r="F76" i="5"/>
  <c r="H76" i="5"/>
  <c r="F77" i="5"/>
  <c r="H77" i="5"/>
  <c r="F78" i="5"/>
  <c r="H78" i="5"/>
  <c r="F79" i="5"/>
  <c r="H79" i="5"/>
  <c r="F80" i="5"/>
  <c r="H80" i="5"/>
  <c r="F81" i="5"/>
  <c r="H81" i="5"/>
  <c r="F82" i="5"/>
  <c r="H82" i="5"/>
  <c r="F83" i="5"/>
  <c r="H83" i="5"/>
  <c r="F84" i="5"/>
  <c r="H84" i="5"/>
  <c r="F85" i="5"/>
  <c r="H85" i="5"/>
  <c r="F86" i="5"/>
  <c r="H86" i="5"/>
  <c r="F87" i="5"/>
  <c r="H87" i="5"/>
  <c r="F88" i="5"/>
  <c r="H88" i="5"/>
  <c r="F89" i="5"/>
  <c r="H89" i="5"/>
  <c r="F90" i="5"/>
  <c r="H90" i="5"/>
  <c r="F91" i="5"/>
  <c r="H91" i="5"/>
  <c r="F92" i="5"/>
  <c r="H92" i="5"/>
  <c r="F93" i="5"/>
  <c r="H93" i="5"/>
  <c r="F94" i="5"/>
  <c r="H94" i="5"/>
  <c r="F95" i="5"/>
  <c r="H95" i="5"/>
  <c r="F96" i="5"/>
  <c r="H96" i="5"/>
  <c r="F97" i="5"/>
  <c r="H97" i="5"/>
  <c r="F98" i="5"/>
  <c r="H98" i="5"/>
  <c r="F99" i="5"/>
  <c r="H99" i="5"/>
  <c r="F100" i="5"/>
  <c r="H100" i="5"/>
  <c r="F101" i="5"/>
  <c r="H101" i="5"/>
  <c r="F102" i="5"/>
  <c r="H102" i="5"/>
  <c r="F103" i="5"/>
  <c r="H103" i="5"/>
  <c r="F104" i="5"/>
  <c r="H104" i="5"/>
  <c r="F105" i="5"/>
  <c r="H105" i="5"/>
  <c r="F106" i="5"/>
  <c r="H106" i="5"/>
  <c r="F107" i="5"/>
  <c r="H107" i="5"/>
  <c r="F108" i="5"/>
  <c r="H108" i="5"/>
  <c r="F109" i="5"/>
  <c r="H109" i="5"/>
  <c r="F110" i="5"/>
  <c r="H110" i="5"/>
  <c r="F111" i="5"/>
  <c r="H111" i="5"/>
  <c r="F112" i="5"/>
  <c r="H112" i="5"/>
  <c r="F113" i="5"/>
  <c r="H113" i="5"/>
  <c r="F114" i="5"/>
  <c r="H114" i="5"/>
  <c r="F115" i="5"/>
  <c r="H115" i="5"/>
  <c r="F116" i="5"/>
  <c r="H116" i="5"/>
  <c r="F117" i="5"/>
  <c r="H117" i="5"/>
  <c r="F118" i="5"/>
  <c r="H118" i="5"/>
  <c r="F119" i="5"/>
  <c r="H119" i="5"/>
  <c r="F120" i="5"/>
  <c r="H120" i="5"/>
  <c r="F121" i="5"/>
  <c r="H121" i="5"/>
  <c r="F122" i="5"/>
  <c r="H122" i="5"/>
  <c r="F123" i="5"/>
  <c r="H123" i="5"/>
  <c r="F124" i="5"/>
  <c r="H124" i="5"/>
  <c r="F125" i="5"/>
  <c r="H125" i="5"/>
  <c r="F126" i="5"/>
  <c r="H126" i="5"/>
  <c r="F127" i="5"/>
  <c r="H127" i="5"/>
  <c r="F128" i="5"/>
  <c r="H128" i="5"/>
  <c r="F129" i="5"/>
  <c r="H129" i="5"/>
  <c r="F130" i="5"/>
  <c r="H130" i="5"/>
  <c r="F131" i="5"/>
  <c r="H131" i="5"/>
  <c r="F132" i="5"/>
  <c r="H132" i="5"/>
  <c r="F133" i="5"/>
  <c r="H133" i="5"/>
  <c r="AI13" i="5" l="1"/>
  <c r="AG13" i="5" s="1"/>
  <c r="AJ61" i="5"/>
  <c r="AK61" i="5"/>
  <c r="AK53" i="5"/>
  <c r="AJ53" i="5"/>
  <c r="AI61" i="5"/>
  <c r="AG61" i="5" s="1"/>
  <c r="AI53" i="5"/>
  <c r="AL13" i="5" l="1"/>
  <c r="AL61" i="5"/>
  <c r="AL53" i="5"/>
  <c r="AG53" i="5"/>
  <c r="AJ37" i="5" l="1"/>
  <c r="AK37" i="5"/>
  <c r="AJ4" i="5"/>
  <c r="AK4" i="5"/>
  <c r="AI4" i="5" l="1"/>
  <c r="AG4" i="5" s="1"/>
  <c r="AL4" i="5" l="1"/>
  <c r="AI37" i="5"/>
  <c r="AI11" i="4"/>
  <c r="AG37" i="5" l="1"/>
  <c r="AL37" i="5"/>
  <c r="AK203" i="5"/>
  <c r="AJ203" i="5"/>
  <c r="H203" i="5"/>
  <c r="F203" i="5"/>
  <c r="AK202" i="5"/>
  <c r="AJ202" i="5"/>
  <c r="H202" i="5"/>
  <c r="F202" i="5"/>
  <c r="AK201" i="5"/>
  <c r="AJ201" i="5"/>
  <c r="H201" i="5"/>
  <c r="F201" i="5"/>
  <c r="AK200" i="5"/>
  <c r="AJ200" i="5"/>
  <c r="H200" i="5"/>
  <c r="F200" i="5"/>
  <c r="AK199" i="5"/>
  <c r="AJ199" i="5"/>
  <c r="H199" i="5"/>
  <c r="F199" i="5"/>
  <c r="AK198" i="5"/>
  <c r="AJ198" i="5"/>
  <c r="H198" i="5"/>
  <c r="F198" i="5"/>
  <c r="AK197" i="5"/>
  <c r="AJ197" i="5"/>
  <c r="H197" i="5"/>
  <c r="F197" i="5"/>
  <c r="AK196" i="5"/>
  <c r="AJ196" i="5"/>
  <c r="H196" i="5"/>
  <c r="F196" i="5"/>
  <c r="AK195" i="5"/>
  <c r="AJ195" i="5"/>
  <c r="H195" i="5"/>
  <c r="F195" i="5"/>
  <c r="AK194" i="5"/>
  <c r="AJ194" i="5"/>
  <c r="H194" i="5"/>
  <c r="F194" i="5"/>
  <c r="AK193" i="5"/>
  <c r="AJ193" i="5"/>
  <c r="H193" i="5"/>
  <c r="F193" i="5"/>
  <c r="AK192" i="5"/>
  <c r="AJ192" i="5"/>
  <c r="H192" i="5"/>
  <c r="F192" i="5"/>
  <c r="AK191" i="5"/>
  <c r="AJ191" i="5"/>
  <c r="H191" i="5"/>
  <c r="F191" i="5"/>
  <c r="AK190" i="5"/>
  <c r="AJ190" i="5"/>
  <c r="H190" i="5"/>
  <c r="F190" i="5"/>
  <c r="AK189" i="5"/>
  <c r="AJ189" i="5"/>
  <c r="H189" i="5"/>
  <c r="F189" i="5"/>
  <c r="AK188" i="5"/>
  <c r="AJ188" i="5"/>
  <c r="H188" i="5"/>
  <c r="F188" i="5"/>
  <c r="AK187" i="5"/>
  <c r="AJ187" i="5"/>
  <c r="H187" i="5"/>
  <c r="F187" i="5"/>
  <c r="AK186" i="5"/>
  <c r="AJ186" i="5"/>
  <c r="H186" i="5"/>
  <c r="F186" i="5"/>
  <c r="AK185" i="5"/>
  <c r="AJ185" i="5"/>
  <c r="H185" i="5"/>
  <c r="F185" i="5"/>
  <c r="AK184" i="5"/>
  <c r="AJ184" i="5"/>
  <c r="H184" i="5"/>
  <c r="F184" i="5"/>
  <c r="AK183" i="5"/>
  <c r="AJ183" i="5"/>
  <c r="H183" i="5"/>
  <c r="F183" i="5"/>
  <c r="AK182" i="5"/>
  <c r="AJ182" i="5"/>
  <c r="H182" i="5"/>
  <c r="F182" i="5"/>
  <c r="AK181" i="5"/>
  <c r="AJ181" i="5"/>
  <c r="H181" i="5"/>
  <c r="F181" i="5"/>
  <c r="AK180" i="5"/>
  <c r="AJ180" i="5"/>
  <c r="H180" i="5"/>
  <c r="F180" i="5"/>
  <c r="AK179" i="5"/>
  <c r="AJ179" i="5"/>
  <c r="H179" i="5"/>
  <c r="F179" i="5"/>
  <c r="AK178" i="5"/>
  <c r="AJ178" i="5"/>
  <c r="H178" i="5"/>
  <c r="F178" i="5"/>
  <c r="AK177" i="5"/>
  <c r="AJ177" i="5"/>
  <c r="H177" i="5"/>
  <c r="F177" i="5"/>
  <c r="AK176" i="5"/>
  <c r="AJ176" i="5"/>
  <c r="H176" i="5"/>
  <c r="F176" i="5"/>
  <c r="AK175" i="5"/>
  <c r="AJ175" i="5"/>
  <c r="H175" i="5"/>
  <c r="F175" i="5"/>
  <c r="AK174" i="5"/>
  <c r="AJ174" i="5"/>
  <c r="H174" i="5"/>
  <c r="F174" i="5"/>
  <c r="AK173" i="5"/>
  <c r="AJ173" i="5"/>
  <c r="H173" i="5"/>
  <c r="F173" i="5"/>
  <c r="AK172" i="5"/>
  <c r="AJ172" i="5"/>
  <c r="H172" i="5"/>
  <c r="F172" i="5"/>
  <c r="AK171" i="5"/>
  <c r="AJ171" i="5"/>
  <c r="H171" i="5"/>
  <c r="F171" i="5"/>
  <c r="AK170" i="5"/>
  <c r="AJ170" i="5"/>
  <c r="H170" i="5"/>
  <c r="F170" i="5"/>
  <c r="AK169" i="5"/>
  <c r="AJ169" i="5"/>
  <c r="H169" i="5"/>
  <c r="F169" i="5"/>
  <c r="AK168" i="5"/>
  <c r="AJ168" i="5"/>
  <c r="H168" i="5"/>
  <c r="F168" i="5"/>
  <c r="AK167" i="5"/>
  <c r="AJ167" i="5"/>
  <c r="H167" i="5"/>
  <c r="F167" i="5"/>
  <c r="AK166" i="5"/>
  <c r="AJ166" i="5"/>
  <c r="H166" i="5"/>
  <c r="F166" i="5"/>
  <c r="AK165" i="5"/>
  <c r="AJ165" i="5"/>
  <c r="H165" i="5"/>
  <c r="F165" i="5"/>
  <c r="AK164" i="5"/>
  <c r="AJ164" i="5"/>
  <c r="H164" i="5"/>
  <c r="F164" i="5"/>
  <c r="AK163" i="5"/>
  <c r="AJ163" i="5"/>
  <c r="H163" i="5"/>
  <c r="F163" i="5"/>
  <c r="AK162" i="5"/>
  <c r="AJ162" i="5"/>
  <c r="H162" i="5"/>
  <c r="F162" i="5"/>
  <c r="AK161" i="5"/>
  <c r="AJ161" i="5"/>
  <c r="H161" i="5"/>
  <c r="F161" i="5"/>
  <c r="AK160" i="5"/>
  <c r="AJ160" i="5"/>
  <c r="H160" i="5"/>
  <c r="F160" i="5"/>
  <c r="AK159" i="5"/>
  <c r="AJ159" i="5"/>
  <c r="H159" i="5"/>
  <c r="F159" i="5"/>
  <c r="AK158" i="5"/>
  <c r="AJ158" i="5"/>
  <c r="H158" i="5"/>
  <c r="F158" i="5"/>
  <c r="AK157" i="5"/>
  <c r="AJ157" i="5"/>
  <c r="H157" i="5"/>
  <c r="F157" i="5"/>
  <c r="AK156" i="5"/>
  <c r="AJ156" i="5"/>
  <c r="H156" i="5"/>
  <c r="F156" i="5"/>
  <c r="AK155" i="5"/>
  <c r="AJ155" i="5"/>
  <c r="H155" i="5"/>
  <c r="F155" i="5"/>
  <c r="AK154" i="5"/>
  <c r="AJ154" i="5"/>
  <c r="H154" i="5"/>
  <c r="F154" i="5"/>
  <c r="AK153" i="5"/>
  <c r="AJ153" i="5"/>
  <c r="H153" i="5"/>
  <c r="F153" i="5"/>
  <c r="AK152" i="5"/>
  <c r="AJ152" i="5"/>
  <c r="H152" i="5"/>
  <c r="F152" i="5"/>
  <c r="AK151" i="5"/>
  <c r="AJ151" i="5"/>
  <c r="H151" i="5"/>
  <c r="F151" i="5"/>
  <c r="AK150" i="5"/>
  <c r="AJ150" i="5"/>
  <c r="H150" i="5"/>
  <c r="F150" i="5"/>
  <c r="AK149" i="5"/>
  <c r="AJ149" i="5"/>
  <c r="H149" i="5"/>
  <c r="F149" i="5"/>
  <c r="AK148" i="5"/>
  <c r="AJ148" i="5"/>
  <c r="H148" i="5"/>
  <c r="F148" i="5"/>
  <c r="AK147" i="5"/>
  <c r="AJ147" i="5"/>
  <c r="H147" i="5"/>
  <c r="F147" i="5"/>
  <c r="AK146" i="5"/>
  <c r="AJ146" i="5"/>
  <c r="H146" i="5"/>
  <c r="F146" i="5"/>
  <c r="AK145" i="5"/>
  <c r="AJ145" i="5"/>
  <c r="H145" i="5"/>
  <c r="F145" i="5"/>
  <c r="AK144" i="5"/>
  <c r="AJ144" i="5"/>
  <c r="H144" i="5"/>
  <c r="F144" i="5"/>
  <c r="AK143" i="5"/>
  <c r="AJ143" i="5"/>
  <c r="H143" i="5"/>
  <c r="F143" i="5"/>
  <c r="AK142" i="5"/>
  <c r="AJ142" i="5"/>
  <c r="H142" i="5"/>
  <c r="F142" i="5"/>
  <c r="AK141" i="5"/>
  <c r="AJ141" i="5"/>
  <c r="H141" i="5"/>
  <c r="F141" i="5"/>
  <c r="AK140" i="5"/>
  <c r="AJ140" i="5"/>
  <c r="H140" i="5"/>
  <c r="F140" i="5"/>
  <c r="AK139" i="5"/>
  <c r="AJ139" i="5"/>
  <c r="H139" i="5"/>
  <c r="F139" i="5"/>
  <c r="AK138" i="5"/>
  <c r="AJ138" i="5"/>
  <c r="H138" i="5"/>
  <c r="F138" i="5"/>
  <c r="AK137" i="5"/>
  <c r="AJ137" i="5"/>
  <c r="H137" i="5"/>
  <c r="F137" i="5"/>
  <c r="AK136" i="5"/>
  <c r="AJ136" i="5"/>
  <c r="H136" i="5"/>
  <c r="F136" i="5"/>
  <c r="AK135" i="5"/>
  <c r="AJ135" i="5"/>
  <c r="H135" i="5"/>
  <c r="F135" i="5"/>
  <c r="AK134" i="5"/>
  <c r="AJ134" i="5"/>
  <c r="H134" i="5"/>
  <c r="F134" i="5"/>
  <c r="AK133" i="5"/>
  <c r="AJ133" i="5"/>
  <c r="AK132" i="5"/>
  <c r="AJ132" i="5"/>
  <c r="AK131" i="5"/>
  <c r="AJ131" i="5"/>
  <c r="AK130" i="5"/>
  <c r="AJ130" i="5"/>
  <c r="AK129" i="5"/>
  <c r="AJ129" i="5"/>
  <c r="AK128" i="5"/>
  <c r="AJ128" i="5"/>
  <c r="AK127" i="5"/>
  <c r="AJ127" i="5"/>
  <c r="AK126" i="5"/>
  <c r="AJ126" i="5"/>
  <c r="AK125" i="5"/>
  <c r="AJ125" i="5"/>
  <c r="AK124" i="5"/>
  <c r="AJ124" i="5"/>
  <c r="AK123" i="5"/>
  <c r="AJ123" i="5"/>
  <c r="AK122" i="5"/>
  <c r="AJ122" i="5"/>
  <c r="AK121" i="5"/>
  <c r="AJ121" i="5"/>
  <c r="AK120" i="5"/>
  <c r="AJ120" i="5"/>
  <c r="AK119" i="5"/>
  <c r="AJ119" i="5"/>
  <c r="AK118" i="5"/>
  <c r="AJ118" i="5"/>
  <c r="AK117" i="5"/>
  <c r="AJ117" i="5"/>
  <c r="AK116" i="5"/>
  <c r="AJ116" i="5"/>
  <c r="AK115" i="5"/>
  <c r="AJ115" i="5"/>
  <c r="AK114" i="5"/>
  <c r="AJ114" i="5"/>
  <c r="AK113" i="5"/>
  <c r="AJ113" i="5"/>
  <c r="AK112" i="5"/>
  <c r="AJ112" i="5"/>
  <c r="AK111" i="5"/>
  <c r="AJ111" i="5"/>
  <c r="AK110" i="5"/>
  <c r="AJ110" i="5"/>
  <c r="AK109" i="5"/>
  <c r="AJ109" i="5"/>
  <c r="AK108" i="5"/>
  <c r="AJ108" i="5"/>
  <c r="AK107" i="5"/>
  <c r="AJ107" i="5"/>
  <c r="AK106" i="5"/>
  <c r="AJ106" i="5"/>
  <c r="AK105" i="5"/>
  <c r="AJ105" i="5"/>
  <c r="AK104" i="5"/>
  <c r="AJ104" i="5"/>
  <c r="AK103" i="5"/>
  <c r="AJ103" i="5"/>
  <c r="AK102" i="5"/>
  <c r="AJ102" i="5"/>
  <c r="AK101" i="5"/>
  <c r="AJ101" i="5"/>
  <c r="AK100" i="5"/>
  <c r="AJ100" i="5"/>
  <c r="AK99" i="5"/>
  <c r="AJ99" i="5"/>
  <c r="AK98" i="5"/>
  <c r="AJ98" i="5"/>
  <c r="AK97" i="5"/>
  <c r="AJ97" i="5"/>
  <c r="AK96" i="5"/>
  <c r="AJ96" i="5"/>
  <c r="AK95" i="5"/>
  <c r="AJ95" i="5"/>
  <c r="AK94" i="5"/>
  <c r="AJ94" i="5"/>
  <c r="AK93" i="5"/>
  <c r="AJ93" i="5"/>
  <c r="AK92" i="5"/>
  <c r="AJ92" i="5"/>
  <c r="AK91" i="5"/>
  <c r="AJ91" i="5"/>
  <c r="AK90" i="5"/>
  <c r="AJ90" i="5"/>
  <c r="AK89" i="5"/>
  <c r="AJ89" i="5"/>
  <c r="AK88" i="5"/>
  <c r="AJ88" i="5"/>
  <c r="AK87" i="5"/>
  <c r="AJ87" i="5"/>
  <c r="AK86" i="5"/>
  <c r="AJ86" i="5"/>
  <c r="AK85" i="5"/>
  <c r="AJ85" i="5"/>
  <c r="AK84" i="5"/>
  <c r="AJ84" i="5"/>
  <c r="AK83" i="5"/>
  <c r="AJ83" i="5"/>
  <c r="AK82" i="5"/>
  <c r="AJ82" i="5"/>
  <c r="AK81" i="5"/>
  <c r="AJ81" i="5"/>
  <c r="AK80" i="5"/>
  <c r="AJ80" i="5"/>
  <c r="AK79" i="5"/>
  <c r="AJ79" i="5"/>
  <c r="AK78" i="5"/>
  <c r="AJ78" i="5"/>
  <c r="AK77" i="5"/>
  <c r="AJ77" i="5"/>
  <c r="AK76" i="5"/>
  <c r="AJ76" i="5"/>
  <c r="AK75" i="5"/>
  <c r="AJ75" i="5"/>
  <c r="AK74" i="5"/>
  <c r="AJ74" i="5"/>
  <c r="AK73" i="5"/>
  <c r="AJ73" i="5"/>
  <c r="AK72" i="5"/>
  <c r="AJ72" i="5"/>
  <c r="AK71" i="5"/>
  <c r="AJ71" i="5"/>
  <c r="AK70" i="5"/>
  <c r="AJ70" i="5"/>
  <c r="AK69" i="5"/>
  <c r="AJ69" i="5"/>
  <c r="AK68" i="5"/>
  <c r="AJ68" i="5"/>
  <c r="AK67" i="5"/>
  <c r="AJ67" i="5"/>
  <c r="AK66" i="5"/>
  <c r="AJ66" i="5"/>
  <c r="AK65" i="5"/>
  <c r="AJ65" i="5"/>
  <c r="AK64" i="5"/>
  <c r="AJ64" i="5"/>
  <c r="AK63" i="5"/>
  <c r="AJ63" i="5"/>
  <c r="AK62" i="5"/>
  <c r="AJ62" i="5"/>
  <c r="AK60" i="5"/>
  <c r="AJ60" i="5"/>
  <c r="AK59" i="5"/>
  <c r="AJ59" i="5"/>
  <c r="AK58" i="5"/>
  <c r="AJ58" i="5"/>
  <c r="AK57" i="5"/>
  <c r="AJ57" i="5"/>
  <c r="AK56" i="5"/>
  <c r="AJ56" i="5"/>
  <c r="AK55" i="5"/>
  <c r="AJ55" i="5"/>
  <c r="AK54" i="5"/>
  <c r="AJ54" i="5"/>
  <c r="AK52" i="5"/>
  <c r="AJ52" i="5"/>
  <c r="AK51" i="5"/>
  <c r="AJ51" i="5"/>
  <c r="AK50" i="5"/>
  <c r="AJ50" i="5"/>
  <c r="AK49" i="5"/>
  <c r="AJ49" i="5"/>
  <c r="AK48" i="5"/>
  <c r="AJ48" i="5"/>
  <c r="AK47" i="5"/>
  <c r="AJ47" i="5"/>
  <c r="AK46" i="5"/>
  <c r="AJ46" i="5"/>
  <c r="AK45" i="5"/>
  <c r="AJ45" i="5"/>
  <c r="AK44" i="5"/>
  <c r="AJ44" i="5"/>
  <c r="AK43" i="5"/>
  <c r="AJ43" i="5"/>
  <c r="AK42" i="5"/>
  <c r="AJ42" i="5"/>
  <c r="AK41" i="5"/>
  <c r="AJ41" i="5"/>
  <c r="AK40" i="5"/>
  <c r="AJ40" i="5"/>
  <c r="AK39" i="5"/>
  <c r="AJ39" i="5"/>
  <c r="AK38" i="5"/>
  <c r="AJ38" i="5"/>
  <c r="AK36" i="5"/>
  <c r="AJ36" i="5"/>
  <c r="AK35" i="5"/>
  <c r="AJ35" i="5"/>
  <c r="AK34" i="5"/>
  <c r="AJ34" i="5"/>
  <c r="AK33" i="5"/>
  <c r="AJ33" i="5"/>
  <c r="AK32" i="5"/>
  <c r="AJ32" i="5"/>
  <c r="AK31" i="5"/>
  <c r="AJ31" i="5"/>
  <c r="AK30" i="5"/>
  <c r="AJ30" i="5"/>
  <c r="AK29" i="5"/>
  <c r="AJ29" i="5"/>
  <c r="AK28" i="5"/>
  <c r="AJ28" i="5"/>
  <c r="AK27" i="5"/>
  <c r="AJ27" i="5"/>
  <c r="AK26" i="5"/>
  <c r="AJ26" i="5"/>
  <c r="AK25" i="5"/>
  <c r="AJ25" i="5"/>
  <c r="AK24" i="5"/>
  <c r="AJ24" i="5"/>
  <c r="AK23" i="5"/>
  <c r="AJ23" i="5"/>
  <c r="AK22" i="5"/>
  <c r="AJ22" i="5"/>
  <c r="AK21" i="5"/>
  <c r="AJ21" i="5"/>
  <c r="AK20" i="5"/>
  <c r="AJ20" i="5"/>
  <c r="AK19" i="5"/>
  <c r="AJ19" i="5"/>
  <c r="AK18" i="5"/>
  <c r="AJ18" i="5"/>
  <c r="AK17" i="5"/>
  <c r="AJ17" i="5"/>
  <c r="AK16" i="5"/>
  <c r="AJ16" i="5"/>
  <c r="AK15" i="5"/>
  <c r="AJ15" i="5"/>
  <c r="AK14" i="5"/>
  <c r="AJ14" i="5"/>
  <c r="AK12" i="5"/>
  <c r="AJ12" i="5"/>
  <c r="AK11" i="5"/>
  <c r="AJ11" i="5"/>
  <c r="AK10" i="5"/>
  <c r="AJ10" i="5"/>
  <c r="AK9" i="5"/>
  <c r="AJ9" i="5"/>
  <c r="AK8" i="5"/>
  <c r="AJ8" i="5"/>
  <c r="AK7" i="5"/>
  <c r="AJ7" i="5"/>
  <c r="AK6" i="5"/>
  <c r="AJ6" i="5"/>
  <c r="AK204" i="5"/>
  <c r="AJ204" i="5"/>
  <c r="H204" i="5"/>
  <c r="F204" i="5"/>
  <c r="AK5" i="5"/>
  <c r="AJ5" i="5"/>
  <c r="AK3" i="5"/>
  <c r="AJ3" i="5"/>
  <c r="AI14" i="4"/>
  <c r="F13" i="4"/>
  <c r="F12" i="4"/>
  <c r="F14" i="4"/>
  <c r="F11" i="4"/>
  <c r="AI12" i="4"/>
  <c r="AI13" i="4"/>
  <c r="H11" i="4"/>
  <c r="AI103" i="5" l="1"/>
  <c r="AG103" i="5" s="1"/>
  <c r="AI107" i="5"/>
  <c r="AL107" i="5" s="1"/>
  <c r="AI127" i="5"/>
  <c r="AG127" i="5" s="1"/>
  <c r="AI131" i="5"/>
  <c r="AG131" i="5" s="1"/>
  <c r="AI151" i="5"/>
  <c r="AG151" i="5" s="1"/>
  <c r="AI167" i="5"/>
  <c r="AG167" i="5" s="1"/>
  <c r="AI191" i="5"/>
  <c r="AL191" i="5" s="1"/>
  <c r="AI33" i="5"/>
  <c r="AG33" i="5" s="1"/>
  <c r="AI34" i="5"/>
  <c r="AL34" i="5" s="1"/>
  <c r="AI36" i="5"/>
  <c r="AG36" i="5" s="1"/>
  <c r="AI38" i="5"/>
  <c r="AG38" i="5" s="1"/>
  <c r="AI43" i="5"/>
  <c r="AL43" i="5" s="1"/>
  <c r="AI45" i="5"/>
  <c r="AL45" i="5" s="1"/>
  <c r="AI46" i="5"/>
  <c r="AG46" i="5" s="1"/>
  <c r="AI59" i="5"/>
  <c r="AL59" i="5" s="1"/>
  <c r="AI64" i="5"/>
  <c r="AG64" i="5" s="1"/>
  <c r="AI12" i="5"/>
  <c r="AL12" i="5" s="1"/>
  <c r="AI193" i="5"/>
  <c r="AL193" i="5" s="1"/>
  <c r="AI195" i="5"/>
  <c r="AL195" i="5" s="1"/>
  <c r="AI66" i="5"/>
  <c r="AL66" i="5" s="1"/>
  <c r="AI74" i="5"/>
  <c r="AG74" i="5" s="1"/>
  <c r="AI76" i="5"/>
  <c r="AG76" i="5" s="1"/>
  <c r="AI82" i="5"/>
  <c r="AL82" i="5" s="1"/>
  <c r="AI90" i="5"/>
  <c r="AL90" i="5" s="1"/>
  <c r="AI175" i="5"/>
  <c r="AL175" i="5" s="1"/>
  <c r="AI176" i="5"/>
  <c r="AG176" i="5" s="1"/>
  <c r="AI178" i="5"/>
  <c r="AG178" i="5" s="1"/>
  <c r="AI179" i="5"/>
  <c r="AG179" i="5" s="1"/>
  <c r="AI183" i="5"/>
  <c r="AL183" i="5" s="1"/>
  <c r="AI187" i="5"/>
  <c r="AG187" i="5" s="1"/>
  <c r="AI15" i="5"/>
  <c r="AL15" i="5" s="1"/>
  <c r="AI23" i="5"/>
  <c r="AL23" i="5" s="1"/>
  <c r="AI25" i="5"/>
  <c r="AL25" i="5" s="1"/>
  <c r="AI48" i="5"/>
  <c r="AG48" i="5" s="1"/>
  <c r="AI57" i="5"/>
  <c r="AL57" i="5" s="1"/>
  <c r="AI80" i="5"/>
  <c r="AG80" i="5" s="1"/>
  <c r="AI94" i="5"/>
  <c r="AL94" i="5" s="1"/>
  <c r="AI95" i="5"/>
  <c r="AG95" i="5" s="1"/>
  <c r="AI96" i="5"/>
  <c r="AL96" i="5" s="1"/>
  <c r="AI97" i="5"/>
  <c r="AG97" i="5" s="1"/>
  <c r="AI98" i="5"/>
  <c r="AG98" i="5" s="1"/>
  <c r="AI99" i="5"/>
  <c r="AG99" i="5" s="1"/>
  <c r="AI100" i="5"/>
  <c r="AG100" i="5" s="1"/>
  <c r="AI101" i="5"/>
  <c r="AG101" i="5" s="1"/>
  <c r="AI102" i="5"/>
  <c r="AL102" i="5" s="1"/>
  <c r="AI171" i="5"/>
  <c r="AG171" i="5" s="1"/>
  <c r="AI199" i="5"/>
  <c r="AG199" i="5" s="1"/>
  <c r="AI200" i="5"/>
  <c r="AL200" i="5" s="1"/>
  <c r="AI202" i="5"/>
  <c r="AG202" i="5" s="1"/>
  <c r="AI203" i="5"/>
  <c r="AG203" i="5" s="1"/>
  <c r="AI29" i="5"/>
  <c r="AG29" i="5" s="1"/>
  <c r="AI111" i="5"/>
  <c r="AL111" i="5" s="1"/>
  <c r="AI112" i="5"/>
  <c r="AL112" i="5" s="1"/>
  <c r="AI114" i="5"/>
  <c r="AG114" i="5" s="1"/>
  <c r="AI115" i="5"/>
  <c r="AL115" i="5" s="1"/>
  <c r="AI123" i="5"/>
  <c r="AG123" i="5" s="1"/>
  <c r="AI7" i="5"/>
  <c r="AL7" i="5" s="1"/>
  <c r="AI9" i="5"/>
  <c r="AL9" i="5" s="1"/>
  <c r="AI11" i="5"/>
  <c r="AL11" i="5" s="1"/>
  <c r="AI135" i="5"/>
  <c r="AL135" i="5" s="1"/>
  <c r="AI136" i="5"/>
  <c r="AL136" i="5" s="1"/>
  <c r="AI137" i="5"/>
  <c r="AG137" i="5" s="1"/>
  <c r="AI138" i="5"/>
  <c r="AG138" i="5" s="1"/>
  <c r="AI139" i="5"/>
  <c r="AL139" i="5" s="1"/>
  <c r="AI143" i="5"/>
  <c r="AL143" i="5" s="1"/>
  <c r="AI155" i="5"/>
  <c r="AL155" i="5" s="1"/>
  <c r="AI156" i="5"/>
  <c r="AL156" i="5" s="1"/>
  <c r="AI157" i="5"/>
  <c r="AL157" i="5" s="1"/>
  <c r="AI158" i="5"/>
  <c r="AL158" i="5" s="1"/>
  <c r="AI159" i="5"/>
  <c r="AG159" i="5" s="1"/>
  <c r="AI163" i="5"/>
  <c r="AL163" i="5" s="1"/>
  <c r="AI164" i="5"/>
  <c r="AL164" i="5" s="1"/>
  <c r="AI165" i="5"/>
  <c r="AL165" i="5" s="1"/>
  <c r="AI31" i="5"/>
  <c r="AL31" i="5" s="1"/>
  <c r="AI40" i="5"/>
  <c r="AL40" i="5" s="1"/>
  <c r="AI42" i="5"/>
  <c r="AG42" i="5" s="1"/>
  <c r="AI50" i="5"/>
  <c r="AG50" i="5" s="1"/>
  <c r="AI51" i="5"/>
  <c r="AG51" i="5" s="1"/>
  <c r="AI54" i="5"/>
  <c r="AG54" i="5" s="1"/>
  <c r="AI55" i="5"/>
  <c r="AL55" i="5" s="1"/>
  <c r="AI78" i="5"/>
  <c r="AG78" i="5" s="1"/>
  <c r="AI84" i="5"/>
  <c r="AL84" i="5" s="1"/>
  <c r="AI85" i="5"/>
  <c r="AG85" i="5" s="1"/>
  <c r="AI87" i="5"/>
  <c r="AG87" i="5" s="1"/>
  <c r="AI88" i="5"/>
  <c r="AL88" i="5" s="1"/>
  <c r="AI119" i="5"/>
  <c r="AL119" i="5" s="1"/>
  <c r="AI147" i="5"/>
  <c r="AL147" i="5" s="1"/>
  <c r="AI197" i="5"/>
  <c r="AL197" i="5" s="1"/>
  <c r="AI166" i="5"/>
  <c r="AL166" i="5" s="1"/>
  <c r="AI185" i="5"/>
  <c r="AL185" i="5" s="1"/>
  <c r="AI8" i="5"/>
  <c r="AL8" i="5" s="1"/>
  <c r="AI17" i="5"/>
  <c r="AL17" i="5" s="1"/>
  <c r="AI18" i="5"/>
  <c r="AG18" i="5" s="1"/>
  <c r="AI20" i="5"/>
  <c r="AG20" i="5" s="1"/>
  <c r="AI21" i="5"/>
  <c r="AL21" i="5" s="1"/>
  <c r="AI26" i="5"/>
  <c r="AL26" i="5" s="1"/>
  <c r="AI28" i="5"/>
  <c r="AL28" i="5" s="1"/>
  <c r="AI62" i="5"/>
  <c r="AG62" i="5" s="1"/>
  <c r="AI68" i="5"/>
  <c r="AG68" i="5" s="1"/>
  <c r="AI69" i="5"/>
  <c r="AL69" i="5" s="1"/>
  <c r="AI71" i="5"/>
  <c r="AG71" i="5" s="1"/>
  <c r="AI72" i="5"/>
  <c r="AL72" i="5" s="1"/>
  <c r="AI19" i="5"/>
  <c r="AL19" i="5" s="1"/>
  <c r="AI22" i="5"/>
  <c r="AG22" i="5" s="1"/>
  <c r="AI24" i="5"/>
  <c r="AI35" i="5"/>
  <c r="AL35" i="5" s="1"/>
  <c r="AI39" i="5"/>
  <c r="AL39" i="5" s="1"/>
  <c r="AI41" i="5"/>
  <c r="AI52" i="5"/>
  <c r="AL52" i="5" s="1"/>
  <c r="AI56" i="5"/>
  <c r="AL56" i="5" s="1"/>
  <c r="AI58" i="5"/>
  <c r="AI70" i="5"/>
  <c r="AL70" i="5" s="1"/>
  <c r="AI73" i="5"/>
  <c r="AG73" i="5" s="1"/>
  <c r="AI75" i="5"/>
  <c r="AI86" i="5"/>
  <c r="AG86" i="5" s="1"/>
  <c r="AI89" i="5"/>
  <c r="AG89" i="5" s="1"/>
  <c r="AI91" i="5"/>
  <c r="AL91" i="5" s="1"/>
  <c r="AI92" i="5"/>
  <c r="AL92" i="5" s="1"/>
  <c r="AI93" i="5"/>
  <c r="AL93" i="5" s="1"/>
  <c r="AI120" i="5"/>
  <c r="AL120" i="5" s="1"/>
  <c r="AI121" i="5"/>
  <c r="AL121" i="5" s="1"/>
  <c r="AI122" i="5"/>
  <c r="AG122" i="5" s="1"/>
  <c r="AI140" i="5"/>
  <c r="AG140" i="5" s="1"/>
  <c r="AI141" i="5"/>
  <c r="AG141" i="5" s="1"/>
  <c r="AI142" i="5"/>
  <c r="AG142" i="5" s="1"/>
  <c r="AI148" i="5"/>
  <c r="AL148" i="5" s="1"/>
  <c r="AI149" i="5"/>
  <c r="AG149" i="5" s="1"/>
  <c r="AI150" i="5"/>
  <c r="AI160" i="5"/>
  <c r="AL160" i="5" s="1"/>
  <c r="AI162" i="5"/>
  <c r="AI184" i="5"/>
  <c r="AG184" i="5" s="1"/>
  <c r="AI186" i="5"/>
  <c r="AG186" i="5" s="1"/>
  <c r="AI201" i="5"/>
  <c r="AG201" i="5" s="1"/>
  <c r="AI14" i="5"/>
  <c r="AL14" i="5" s="1"/>
  <c r="AI16" i="5"/>
  <c r="AI30" i="5"/>
  <c r="AL30" i="5" s="1"/>
  <c r="AI32" i="5"/>
  <c r="AI47" i="5"/>
  <c r="AG47" i="5" s="1"/>
  <c r="AI49" i="5"/>
  <c r="AI65" i="5"/>
  <c r="AL65" i="5" s="1"/>
  <c r="AI67" i="5"/>
  <c r="AI81" i="5"/>
  <c r="AL81" i="5" s="1"/>
  <c r="AI83" i="5"/>
  <c r="AI104" i="5"/>
  <c r="AG104" i="5" s="1"/>
  <c r="AI105" i="5"/>
  <c r="AL105" i="5" s="1"/>
  <c r="AI106" i="5"/>
  <c r="AG106" i="5" s="1"/>
  <c r="AI124" i="5"/>
  <c r="AG124" i="5" s="1"/>
  <c r="AI125" i="5"/>
  <c r="AL125" i="5" s="1"/>
  <c r="AI126" i="5"/>
  <c r="AG126" i="5" s="1"/>
  <c r="AI132" i="5"/>
  <c r="AG132" i="5" s="1"/>
  <c r="AI133" i="5"/>
  <c r="AG133" i="5" s="1"/>
  <c r="AI134" i="5"/>
  <c r="AI144" i="5"/>
  <c r="AG144" i="5" s="1"/>
  <c r="AI146" i="5"/>
  <c r="AI168" i="5"/>
  <c r="AG168" i="5" s="1"/>
  <c r="AI169" i="5"/>
  <c r="AL169" i="5" s="1"/>
  <c r="AI170" i="5"/>
  <c r="AG170" i="5" s="1"/>
  <c r="AI188" i="5"/>
  <c r="AG188" i="5" s="1"/>
  <c r="AI189" i="5"/>
  <c r="AL189" i="5" s="1"/>
  <c r="AI190" i="5"/>
  <c r="AL190" i="5" s="1"/>
  <c r="AI196" i="5"/>
  <c r="AL196" i="5" s="1"/>
  <c r="AI198" i="5"/>
  <c r="AI60" i="5"/>
  <c r="AG60" i="5" s="1"/>
  <c r="AI63" i="5"/>
  <c r="AI77" i="5"/>
  <c r="AG77" i="5" s="1"/>
  <c r="AI79" i="5"/>
  <c r="AI108" i="5"/>
  <c r="AL108" i="5" s="1"/>
  <c r="AI109" i="5"/>
  <c r="AG109" i="5" s="1"/>
  <c r="AI110" i="5"/>
  <c r="AL110" i="5" s="1"/>
  <c r="AI116" i="5"/>
  <c r="AL116" i="5" s="1"/>
  <c r="AI117" i="5"/>
  <c r="AG117" i="5" s="1"/>
  <c r="AI118" i="5"/>
  <c r="AI128" i="5"/>
  <c r="AG128" i="5" s="1"/>
  <c r="AI130" i="5"/>
  <c r="AI152" i="5"/>
  <c r="AL152" i="5" s="1"/>
  <c r="AI153" i="5"/>
  <c r="AL153" i="5" s="1"/>
  <c r="AI154" i="5"/>
  <c r="AG154" i="5" s="1"/>
  <c r="AI172" i="5"/>
  <c r="AG172" i="5" s="1"/>
  <c r="AI173" i="5"/>
  <c r="AL173" i="5" s="1"/>
  <c r="AI174" i="5"/>
  <c r="AL174" i="5" s="1"/>
  <c r="AI180" i="5"/>
  <c r="AL180" i="5" s="1"/>
  <c r="AI181" i="5"/>
  <c r="AL181" i="5" s="1"/>
  <c r="AI182" i="5"/>
  <c r="AI192" i="5"/>
  <c r="AL192" i="5" s="1"/>
  <c r="AI194" i="5"/>
  <c r="AI27" i="5"/>
  <c r="AG27" i="5" s="1"/>
  <c r="AI44" i="5"/>
  <c r="AL44" i="5" s="1"/>
  <c r="AI6" i="5"/>
  <c r="AI10" i="5"/>
  <c r="AI113" i="5"/>
  <c r="AI129" i="5"/>
  <c r="AI145" i="5"/>
  <c r="AI161" i="5"/>
  <c r="AI177" i="5"/>
  <c r="AI3" i="5"/>
  <c r="AL3" i="5" s="1"/>
  <c r="AI5" i="5"/>
  <c r="AL5" i="5" s="1"/>
  <c r="AI204" i="5"/>
  <c r="AG204" i="5" s="1"/>
  <c r="AG34" i="5" l="1"/>
  <c r="AL98" i="5"/>
  <c r="AL103" i="5"/>
  <c r="AG88" i="5"/>
  <c r="AG25" i="5"/>
  <c r="AL50" i="5"/>
  <c r="AG195" i="5"/>
  <c r="AG183" i="5"/>
  <c r="AG136" i="5"/>
  <c r="AG12" i="5"/>
  <c r="AG81" i="5"/>
  <c r="AL141" i="5"/>
  <c r="AL159" i="5"/>
  <c r="AL151" i="5"/>
  <c r="AG153" i="5"/>
  <c r="AG158" i="5"/>
  <c r="AL22" i="5"/>
  <c r="AG175" i="5"/>
  <c r="AL71" i="5"/>
  <c r="AL47" i="5"/>
  <c r="AL74" i="5"/>
  <c r="AL176" i="5"/>
  <c r="AL170" i="5"/>
  <c r="AG105" i="5"/>
  <c r="AL202" i="5"/>
  <c r="AL78" i="5"/>
  <c r="AG143" i="5"/>
  <c r="AG40" i="5"/>
  <c r="AG94" i="5"/>
  <c r="AG102" i="5"/>
  <c r="AG45" i="5"/>
  <c r="AL144" i="5"/>
  <c r="AG196" i="5"/>
  <c r="AL187" i="5"/>
  <c r="AL77" i="5"/>
  <c r="AL126" i="5"/>
  <c r="AG14" i="5"/>
  <c r="AL51" i="5"/>
  <c r="AG174" i="5"/>
  <c r="AL109" i="5"/>
  <c r="AG19" i="5"/>
  <c r="AG119" i="5"/>
  <c r="AG193" i="5"/>
  <c r="AL95" i="5"/>
  <c r="AL76" i="5"/>
  <c r="AG31" i="5"/>
  <c r="AL99" i="5"/>
  <c r="AG185" i="5"/>
  <c r="AL167" i="5"/>
  <c r="AL203" i="5"/>
  <c r="AL171" i="5"/>
  <c r="AL137" i="5"/>
  <c r="AG107" i="5"/>
  <c r="AL62" i="5"/>
  <c r="AL48" i="5"/>
  <c r="AG72" i="5"/>
  <c r="AG84" i="5"/>
  <c r="AL20" i="5"/>
  <c r="AL149" i="5"/>
  <c r="AG155" i="5"/>
  <c r="AL46" i="5"/>
  <c r="AG9" i="5"/>
  <c r="AL140" i="5"/>
  <c r="AL86" i="5"/>
  <c r="AL36" i="5"/>
  <c r="AG93" i="5"/>
  <c r="AG173" i="5"/>
  <c r="AG69" i="5"/>
  <c r="AG115" i="5"/>
  <c r="AL100" i="5"/>
  <c r="AG190" i="5"/>
  <c r="AG70" i="5"/>
  <c r="AG57" i="5"/>
  <c r="AL106" i="5"/>
  <c r="AL184" i="5"/>
  <c r="AL127" i="5"/>
  <c r="AG8" i="5"/>
  <c r="AL85" i="5"/>
  <c r="AL68" i="5"/>
  <c r="AL199" i="5"/>
  <c r="AG96" i="5"/>
  <c r="AL29" i="5"/>
  <c r="AL54" i="5"/>
  <c r="AG147" i="5"/>
  <c r="AG156" i="5"/>
  <c r="AL89" i="5"/>
  <c r="AG15" i="5"/>
  <c r="AL38" i="5"/>
  <c r="AG21" i="5"/>
  <c r="AL132" i="5"/>
  <c r="AL117" i="5"/>
  <c r="AG169" i="5"/>
  <c r="AL201" i="5"/>
  <c r="AG82" i="5"/>
  <c r="AL178" i="5"/>
  <c r="AL179" i="5"/>
  <c r="AG163" i="5"/>
  <c r="AL131" i="5"/>
  <c r="AL138" i="5"/>
  <c r="AG120" i="5"/>
  <c r="AG191" i="5"/>
  <c r="AG59" i="5"/>
  <c r="AG192" i="5"/>
  <c r="AG91" i="5"/>
  <c r="AG135" i="5"/>
  <c r="AL97" i="5"/>
  <c r="AG152" i="5"/>
  <c r="AL64" i="5"/>
  <c r="AL33" i="5"/>
  <c r="AG160" i="5"/>
  <c r="AL186" i="5"/>
  <c r="AG164" i="5"/>
  <c r="AL133" i="5"/>
  <c r="AG139" i="5"/>
  <c r="AL123" i="5"/>
  <c r="AL80" i="5"/>
  <c r="AG26" i="5"/>
  <c r="AL142" i="5"/>
  <c r="AG111" i="5"/>
  <c r="AL87" i="5"/>
  <c r="AG30" i="5"/>
  <c r="AG90" i="5"/>
  <c r="AG121" i="5"/>
  <c r="AG157" i="5"/>
  <c r="AL73" i="5"/>
  <c r="AL101" i="5"/>
  <c r="AG200" i="5"/>
  <c r="AL42" i="5"/>
  <c r="AG35" i="5"/>
  <c r="AG165" i="5"/>
  <c r="AG148" i="5"/>
  <c r="AL104" i="5"/>
  <c r="AG92" i="5"/>
  <c r="AL18" i="5"/>
  <c r="AG56" i="5"/>
  <c r="AG39" i="5"/>
  <c r="AG189" i="5"/>
  <c r="AG166" i="5"/>
  <c r="AG197" i="5"/>
  <c r="AL128" i="5"/>
  <c r="AG112" i="5"/>
  <c r="AG181" i="5"/>
  <c r="AG66" i="5"/>
  <c r="AG43" i="5"/>
  <c r="AG55" i="5"/>
  <c r="AG23" i="5"/>
  <c r="AL188" i="5"/>
  <c r="AG52" i="5"/>
  <c r="AG17" i="5"/>
  <c r="AL122" i="5"/>
  <c r="AL168" i="5"/>
  <c r="AL27" i="5"/>
  <c r="AG110" i="5"/>
  <c r="AL124" i="5"/>
  <c r="AG44" i="5"/>
  <c r="AG108" i="5"/>
  <c r="AG11" i="5"/>
  <c r="AG125" i="5"/>
  <c r="AG116" i="5"/>
  <c r="AL60" i="5"/>
  <c r="AL172" i="5"/>
  <c r="AG180" i="5"/>
  <c r="AG65" i="5"/>
  <c r="AG7" i="5"/>
  <c r="AL154" i="5"/>
  <c r="AL114" i="5"/>
  <c r="AG28" i="5"/>
  <c r="AG3" i="5"/>
  <c r="AL204" i="5"/>
  <c r="AL130" i="5"/>
  <c r="AG130" i="5"/>
  <c r="AL134" i="5"/>
  <c r="AG134" i="5"/>
  <c r="AL67" i="5"/>
  <c r="AG67" i="5"/>
  <c r="AL32" i="5"/>
  <c r="AG32" i="5"/>
  <c r="AG162" i="5"/>
  <c r="AL162" i="5"/>
  <c r="AG58" i="5"/>
  <c r="AL58" i="5"/>
  <c r="AG41" i="5"/>
  <c r="AL41" i="5"/>
  <c r="AG24" i="5"/>
  <c r="AL24" i="5"/>
  <c r="AG5" i="5"/>
  <c r="AG194" i="5"/>
  <c r="AL194" i="5"/>
  <c r="AL79" i="5"/>
  <c r="AG79" i="5"/>
  <c r="AL198" i="5"/>
  <c r="AG198" i="5"/>
  <c r="AG75" i="5"/>
  <c r="AL75" i="5"/>
  <c r="AL118" i="5"/>
  <c r="AG118" i="5"/>
  <c r="AG146" i="5"/>
  <c r="AL146" i="5"/>
  <c r="AL83" i="5"/>
  <c r="AG83" i="5"/>
  <c r="AL49" i="5"/>
  <c r="AG49" i="5"/>
  <c r="AL16" i="5"/>
  <c r="AG16" i="5"/>
  <c r="AL150" i="5"/>
  <c r="AG150" i="5"/>
  <c r="AL182" i="5"/>
  <c r="AG182" i="5"/>
  <c r="AL63" i="5"/>
  <c r="AG63" i="5"/>
  <c r="AL177" i="5"/>
  <c r="AG177" i="5"/>
  <c r="AL161" i="5"/>
  <c r="AG161" i="5"/>
  <c r="AL6" i="5"/>
  <c r="AG6" i="5"/>
  <c r="AL145" i="5"/>
  <c r="AG145" i="5"/>
  <c r="AG10" i="5"/>
  <c r="AL10" i="5"/>
  <c r="AL113" i="5"/>
  <c r="AG113" i="5"/>
  <c r="AL129" i="5"/>
  <c r="AG129" i="5"/>
  <c r="AK14" i="4" l="1"/>
  <c r="AJ14" i="4"/>
  <c r="H14" i="4"/>
  <c r="AK13" i="4"/>
  <c r="AJ13" i="4"/>
  <c r="H13" i="4"/>
  <c r="AK12" i="4"/>
  <c r="AJ12" i="4"/>
  <c r="H12" i="4"/>
  <c r="AK11" i="4"/>
  <c r="AJ11" i="4"/>
  <c r="AK6" i="4"/>
  <c r="AJ6" i="4"/>
  <c r="H6" i="4"/>
  <c r="F6" i="4"/>
  <c r="AK5" i="4"/>
  <c r="AJ5" i="4"/>
  <c r="H5" i="4"/>
  <c r="F5" i="4"/>
  <c r="AK4" i="4"/>
  <c r="AJ4" i="4"/>
  <c r="H4" i="4"/>
  <c r="F4" i="4"/>
  <c r="AL12" i="4" l="1"/>
  <c r="AG13" i="4"/>
  <c r="AL14" i="4"/>
  <c r="AI4" i="4"/>
  <c r="AG4" i="4" s="1"/>
  <c r="AI5" i="4"/>
  <c r="AL5" i="4" s="1"/>
  <c r="AI6" i="4"/>
  <c r="AG6" i="4" s="1"/>
  <c r="AG11" i="4"/>
  <c r="AG14" i="4" l="1"/>
  <c r="AG5" i="4"/>
  <c r="AG12" i="4"/>
  <c r="AL4" i="4"/>
  <c r="AL11" i="4"/>
  <c r="AL6" i="4"/>
  <c r="AL13" i="4"/>
  <c r="AK53" i="2"/>
  <c r="AJ53" i="2"/>
  <c r="AG53" i="2"/>
  <c r="AK52" i="2"/>
  <c r="AJ52" i="2"/>
  <c r="AG52" i="2"/>
  <c r="AK51" i="2"/>
  <c r="AJ51" i="2"/>
  <c r="AG51" i="2"/>
  <c r="AK50" i="2"/>
  <c r="AJ50" i="2"/>
  <c r="AG50" i="2"/>
  <c r="AK49" i="2"/>
  <c r="AJ49" i="2"/>
  <c r="AG49" i="2"/>
  <c r="AK48" i="2"/>
  <c r="AJ48" i="2"/>
  <c r="AG48" i="2"/>
  <c r="AK47" i="2"/>
  <c r="AJ47" i="2"/>
  <c r="AG47" i="2"/>
  <c r="AK46" i="2"/>
  <c r="AJ46" i="2"/>
  <c r="AG46" i="2"/>
  <c r="AK45" i="2"/>
  <c r="AJ45" i="2"/>
  <c r="AG45" i="2"/>
  <c r="AK44" i="2"/>
  <c r="AJ44" i="2"/>
  <c r="AG44" i="2"/>
  <c r="AK43" i="2"/>
  <c r="AJ43" i="2"/>
  <c r="AG43" i="2"/>
  <c r="AK42" i="2"/>
  <c r="AJ42" i="2"/>
  <c r="AG42" i="2"/>
  <c r="AK41" i="2"/>
  <c r="AJ41" i="2"/>
  <c r="AG41" i="2"/>
  <c r="AK40" i="2"/>
  <c r="AJ40" i="2"/>
  <c r="AG40" i="2"/>
  <c r="AK39" i="2"/>
  <c r="AJ39" i="2"/>
  <c r="AG39" i="2"/>
  <c r="AK38" i="2"/>
  <c r="AJ38" i="2"/>
  <c r="AG38" i="2"/>
  <c r="AK37" i="2"/>
  <c r="AJ37" i="2"/>
  <c r="AG37" i="2"/>
  <c r="AK36" i="2"/>
  <c r="AJ36" i="2"/>
  <c r="AG36" i="2"/>
  <c r="AK35" i="2"/>
  <c r="AJ35" i="2"/>
  <c r="AG35" i="2"/>
  <c r="AK34" i="2"/>
  <c r="AJ34" i="2"/>
  <c r="AG34" i="2"/>
  <c r="AK33" i="2"/>
  <c r="AJ33" i="2"/>
  <c r="AG33" i="2"/>
  <c r="AK32" i="2"/>
  <c r="AJ32" i="2"/>
  <c r="AG32" i="2"/>
  <c r="AK31" i="2"/>
  <c r="AJ31" i="2"/>
  <c r="AG31" i="2"/>
  <c r="AK30" i="2"/>
  <c r="AJ30" i="2"/>
  <c r="AG30" i="2"/>
  <c r="AK29" i="2"/>
  <c r="AJ29" i="2"/>
  <c r="AG29" i="2"/>
  <c r="AK28" i="2"/>
  <c r="AJ28" i="2"/>
  <c r="AG28" i="2"/>
  <c r="AK27" i="2"/>
  <c r="AJ27" i="2"/>
  <c r="AG27" i="2"/>
  <c r="AK26" i="2"/>
  <c r="AJ26" i="2"/>
  <c r="AG26" i="2"/>
  <c r="AK25" i="2"/>
  <c r="AJ25" i="2"/>
  <c r="AG25" i="2"/>
  <c r="AK24" i="2"/>
  <c r="AJ24" i="2"/>
  <c r="AG24" i="2"/>
  <c r="AK23" i="2"/>
  <c r="AJ23" i="2"/>
  <c r="AG23" i="2"/>
  <c r="AK22" i="2"/>
  <c r="AJ22" i="2"/>
  <c r="AG22" i="2"/>
  <c r="AK21" i="2"/>
  <c r="AJ21" i="2"/>
  <c r="AG21" i="2"/>
  <c r="AK20" i="2"/>
  <c r="AJ20" i="2"/>
  <c r="AG20" i="2"/>
  <c r="AK19" i="2"/>
  <c r="AJ19" i="2"/>
  <c r="AG19" i="2"/>
  <c r="AK18" i="2"/>
  <c r="AJ18" i="2"/>
  <c r="AG18" i="2"/>
  <c r="AK17" i="2"/>
  <c r="AJ17" i="2"/>
  <c r="AG17" i="2"/>
  <c r="AK16" i="2"/>
  <c r="AJ16" i="2"/>
  <c r="AG16" i="2"/>
  <c r="AK15" i="2"/>
  <c r="AJ15" i="2"/>
  <c r="AG15" i="2"/>
  <c r="AK14" i="2"/>
  <c r="AJ14" i="2"/>
  <c r="AG14" i="2"/>
  <c r="AK13" i="2"/>
  <c r="AJ13" i="2"/>
  <c r="AG13" i="2"/>
  <c r="AK12" i="2"/>
  <c r="AJ12" i="2"/>
  <c r="AG12" i="2"/>
  <c r="AK11" i="2"/>
  <c r="AJ11" i="2"/>
  <c r="AG11" i="2"/>
  <c r="AK10" i="2"/>
  <c r="AJ10" i="2"/>
  <c r="AG10" i="2"/>
  <c r="AK9" i="2"/>
  <c r="AJ9" i="2"/>
  <c r="AG9" i="2"/>
  <c r="AK8" i="2"/>
  <c r="AJ8" i="2"/>
  <c r="AG8" i="2"/>
  <c r="AK7" i="2"/>
  <c r="AJ7" i="2"/>
  <c r="AG7" i="2"/>
  <c r="AK6" i="2"/>
  <c r="AJ6" i="2"/>
  <c r="AG6" i="2"/>
  <c r="AK5" i="2"/>
  <c r="AJ5" i="2"/>
  <c r="AG5" i="2"/>
  <c r="AK4" i="2"/>
  <c r="AJ4" i="2"/>
  <c r="AG4" i="2"/>
  <c r="AK3" i="2"/>
  <c r="AJ3" i="2"/>
  <c r="AG3" i="2"/>
  <c r="AL5" i="2" l="1"/>
  <c r="AL7" i="2"/>
  <c r="AL11" i="2"/>
  <c r="AL13" i="2"/>
  <c r="AL17" i="2"/>
  <c r="AL19" i="2"/>
  <c r="AL23" i="2"/>
  <c r="AL25" i="2"/>
  <c r="AL29" i="2"/>
  <c r="AL31" i="2"/>
  <c r="AL35" i="2"/>
  <c r="AL37" i="2"/>
  <c r="AL41" i="2"/>
  <c r="AL43" i="2"/>
  <c r="AL45" i="2"/>
  <c r="AL47" i="2"/>
  <c r="AL49" i="2"/>
  <c r="AL53" i="2"/>
  <c r="AL51" i="2"/>
  <c r="AL4" i="2"/>
  <c r="AL8" i="2"/>
  <c r="AL10" i="2"/>
  <c r="AL14" i="2"/>
  <c r="AL16" i="2"/>
  <c r="AL20" i="2"/>
  <c r="AL22" i="2"/>
  <c r="AL26" i="2"/>
  <c r="AL28" i="2"/>
  <c r="AL32" i="2"/>
  <c r="AL34" i="2"/>
  <c r="AL38" i="2"/>
  <c r="AL40" i="2"/>
  <c r="AL42" i="2"/>
  <c r="AL44" i="2"/>
  <c r="AL46" i="2"/>
  <c r="AL48" i="2"/>
  <c r="AL50" i="2"/>
  <c r="AL52" i="2"/>
  <c r="AL3" i="2"/>
  <c r="AL6" i="2"/>
  <c r="AL9" i="2"/>
  <c r="AL12" i="2"/>
  <c r="AL15" i="2"/>
  <c r="AL18" i="2"/>
  <c r="AL21" i="2"/>
  <c r="AL24" i="2"/>
  <c r="AL27" i="2"/>
  <c r="AL30" i="2"/>
  <c r="AL33" i="2"/>
  <c r="AL36" i="2"/>
  <c r="AL39" i="2"/>
</calcChain>
</file>

<file path=xl/comments1.xml><?xml version="1.0" encoding="utf-8"?>
<comments xmlns="http://schemas.openxmlformats.org/spreadsheetml/2006/main">
  <authors>
    <author>Ahmed Anwar</author>
  </authors>
  <commentList>
    <comment ref="E2" authorId="0">
      <text>
        <r>
          <rPr>
            <sz val="12"/>
            <color indexed="81"/>
            <rFont val="Tahoma"/>
            <family val="2"/>
          </rPr>
          <t>اكتب فقط تاريخ التعيين لتظهر اتوماتيك مدة العمل فى العمود المخصص لذلك ومن ثم يتم اخفاء هذا العمود بعد عمل الاضافات عليه ان احتجت لذلك، ومدة العمل تحدث نفسها تلقائياً حتى تاريخ اليوم الحالى</t>
        </r>
      </text>
    </comment>
    <comment ref="G2" authorId="0">
      <text>
        <r>
          <rPr>
            <sz val="12"/>
            <color indexed="81"/>
            <rFont val="Tahoma"/>
            <family val="2"/>
          </rPr>
          <t>اكتب فقط تاريخ الميلاد لتظهر اتوماتيك عمر الموظف فى العمود المخصص لذلك ومن ثم يتم اخفاء هذا العمود بعد عمل الاضافات عليه ان احتجت لذلك، وحساب العمر يتم تحدثيه تلقائياً حتى تاريخ اليوم الحالى</t>
        </r>
      </text>
    </comment>
    <comment ref="I2" authorId="0">
      <text>
        <r>
          <rPr>
            <sz val="13"/>
            <color indexed="81"/>
            <rFont val="Tahoma"/>
            <family val="2"/>
          </rPr>
          <t xml:space="preserve">من الممكن والاحسن ربط مدخلات هذه الارقام عن طريق معادلة </t>
        </r>
        <r>
          <rPr>
            <b/>
            <sz val="13"/>
            <color indexed="81"/>
            <rFont val="Tahoma"/>
            <family val="2"/>
          </rPr>
          <t>Vlookup</t>
        </r>
        <r>
          <rPr>
            <sz val="13"/>
            <color indexed="81"/>
            <rFont val="Tahoma"/>
            <family val="2"/>
          </rPr>
          <t xml:space="preserve"> بين شيت الحضور والغياب الاساسى لسهولة وتسجيل البيانات مع ضمان دقتها وذلك فى كل شهر</t>
        </r>
      </text>
    </comment>
    <comment ref="AI3" authorId="0">
      <text>
        <r>
          <rPr>
            <b/>
            <sz val="11"/>
            <color indexed="81"/>
            <rFont val="Tahoma"/>
            <family val="2"/>
          </rPr>
          <t>الرصيد المفترض لاى موظف = 21 يوم</t>
        </r>
        <r>
          <rPr>
            <sz val="11"/>
            <color indexed="81"/>
            <rFont val="Tahoma"/>
            <family val="2"/>
          </rPr>
          <t xml:space="preserve">
الموظف الذى تم 10 سنوات تأمينيه = 30 يوم
الموظف الذى تم 50 سنه من عمره = 30 يوم</t>
        </r>
      </text>
    </comment>
    <comment ref="AG9" authorId="0">
      <text>
        <r>
          <rPr>
            <sz val="11"/>
            <color indexed="81"/>
            <rFont val="Tahoma"/>
            <family val="2"/>
          </rPr>
          <t>يتم طرح اخر يوم فى السنه من تاريخ التعيين ثم نقسم الناتج على 365 ثم نضرب فى 2.5 (اذا كان اكثر من عشر سنين تامينات او عمره اكبر من 50 سنه) او نضرب فى 1.75 (اذا كان دون ذلك) ثم نضرب كل هذا * 12</t>
        </r>
      </text>
    </comment>
    <comment ref="AN9" authorId="0">
      <text>
        <r>
          <rPr>
            <sz val="12"/>
            <color indexed="81"/>
            <rFont val="Tahoma"/>
            <family val="2"/>
          </rPr>
          <t>يفضل فى هذه الحاله بكتابه التاريخ يدوياً بجوار الجدول وتنسيقه من اعلى على تنسيق ال</t>
        </r>
        <r>
          <rPr>
            <sz val="11"/>
            <color indexed="81"/>
            <rFont val="Tahoma"/>
            <family val="2"/>
          </rPr>
          <t>تاريخ حتى يسهل عمل المعادله</t>
        </r>
      </text>
    </comment>
    <comment ref="AM12" authorId="0">
      <text>
        <r>
          <rPr>
            <sz val="12"/>
            <color indexed="81"/>
            <rFont val="Tahoma"/>
            <family val="2"/>
          </rPr>
          <t xml:space="preserve">يتم الاخذ فى الاعتبار بتغيير تاريخ التعيين فى المعادله لكل موظف جديد يتم تعيينه خلال السنه ... </t>
        </r>
        <r>
          <rPr>
            <b/>
            <sz val="12"/>
            <color indexed="81"/>
            <rFont val="Tahoma"/>
            <family val="2"/>
          </rPr>
          <t>( هذه المعادله استرشاديه فقط )</t>
        </r>
        <r>
          <rPr>
            <sz val="12"/>
            <color indexed="81"/>
            <rFont val="Tahoma"/>
            <family val="2"/>
          </rPr>
          <t xml:space="preserve"> وطبعاً تكنب هذه المعادله فى خانة اجمالى الرصيد المستحق</t>
        </r>
      </text>
    </comment>
  </commentList>
</comments>
</file>

<file path=xl/sharedStrings.xml><?xml version="1.0" encoding="utf-8"?>
<sst xmlns="http://schemas.openxmlformats.org/spreadsheetml/2006/main" count="402" uniqueCount="110">
  <si>
    <t>سنوي</t>
  </si>
  <si>
    <t>عارضه</t>
  </si>
  <si>
    <t>يناير</t>
  </si>
  <si>
    <t>فبراير</t>
  </si>
  <si>
    <t>مارس</t>
  </si>
  <si>
    <t>أبريل</t>
  </si>
  <si>
    <t>مايو</t>
  </si>
  <si>
    <t>الموقع</t>
  </si>
  <si>
    <t>الاداره</t>
  </si>
  <si>
    <t>شعبان احمد على الخصوصي</t>
  </si>
  <si>
    <t>عصام السيد محمد سالم</t>
  </si>
  <si>
    <t>محمد مرضي محمد عبد الجيد</t>
  </si>
  <si>
    <t>طلعت عبد الوهاب عبد الوهاب رمضان</t>
  </si>
  <si>
    <t>صالح سعد ضيف اللة طاهر</t>
  </si>
  <si>
    <t>محمود ابو الليل حلمي محمود</t>
  </si>
  <si>
    <t>عزت فخري محمد امين احمد</t>
  </si>
  <si>
    <t>أمير على محمود ابو الليل</t>
  </si>
  <si>
    <t>حسن حسين عبد القادر</t>
  </si>
  <si>
    <t>مصطفى ربيع عبد الحميد احمد</t>
  </si>
  <si>
    <t>احمد محمد الصادق محمد</t>
  </si>
  <si>
    <t>ناصر سليمان عبد الحليم مفتاح</t>
  </si>
  <si>
    <t>اسلام سليمان عبد الحليم مفتاح</t>
  </si>
  <si>
    <t>هيثم صديق عبد اللطيف عبد العال</t>
  </si>
  <si>
    <t>احمد عبد الفتاح احمد محمد</t>
  </si>
  <si>
    <t>سلامه محمد محمد الديب</t>
  </si>
  <si>
    <t>صبحي سعيد عرابي شنيوليه</t>
  </si>
  <si>
    <t>عرفات عبد الفتاح عبد القوى محمد</t>
  </si>
  <si>
    <t>محمد عصام محمد حنفي</t>
  </si>
  <si>
    <t>ابراهيم محمد عصران عبد الرحمن</t>
  </si>
  <si>
    <t>حسنى محمد حسنى عبد الحميد</t>
  </si>
  <si>
    <t>رمضان على محمد امين احمد</t>
  </si>
  <si>
    <t>عمرو احمد رفاعي عبد الحليم</t>
  </si>
  <si>
    <t>خالد عيد سعيد ابراهيم</t>
  </si>
  <si>
    <t>محمد عبد الغنى ابو الرجال</t>
  </si>
  <si>
    <t>رشيد عيد سعيد ابراهيم ابو عواد</t>
  </si>
  <si>
    <t>حسن طارق حسن طه راشد</t>
  </si>
  <si>
    <t>حسن محمود محمد محمود جاد</t>
  </si>
  <si>
    <t>احمد حسنين محمد حسنين</t>
  </si>
  <si>
    <t>الباسل ابو الليل حلمي محمود</t>
  </si>
  <si>
    <t>احمد امين حرب حسن</t>
  </si>
  <si>
    <t>محمود طارق حسن طه راشد</t>
  </si>
  <si>
    <t>عماد عبد الحميد احمد مسعود ابو يوسف</t>
  </si>
  <si>
    <t>اسامه محمد يوسف ابو سعديه</t>
  </si>
  <si>
    <t>ياسين علي محمود ابو الليل</t>
  </si>
  <si>
    <t>محمد سليمان طه محمد طه</t>
  </si>
  <si>
    <t>محمد عبد الفتاح سيد محمد</t>
  </si>
  <si>
    <t>على مصطفى على محمد الديب</t>
  </si>
  <si>
    <t>رمضان حسين ابراهيم حمبولي</t>
  </si>
  <si>
    <t>محمد عبد الفتاح عبد القوى محمد</t>
  </si>
  <si>
    <t>ياسر انور ابراهيم مفتاح</t>
  </si>
  <si>
    <t>رأفت عبد السلام محمد شمروخ</t>
  </si>
  <si>
    <t>وائل بكر محروس هيبه</t>
  </si>
  <si>
    <t>جابر سعد سعد احمد البحيري</t>
  </si>
  <si>
    <t>خالد موسى عبد الحميد البلتاجي</t>
  </si>
  <si>
    <t>عوض رمضان سيد</t>
  </si>
  <si>
    <t>محمد عطيه ابراهيم محمد</t>
  </si>
  <si>
    <t>محمد عصام على مصطفى</t>
  </si>
  <si>
    <t>ابراهيم علاء محمد محمد</t>
  </si>
  <si>
    <t>عبد المنعم محمد سند محمد السعيد</t>
  </si>
  <si>
    <t>محمد احمد محمد سليمان عابد</t>
  </si>
  <si>
    <t>الشئون الاداريه</t>
  </si>
  <si>
    <t>الصيانه</t>
  </si>
  <si>
    <t>الصيانه / ورشة الكهرباء</t>
  </si>
  <si>
    <t>الصيانه / ورشة العمرات</t>
  </si>
  <si>
    <t>الصيانه / ورشة الميكانيكا</t>
  </si>
  <si>
    <t>الصيانه / ورشة الحداده</t>
  </si>
  <si>
    <t>الصيانه / ورشة الكاوتش</t>
  </si>
  <si>
    <t>التشغيل / خدمات مساعده</t>
  </si>
  <si>
    <t>المخازن والمشتريات</t>
  </si>
  <si>
    <t>التبين</t>
  </si>
  <si>
    <t>قارون</t>
  </si>
  <si>
    <t>الرقم الوظيفي</t>
  </si>
  <si>
    <t>الاسم</t>
  </si>
  <si>
    <t>يونيو</t>
  </si>
  <si>
    <t>يوليه</t>
  </si>
  <si>
    <t>أغسطس</t>
  </si>
  <si>
    <t>سبتمبر</t>
  </si>
  <si>
    <t>أكتوبر</t>
  </si>
  <si>
    <t>نوفمبر</t>
  </si>
  <si>
    <t>ديسمبر</t>
  </si>
  <si>
    <t>الرصيد المستحق</t>
  </si>
  <si>
    <t>ملاحظات</t>
  </si>
  <si>
    <t>Over 50</t>
  </si>
  <si>
    <t>Over 10 years Exp</t>
  </si>
  <si>
    <t>Over 50 Age</t>
  </si>
  <si>
    <t>سنوى</t>
  </si>
  <si>
    <t>عارضة</t>
  </si>
  <si>
    <t>اجمالى</t>
  </si>
  <si>
    <t>الرصيد المستهلك</t>
  </si>
  <si>
    <t>hired 2016</t>
  </si>
  <si>
    <t>المتبقى</t>
  </si>
  <si>
    <t>تاريخ التعيين</t>
  </si>
  <si>
    <t>الخبرة</t>
  </si>
  <si>
    <t>تاريخ الميلاد</t>
  </si>
  <si>
    <t xml:space="preserve">العمر </t>
  </si>
  <si>
    <t>مدة العمل</t>
  </si>
  <si>
    <t>الموارد البشريه</t>
  </si>
  <si>
    <t>احمد انور عبد النبى امين</t>
  </si>
  <si>
    <t>القاهره</t>
  </si>
  <si>
    <t>فى هذا المثال اعتمدنا ان الموظف لم يكمل بعد 10 سنين تامينيه وعمره لم يتجاوز الـ 50 سنه ، لذا فإنه يستحق 21 يوم كرصيد اجازات سنويه</t>
  </si>
  <si>
    <t>فى هذا المثال اعتمدنا ان الموظف له عدد سنين تأمينيه قد تجاوز الـ 10 سنوات ، لذا فهو يستحق 30 يوم كرصيد اجازات سنويه</t>
  </si>
  <si>
    <t>فى هذا المثال اعتمدنا ان الموظف عمره قد تجاوز الـ 50 وعلى الرغم انه لم يكمل الـ 10 سنين التأمينيه ، الإ انه يستحق 30 يوم كرصيد اجازات سنويه</t>
  </si>
  <si>
    <t>2 - الموظفين الذى يتم تعيينهم خلال السنه الجاريه</t>
  </si>
  <si>
    <t>=(((31/12/2019-1/3/2019)/365)*2.5)*12     يتم استخدام هذه المعادله فى حالة اذا كان الموظف لديه اكثر من 10 سنين تامينات او عمره اكبر من 50 سنه</t>
  </si>
  <si>
    <t>=(((31/12/2019-1/3/2019)/365)*1.75)*12     يتم استخدام هذه المعادله فى حالة اذا كان الموظف اقل من10 سنين تأمينات و عمره اقل من 50 سنه</t>
  </si>
  <si>
    <r>
      <rPr>
        <b/>
        <u/>
        <sz val="30"/>
        <color theme="1"/>
        <rFont val="Calibri"/>
        <family val="2"/>
        <scheme val="minor"/>
      </rPr>
      <t>امثلة على ذلك</t>
    </r>
    <r>
      <rPr>
        <b/>
        <sz val="26"/>
        <color theme="1"/>
        <rFont val="Calibri"/>
        <family val="2"/>
        <scheme val="minor"/>
      </rPr>
      <t xml:space="preserve">
</t>
    </r>
    <r>
      <rPr>
        <b/>
        <sz val="14"/>
        <color theme="1"/>
        <rFont val="Calibri"/>
        <family val="2"/>
        <scheme val="minor"/>
      </rPr>
      <t>1 - الموظفين المعينين من سنوات سابقه</t>
    </r>
  </si>
  <si>
    <t>المستهلك</t>
  </si>
  <si>
    <t>الوظيفة</t>
  </si>
  <si>
    <t>تاريخ 
التعيين</t>
  </si>
  <si>
    <t>تاريخ 
الميلاد</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</si>
</sst>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800]dddd\,\ mmmm\ dd\,\ yyyy"/>
    <numFmt numFmtId="165" formatCode="0.0"/>
  </numFmts>
  <fonts count="21">
    <font>
      <sz val="11"/>
      <color theme="1"/>
      <name val="Calibri"/>
      <family val="2"/>
      <charset val="178"/>
      <scheme val="minor"/>
    </font>
    <font>
      <sz val="10"/>
      <name val="Arial"/>
      <family val="2"/>
    </font>
    <font>
      <b/>
      <sz val="12"/>
      <color theme="1"/>
      <name val="Calibri"/>
      <family val="2"/>
      <scheme val="minor"/>
    </font>
    <font>
      <b/>
      <sz val="11"/>
      <color theme="1"/>
      <name val="Calibri"/>
      <family val="2"/>
      <scheme val="minor"/>
    </font>
    <font>
      <sz val="10"/>
      <color theme="1"/>
      <name val="Calibri"/>
      <family val="2"/>
      <scheme val="minor"/>
    </font>
    <font>
      <b/>
      <sz val="12"/>
      <color theme="4" tint="-0.499984740745262"/>
      <name val="Calibri"/>
      <family val="2"/>
      <scheme val="minor"/>
    </font>
    <font>
      <b/>
      <sz val="11"/>
      <color theme="4" tint="-0.499984740745262"/>
      <name val="Calibri"/>
      <family val="2"/>
      <scheme val="minor"/>
    </font>
    <font>
      <sz val="11"/>
      <color theme="4" tint="-0.499984740745262"/>
      <name val="Calibri"/>
      <family val="2"/>
      <scheme val="minor"/>
    </font>
    <font>
      <sz val="10"/>
      <color theme="0"/>
      <name val="Calibri"/>
      <family val="2"/>
      <scheme val="minor"/>
    </font>
    <font>
      <b/>
      <sz val="11"/>
      <color theme="0"/>
      <name val="Calibri"/>
      <family val="2"/>
      <scheme val="minor"/>
    </font>
    <font>
      <sz val="11"/>
      <color theme="1"/>
      <name val="Calibri"/>
      <family val="2"/>
      <charset val="178"/>
      <scheme val="minor"/>
    </font>
    <font>
      <b/>
      <sz val="12"/>
      <color theme="1"/>
      <name val="Calibri"/>
      <family val="2"/>
      <scheme val="minor"/>
    </font>
    <font>
      <b/>
      <sz val="26"/>
      <color theme="1"/>
      <name val="Calibri"/>
      <family val="2"/>
      <scheme val="minor"/>
    </font>
    <font>
      <sz val="11"/>
      <color indexed="81"/>
      <name val="Tahoma"/>
      <family val="2"/>
    </font>
    <font>
      <sz val="12"/>
      <color indexed="81"/>
      <name val="Tahoma"/>
      <family val="2"/>
    </font>
    <font>
      <b/>
      <sz val="11"/>
      <color indexed="81"/>
      <name val="Tahoma"/>
      <family val="2"/>
    </font>
    <font>
      <sz val="13"/>
      <color indexed="81"/>
      <name val="Tahoma"/>
      <family val="2"/>
    </font>
    <font>
      <b/>
      <sz val="13"/>
      <color indexed="81"/>
      <name val="Tahoma"/>
      <family val="2"/>
    </font>
    <font>
      <b/>
      <sz val="14"/>
      <color theme="1"/>
      <name val="Calibri"/>
      <family val="2"/>
      <scheme val="minor"/>
    </font>
    <font>
      <b/>
      <u/>
      <sz val="30"/>
      <color theme="1"/>
      <name val="Calibri"/>
      <family val="2"/>
      <scheme val="minor"/>
    </font>
    <font>
      <b/>
      <sz val="12"/>
      <color indexed="81"/>
      <name val="Tahoma"/>
      <family val="2"/>
    </font>
  </fonts>
  <fills count="11">
    <fill>
      <patternFill patternType="none"/>
    </fill>
    <fill>
      <patternFill patternType="gray125"/>
    </fill>
    <fill>
      <patternFill patternType="solid">
        <fgColor theme="3" tint="0.59999389629810485"/>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theme="6"/>
        <bgColor indexed="64"/>
      </patternFill>
    </fill>
    <fill>
      <patternFill patternType="solid">
        <fgColor rgb="FFFFFF00"/>
        <bgColor indexed="64"/>
      </patternFill>
    </fill>
  </fills>
  <borders count="39">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double">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n">
        <color indexed="64"/>
      </top>
      <bottom style="double">
        <color indexed="64"/>
      </bottom>
      <diagonal/>
    </border>
    <border>
      <left style="thick">
        <color indexed="64"/>
      </left>
      <right style="hair">
        <color indexed="64"/>
      </right>
      <top style="hair">
        <color indexed="64"/>
      </top>
      <bottom style="hair">
        <color indexed="64"/>
      </bottom>
      <diagonal/>
    </border>
    <border>
      <left/>
      <right style="thick">
        <color indexed="64"/>
      </right>
      <top style="hair">
        <color indexed="64"/>
      </top>
      <bottom style="hair">
        <color indexed="64"/>
      </bottom>
      <diagonal/>
    </border>
    <border>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ck">
        <color indexed="64"/>
      </top>
      <bottom style="thin">
        <color indexed="64"/>
      </bottom>
      <diagonal/>
    </border>
    <border>
      <left style="medium">
        <color indexed="64"/>
      </left>
      <right/>
      <top style="thick">
        <color indexed="64"/>
      </top>
      <bottom style="thin">
        <color indexed="64"/>
      </bottom>
      <diagonal/>
    </border>
    <border>
      <left style="medium">
        <color indexed="64"/>
      </left>
      <right/>
      <top style="thin">
        <color indexed="64"/>
      </top>
      <bottom style="double">
        <color indexed="64"/>
      </bottom>
      <diagonal/>
    </border>
    <border>
      <left style="medium">
        <color indexed="64"/>
      </left>
      <right style="thick">
        <color indexed="64"/>
      </right>
      <top style="thick">
        <color indexed="64"/>
      </top>
      <bottom style="thin">
        <color indexed="64"/>
      </bottom>
      <diagonal/>
    </border>
    <border>
      <left style="medium">
        <color indexed="64"/>
      </left>
      <right style="thick">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double">
        <color indexed="64"/>
      </top>
      <bottom style="hair">
        <color indexed="64"/>
      </bottom>
      <diagonal/>
    </border>
    <border>
      <left style="medium">
        <color indexed="64"/>
      </left>
      <right/>
      <top style="double">
        <color indexed="64"/>
      </top>
      <bottom style="hair">
        <color indexed="64"/>
      </bottom>
      <diagonal/>
    </border>
    <border>
      <left/>
      <right/>
      <top/>
      <bottom style="thick">
        <color indexed="64"/>
      </bottom>
      <diagonal/>
    </border>
    <border>
      <left/>
      <right/>
      <top style="hair">
        <color indexed="64"/>
      </top>
      <bottom style="thick">
        <color indexed="64"/>
      </bottom>
      <diagonal/>
    </border>
    <border>
      <left style="medium">
        <color indexed="64"/>
      </left>
      <right/>
      <top/>
      <bottom style="hair">
        <color indexed="64"/>
      </bottom>
      <diagonal/>
    </border>
  </borders>
  <cellStyleXfs count="2">
    <xf numFmtId="0" fontId="0" fillId="0" borderId="0"/>
    <xf numFmtId="0" fontId="1" fillId="0" borderId="0"/>
  </cellStyleXfs>
  <cellXfs count="99">
    <xf numFmtId="0" fontId="0" fillId="0" borderId="0" xfId="0"/>
    <xf numFmtId="0" fontId="0" fillId="0" borderId="0" xfId="0" applyAlignment="1">
      <alignment horizontal="center" vertical="center"/>
    </xf>
    <xf numFmtId="0" fontId="0" fillId="0" borderId="0" xfId="0" applyAlignment="1">
      <alignment vertical="center"/>
    </xf>
    <xf numFmtId="0" fontId="2" fillId="0" borderId="1" xfId="0" applyFont="1" applyBorder="1" applyAlignment="1">
      <alignment horizontal="center" vertical="center" readingOrder="2"/>
    </xf>
    <xf numFmtId="0" fontId="0" fillId="0" borderId="1" xfId="0" applyBorder="1" applyAlignment="1">
      <alignment horizontal="right" vertical="center" indent="1"/>
    </xf>
    <xf numFmtId="0" fontId="0" fillId="0" borderId="1" xfId="0" applyBorder="1" applyAlignment="1">
      <alignment horizontal="center" vertical="center"/>
    </xf>
    <xf numFmtId="0" fontId="0" fillId="0" borderId="1" xfId="0" applyBorder="1"/>
    <xf numFmtId="0" fontId="4" fillId="0" borderId="1" xfId="0" applyFon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3" borderId="1" xfId="0" applyFill="1" applyBorder="1"/>
    <xf numFmtId="0" fontId="3" fillId="3" borderId="4" xfId="0" applyFont="1" applyFill="1" applyBorder="1" applyAlignment="1">
      <alignment vertical="center" wrapText="1"/>
    </xf>
    <xf numFmtId="0" fontId="3" fillId="3" borderId="5" xfId="0" applyFont="1" applyFill="1" applyBorder="1" applyAlignment="1">
      <alignment vertical="center" wrapText="1"/>
    </xf>
    <xf numFmtId="0" fontId="4" fillId="4" borderId="1" xfId="0" applyFont="1" applyFill="1" applyBorder="1" applyAlignment="1">
      <alignment horizontal="center" vertical="center"/>
    </xf>
    <xf numFmtId="0" fontId="7" fillId="0" borderId="0" xfId="0" applyFont="1" applyFill="1"/>
    <xf numFmtId="0" fontId="8" fillId="8" borderId="17" xfId="0" applyFont="1" applyFill="1" applyBorder="1" applyAlignment="1">
      <alignment horizontal="center" vertical="center"/>
    </xf>
    <xf numFmtId="0" fontId="8" fillId="5" borderId="17" xfId="0" applyFont="1" applyFill="1" applyBorder="1" applyAlignment="1">
      <alignment horizontal="center" vertical="center"/>
    </xf>
    <xf numFmtId="0" fontId="8" fillId="5" borderId="30" xfId="0" applyFont="1" applyFill="1" applyBorder="1" applyAlignment="1">
      <alignment horizontal="center" vertical="center"/>
    </xf>
    <xf numFmtId="0" fontId="9" fillId="7" borderId="24" xfId="0" applyFont="1" applyFill="1" applyBorder="1" applyAlignment="1">
      <alignment horizontal="center" vertical="center" wrapText="1"/>
    </xf>
    <xf numFmtId="0" fontId="9" fillId="7" borderId="17" xfId="0" applyFont="1" applyFill="1" applyBorder="1" applyAlignment="1">
      <alignment horizontal="center" vertical="center" wrapText="1"/>
    </xf>
    <xf numFmtId="0" fontId="9" fillId="7" borderId="30"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10" fillId="0" borderId="0" xfId="0" applyFont="1"/>
    <xf numFmtId="0" fontId="11" fillId="0" borderId="21" xfId="0" applyFont="1" applyBorder="1" applyAlignment="1">
      <alignment horizontal="center" vertical="center" readingOrder="2"/>
    </xf>
    <xf numFmtId="164" fontId="10" fillId="0" borderId="1" xfId="0" applyNumberFormat="1" applyFont="1" applyBorder="1" applyAlignment="1">
      <alignment horizontal="center" vertical="center"/>
    </xf>
    <xf numFmtId="0" fontId="11" fillId="0" borderId="0" xfId="0" applyFont="1" applyBorder="1" applyAlignment="1">
      <alignment horizontal="center" vertical="center" readingOrder="2"/>
    </xf>
    <xf numFmtId="0" fontId="10" fillId="0" borderId="0" xfId="0" applyFont="1" applyBorder="1" applyAlignment="1">
      <alignment horizontal="right" vertical="center" indent="1"/>
    </xf>
    <xf numFmtId="0" fontId="10" fillId="0" borderId="0" xfId="0" applyFont="1" applyBorder="1" applyAlignment="1">
      <alignment horizontal="center" vertical="center"/>
    </xf>
    <xf numFmtId="164" fontId="10" fillId="0" borderId="0" xfId="0" applyNumberFormat="1" applyFont="1" applyBorder="1" applyAlignment="1">
      <alignment horizontal="center" vertical="center"/>
    </xf>
    <xf numFmtId="165" fontId="10" fillId="0" borderId="0" xfId="0" applyNumberFormat="1" applyFont="1" applyBorder="1" applyAlignment="1">
      <alignment horizontal="center" vertical="center"/>
    </xf>
    <xf numFmtId="0" fontId="10" fillId="0" borderId="0" xfId="0" applyFont="1" applyBorder="1"/>
    <xf numFmtId="0" fontId="0" fillId="0" borderId="10" xfId="0" applyFont="1" applyBorder="1" applyAlignment="1">
      <alignment horizontal="center" vertical="center"/>
    </xf>
    <xf numFmtId="165" fontId="10" fillId="0" borderId="10" xfId="0" applyNumberFormat="1" applyFont="1" applyBorder="1" applyAlignment="1">
      <alignment horizontal="center" vertical="center" readingOrder="2"/>
    </xf>
    <xf numFmtId="164" fontId="10" fillId="0" borderId="1" xfId="0" applyNumberFormat="1" applyFont="1" applyBorder="1" applyAlignment="1">
      <alignment horizontal="center" vertical="center" readingOrder="2"/>
    </xf>
    <xf numFmtId="165" fontId="10" fillId="0" borderId="4" xfId="0" applyNumberFormat="1" applyFont="1" applyBorder="1" applyAlignment="1">
      <alignment horizontal="center" vertical="center" readingOrder="2"/>
    </xf>
    <xf numFmtId="0" fontId="10" fillId="8" borderId="15" xfId="0" applyFont="1" applyFill="1" applyBorder="1" applyAlignment="1">
      <alignment horizontal="center" vertical="center" readingOrder="2"/>
    </xf>
    <xf numFmtId="0" fontId="10" fillId="0" borderId="11" xfId="0" applyFont="1" applyBorder="1" applyAlignment="1">
      <alignment horizontal="center" vertical="center" readingOrder="2"/>
    </xf>
    <xf numFmtId="0" fontId="10" fillId="8" borderId="11" xfId="0" applyFont="1" applyFill="1" applyBorder="1" applyAlignment="1">
      <alignment horizontal="center" vertical="center" readingOrder="2"/>
    </xf>
    <xf numFmtId="0" fontId="10" fillId="8" borderId="16" xfId="0" applyFont="1" applyFill="1" applyBorder="1" applyAlignment="1">
      <alignment horizontal="center" vertical="center" readingOrder="2"/>
    </xf>
    <xf numFmtId="0" fontId="10" fillId="0" borderId="16" xfId="0" applyFont="1" applyBorder="1" applyAlignment="1">
      <alignment horizontal="center" vertical="center" readingOrder="2"/>
    </xf>
    <xf numFmtId="0" fontId="10" fillId="0" borderId="14" xfId="0" applyFont="1" applyBorder="1" applyAlignment="1">
      <alignment horizontal="center" vertical="center" readingOrder="2"/>
    </xf>
    <xf numFmtId="0" fontId="10" fillId="0" borderId="11" xfId="0" applyFont="1" applyFill="1" applyBorder="1" applyAlignment="1">
      <alignment horizontal="center" vertical="center" readingOrder="2"/>
    </xf>
    <xf numFmtId="0" fontId="10" fillId="0" borderId="31" xfId="0" applyFont="1" applyFill="1" applyBorder="1" applyAlignment="1">
      <alignment horizontal="center" vertical="center" readingOrder="2"/>
    </xf>
    <xf numFmtId="0" fontId="10" fillId="0" borderId="31" xfId="0" applyFont="1" applyBorder="1" applyAlignment="1">
      <alignment horizontal="center" vertical="center" readingOrder="2"/>
    </xf>
    <xf numFmtId="0" fontId="10" fillId="0" borderId="13" xfId="0" applyFont="1" applyBorder="1" applyAlignment="1">
      <alignment horizontal="center" vertical="center" readingOrder="2"/>
    </xf>
    <xf numFmtId="0" fontId="10" fillId="0" borderId="12" xfId="0" applyFont="1" applyBorder="1" applyAlignment="1">
      <alignment horizontal="center" vertical="center" readingOrder="2"/>
    </xf>
    <xf numFmtId="1" fontId="10" fillId="0" borderId="31" xfId="0" applyNumberFormat="1" applyFont="1" applyFill="1" applyBorder="1" applyAlignment="1">
      <alignment horizontal="center" vertical="center" readingOrder="2"/>
    </xf>
    <xf numFmtId="1" fontId="10" fillId="0" borderId="13" xfId="0" applyNumberFormat="1" applyFont="1" applyBorder="1" applyAlignment="1">
      <alignment horizontal="center" vertical="center" readingOrder="2"/>
    </xf>
    <xf numFmtId="0" fontId="10" fillId="0" borderId="16" xfId="0" applyFont="1" applyFill="1" applyBorder="1" applyAlignment="1">
      <alignment horizontal="center" vertical="center" readingOrder="2"/>
    </xf>
    <xf numFmtId="16" fontId="10" fillId="0" borderId="0" xfId="0" applyNumberFormat="1" applyFont="1" applyAlignment="1">
      <alignment horizontal="center" vertical="center"/>
    </xf>
    <xf numFmtId="14" fontId="10" fillId="0" borderId="0" xfId="0" applyNumberFormat="1" applyFont="1"/>
    <xf numFmtId="0" fontId="0" fillId="0" borderId="22" xfId="0" applyFont="1" applyBorder="1" applyAlignment="1">
      <alignment horizontal="right" vertical="center" indent="1"/>
    </xf>
    <xf numFmtId="0" fontId="10" fillId="8" borderId="35" xfId="0" applyFont="1" applyFill="1" applyBorder="1" applyAlignment="1">
      <alignment horizontal="center" vertical="center" readingOrder="2"/>
    </xf>
    <xf numFmtId="0" fontId="10" fillId="0" borderId="34" xfId="0" applyFont="1" applyFill="1" applyBorder="1" applyAlignment="1">
      <alignment horizontal="center" vertical="center" readingOrder="2"/>
    </xf>
    <xf numFmtId="0" fontId="0" fillId="0" borderId="1" xfId="0" applyFont="1" applyBorder="1" applyAlignment="1">
      <alignment horizontal="right" vertical="center" indent="1"/>
    </xf>
    <xf numFmtId="14" fontId="7" fillId="0" borderId="0" xfId="0" applyNumberFormat="1" applyFont="1" applyFill="1" applyAlignment="1">
      <alignment horizontal="center" vertical="center"/>
    </xf>
    <xf numFmtId="165" fontId="10" fillId="10" borderId="4" xfId="0" applyNumberFormat="1" applyFont="1" applyFill="1" applyBorder="1" applyAlignment="1">
      <alignment horizontal="center" vertical="center" readingOrder="2"/>
    </xf>
    <xf numFmtId="165" fontId="10" fillId="10" borderId="10" xfId="0" applyNumberFormat="1" applyFont="1" applyFill="1" applyBorder="1" applyAlignment="1">
      <alignment horizontal="center" vertical="center" readingOrder="2"/>
    </xf>
    <xf numFmtId="49" fontId="0" fillId="0" borderId="22" xfId="0" applyNumberFormat="1" applyFont="1" applyBorder="1" applyAlignment="1">
      <alignment horizontal="right" vertical="center" indent="1"/>
    </xf>
    <xf numFmtId="14" fontId="7" fillId="10" borderId="0" xfId="0" applyNumberFormat="1" applyFont="1" applyFill="1" applyAlignment="1">
      <alignment horizontal="center" vertical="center"/>
    </xf>
    <xf numFmtId="165" fontId="10" fillId="0" borderId="10" xfId="0" applyNumberFormat="1" applyFont="1" applyFill="1" applyBorder="1" applyAlignment="1">
      <alignment horizontal="center" vertical="center" readingOrder="2"/>
    </xf>
    <xf numFmtId="164" fontId="10" fillId="0" borderId="1" xfId="0" applyNumberFormat="1" applyFont="1" applyFill="1" applyBorder="1" applyAlignment="1">
      <alignment horizontal="center" vertical="center" readingOrder="2"/>
    </xf>
    <xf numFmtId="165" fontId="10" fillId="0" borderId="4" xfId="0" applyNumberFormat="1" applyFont="1" applyFill="1" applyBorder="1" applyAlignment="1">
      <alignment horizontal="center" vertical="center" readingOrder="2"/>
    </xf>
    <xf numFmtId="1" fontId="10" fillId="0" borderId="14" xfId="0" applyNumberFormat="1" applyFont="1" applyBorder="1" applyAlignment="1">
      <alignment horizontal="center" vertical="center" readingOrder="2"/>
    </xf>
    <xf numFmtId="0" fontId="0" fillId="0" borderId="1" xfId="0" applyFont="1" applyBorder="1" applyAlignment="1">
      <alignment horizontal="center" vertical="center"/>
    </xf>
    <xf numFmtId="0" fontId="10" fillId="8" borderId="38" xfId="0" applyFont="1" applyFill="1" applyBorder="1" applyAlignment="1">
      <alignment horizontal="center" vertical="center" readingOrder="2"/>
    </xf>
    <xf numFmtId="0" fontId="5" fillId="9" borderId="19" xfId="0" applyFont="1" applyFill="1" applyBorder="1" applyAlignment="1">
      <alignment horizontal="center" vertical="center"/>
    </xf>
    <xf numFmtId="0" fontId="6" fillId="7" borderId="25" xfId="0" applyFont="1" applyFill="1" applyBorder="1" applyAlignment="1">
      <alignment horizontal="center" vertical="center" wrapText="1"/>
    </xf>
    <xf numFmtId="0" fontId="6" fillId="7" borderId="19" xfId="0" applyFont="1" applyFill="1" applyBorder="1" applyAlignment="1">
      <alignment horizontal="center" vertical="center" wrapText="1"/>
    </xf>
    <xf numFmtId="0" fontId="6" fillId="7" borderId="32" xfId="0" applyFont="1" applyFill="1" applyBorder="1" applyAlignment="1">
      <alignment horizontal="center" vertical="center" wrapText="1"/>
    </xf>
    <xf numFmtId="0" fontId="6" fillId="6" borderId="33" xfId="0" applyFont="1" applyFill="1" applyBorder="1" applyAlignment="1">
      <alignment horizontal="center" vertical="center" wrapText="1"/>
    </xf>
    <xf numFmtId="0" fontId="6" fillId="6" borderId="32" xfId="0" applyFont="1" applyFill="1" applyBorder="1" applyAlignment="1">
      <alignment horizontal="center" vertical="center" wrapText="1"/>
    </xf>
    <xf numFmtId="0" fontId="5" fillId="6" borderId="26" xfId="0" applyFont="1" applyFill="1" applyBorder="1" applyAlignment="1">
      <alignment horizontal="center" vertical="center"/>
    </xf>
    <xf numFmtId="0" fontId="5" fillId="6" borderId="27" xfId="0" applyFont="1" applyFill="1" applyBorder="1" applyAlignment="1">
      <alignment horizontal="center" vertical="center"/>
    </xf>
    <xf numFmtId="0" fontId="5" fillId="9" borderId="28" xfId="0" applyFont="1" applyFill="1" applyBorder="1" applyAlignment="1">
      <alignment horizontal="center" vertical="center"/>
    </xf>
    <xf numFmtId="0" fontId="5" fillId="9" borderId="29" xfId="0" applyFont="1" applyFill="1" applyBorder="1" applyAlignment="1">
      <alignment horizontal="center" vertical="center"/>
    </xf>
    <xf numFmtId="0" fontId="5" fillId="9" borderId="32" xfId="0" applyFont="1" applyFill="1" applyBorder="1" applyAlignment="1">
      <alignment horizontal="center" vertical="center"/>
    </xf>
    <xf numFmtId="0" fontId="5" fillId="9" borderId="18" xfId="0" applyFont="1" applyFill="1" applyBorder="1" applyAlignment="1">
      <alignment horizontal="center" vertical="center" wrapText="1" readingOrder="2"/>
    </xf>
    <xf numFmtId="0" fontId="5" fillId="9" borderId="20" xfId="0" applyFont="1" applyFill="1" applyBorder="1" applyAlignment="1">
      <alignment horizontal="center" vertical="center" wrapText="1" readingOrder="2"/>
    </xf>
    <xf numFmtId="0" fontId="5" fillId="9" borderId="19" xfId="0" applyFont="1" applyFill="1" applyBorder="1" applyAlignment="1">
      <alignment horizontal="center" vertical="center" wrapText="1" readingOrder="2"/>
    </xf>
    <xf numFmtId="0" fontId="5" fillId="9" borderId="17" xfId="0" applyFont="1" applyFill="1" applyBorder="1" applyAlignment="1">
      <alignment horizontal="center" vertical="center" wrapText="1" readingOrder="2"/>
    </xf>
    <xf numFmtId="164" fontId="5" fillId="9" borderId="19" xfId="0" applyNumberFormat="1" applyFont="1" applyFill="1" applyBorder="1" applyAlignment="1">
      <alignment horizontal="center" vertical="center" wrapText="1" readingOrder="2"/>
    </xf>
    <xf numFmtId="164" fontId="5" fillId="9" borderId="17" xfId="0" applyNumberFormat="1" applyFont="1" applyFill="1" applyBorder="1" applyAlignment="1">
      <alignment horizontal="center" vertical="center" wrapText="1" readingOrder="2"/>
    </xf>
    <xf numFmtId="0" fontId="12" fillId="0" borderId="36" xfId="0" applyFont="1" applyBorder="1" applyAlignment="1">
      <alignment horizontal="right" vertical="center" wrapText="1"/>
    </xf>
    <xf numFmtId="0" fontId="12" fillId="0" borderId="36" xfId="0" applyFont="1" applyBorder="1" applyAlignment="1">
      <alignment horizontal="right" vertical="center"/>
    </xf>
    <xf numFmtId="0" fontId="18" fillId="0" borderId="37" xfId="0" applyFont="1" applyBorder="1" applyAlignment="1">
      <alignment horizontal="right" vertical="center" wrapText="1" readingOrder="2"/>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readingOrder="2"/>
    </xf>
    <xf numFmtId="164" fontId="2" fillId="2" borderId="9" xfId="0" applyNumberFormat="1" applyFont="1" applyFill="1" applyBorder="1" applyAlignment="1">
      <alignment horizontal="center" vertical="center" wrapText="1" readingOrder="2"/>
    </xf>
    <xf numFmtId="164" fontId="2" fillId="2" borderId="10" xfId="0" applyNumberFormat="1" applyFont="1" applyFill="1" applyBorder="1" applyAlignment="1">
      <alignment horizontal="center" vertical="center" wrapText="1" readingOrder="2"/>
    </xf>
    <xf numFmtId="0" fontId="3"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cellXfs>
  <cellStyles count="2">
    <cellStyle name="Normal" xfId="0" builtinId="0"/>
    <cellStyle name="Normal 3" xfId="1"/>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14"/>
  <sheetViews>
    <sheetView rightToLeft="1" zoomScale="70" zoomScaleNormal="70" workbookViewId="0">
      <pane xSplit="8" topLeftCell="I1" activePane="topRight" state="frozen"/>
      <selection pane="topRight" activeCell="A4" sqref="A4:E6"/>
    </sheetView>
  </sheetViews>
  <sheetFormatPr defaultColWidth="9" defaultRowHeight="15.75"/>
  <cols>
    <col min="1" max="1" width="9" style="26" customWidth="1"/>
    <col min="2" max="2" width="19.140625" style="27" bestFit="1" customWidth="1"/>
    <col min="3" max="3" width="10.85546875" style="28" bestFit="1" customWidth="1"/>
    <col min="4" max="4" width="5.85546875" style="28" bestFit="1" customWidth="1"/>
    <col min="5" max="5" width="15.7109375" style="29" customWidth="1"/>
    <col min="6" max="6" width="8.140625" style="30" bestFit="1" customWidth="1"/>
    <col min="7" max="7" width="26.5703125" style="29" bestFit="1" customWidth="1"/>
    <col min="8" max="8" width="6" style="30" bestFit="1" customWidth="1"/>
    <col min="9" max="18" width="7.5703125" style="28" customWidth="1"/>
    <col min="19" max="32" width="7.5703125" style="31" customWidth="1"/>
    <col min="33" max="37" width="9" style="28" customWidth="1"/>
    <col min="38" max="38" width="8.28515625" style="28" customWidth="1"/>
    <col min="39" max="39" width="115" style="27" bestFit="1" customWidth="1"/>
    <col min="40" max="40" width="11.5703125" style="31" bestFit="1" customWidth="1"/>
    <col min="41" max="41" width="9" style="31"/>
    <col min="42" max="42" width="12.7109375" style="31" bestFit="1" customWidth="1"/>
    <col min="43" max="16384" width="9" style="31"/>
  </cols>
  <sheetData>
    <row r="1" spans="1:42" customFormat="1" ht="150" customHeight="1" thickBot="1">
      <c r="A1" s="84" t="s">
        <v>105</v>
      </c>
      <c r="B1" s="85"/>
      <c r="C1" s="85"/>
    </row>
    <row r="2" spans="1:42" s="14" customFormat="1" ht="22.5" customHeight="1" thickTop="1">
      <c r="A2" s="78" t="s">
        <v>71</v>
      </c>
      <c r="B2" s="80" t="s">
        <v>72</v>
      </c>
      <c r="C2" s="80" t="s">
        <v>8</v>
      </c>
      <c r="D2" s="80" t="s">
        <v>7</v>
      </c>
      <c r="E2" s="82" t="s">
        <v>91</v>
      </c>
      <c r="F2" s="82" t="s">
        <v>95</v>
      </c>
      <c r="G2" s="82" t="s">
        <v>93</v>
      </c>
      <c r="H2" s="82" t="s">
        <v>94</v>
      </c>
      <c r="I2" s="67" t="s">
        <v>2</v>
      </c>
      <c r="J2" s="67"/>
      <c r="K2" s="67" t="s">
        <v>3</v>
      </c>
      <c r="L2" s="67"/>
      <c r="M2" s="67" t="s">
        <v>4</v>
      </c>
      <c r="N2" s="67"/>
      <c r="O2" s="67" t="s">
        <v>5</v>
      </c>
      <c r="P2" s="67"/>
      <c r="Q2" s="67" t="s">
        <v>6</v>
      </c>
      <c r="R2" s="67"/>
      <c r="S2" s="67" t="s">
        <v>73</v>
      </c>
      <c r="T2" s="67"/>
      <c r="U2" s="67" t="s">
        <v>74</v>
      </c>
      <c r="V2" s="67"/>
      <c r="W2" s="67" t="s">
        <v>75</v>
      </c>
      <c r="X2" s="67"/>
      <c r="Y2" s="67" t="s">
        <v>76</v>
      </c>
      <c r="Z2" s="67"/>
      <c r="AA2" s="67" t="s">
        <v>77</v>
      </c>
      <c r="AB2" s="67"/>
      <c r="AC2" s="67" t="s">
        <v>78</v>
      </c>
      <c r="AD2" s="67"/>
      <c r="AE2" s="67" t="s">
        <v>79</v>
      </c>
      <c r="AF2" s="77"/>
      <c r="AG2" s="68" t="s">
        <v>80</v>
      </c>
      <c r="AH2" s="69"/>
      <c r="AI2" s="70"/>
      <c r="AJ2" s="71" t="s">
        <v>88</v>
      </c>
      <c r="AK2" s="72"/>
      <c r="AL2" s="73" t="s">
        <v>90</v>
      </c>
      <c r="AM2" s="75" t="s">
        <v>81</v>
      </c>
      <c r="AN2" s="56"/>
    </row>
    <row r="3" spans="1:42" s="23" customFormat="1" ht="22.5" customHeight="1" thickBot="1">
      <c r="A3" s="79"/>
      <c r="B3" s="81"/>
      <c r="C3" s="81"/>
      <c r="D3" s="81"/>
      <c r="E3" s="83"/>
      <c r="F3" s="83"/>
      <c r="G3" s="83"/>
      <c r="H3" s="83"/>
      <c r="I3" s="15" t="s">
        <v>0</v>
      </c>
      <c r="J3" s="16" t="s">
        <v>1</v>
      </c>
      <c r="K3" s="15" t="s">
        <v>0</v>
      </c>
      <c r="L3" s="16" t="s">
        <v>1</v>
      </c>
      <c r="M3" s="15" t="s">
        <v>0</v>
      </c>
      <c r="N3" s="16" t="s">
        <v>1</v>
      </c>
      <c r="O3" s="15" t="s">
        <v>0</v>
      </c>
      <c r="P3" s="16" t="s">
        <v>1</v>
      </c>
      <c r="Q3" s="15" t="s">
        <v>0</v>
      </c>
      <c r="R3" s="16" t="s">
        <v>1</v>
      </c>
      <c r="S3" s="15"/>
      <c r="T3" s="16"/>
      <c r="U3" s="15" t="s">
        <v>0</v>
      </c>
      <c r="V3" s="16" t="s">
        <v>1</v>
      </c>
      <c r="W3" s="15" t="s">
        <v>0</v>
      </c>
      <c r="X3" s="16" t="s">
        <v>1</v>
      </c>
      <c r="Y3" s="15" t="s">
        <v>0</v>
      </c>
      <c r="Z3" s="16" t="s">
        <v>1</v>
      </c>
      <c r="AA3" s="15" t="s">
        <v>0</v>
      </c>
      <c r="AB3" s="16" t="s">
        <v>1</v>
      </c>
      <c r="AC3" s="15" t="s">
        <v>0</v>
      </c>
      <c r="AD3" s="16" t="s">
        <v>1</v>
      </c>
      <c r="AE3" s="15" t="s">
        <v>0</v>
      </c>
      <c r="AF3" s="17" t="s">
        <v>1</v>
      </c>
      <c r="AG3" s="18" t="s">
        <v>85</v>
      </c>
      <c r="AH3" s="19" t="s">
        <v>86</v>
      </c>
      <c r="AI3" s="20" t="s">
        <v>87</v>
      </c>
      <c r="AJ3" s="21" t="s">
        <v>85</v>
      </c>
      <c r="AK3" s="22" t="s">
        <v>86</v>
      </c>
      <c r="AL3" s="74"/>
      <c r="AM3" s="76"/>
      <c r="AN3" s="51"/>
      <c r="AP3" s="50"/>
    </row>
    <row r="4" spans="1:42" s="23" customFormat="1" ht="24.95" customHeight="1" thickTop="1">
      <c r="A4" s="24">
        <v>1111</v>
      </c>
      <c r="B4" s="55" t="s">
        <v>97</v>
      </c>
      <c r="C4" s="32" t="s">
        <v>96</v>
      </c>
      <c r="D4" s="32" t="s">
        <v>98</v>
      </c>
      <c r="E4" s="25">
        <v>42736</v>
      </c>
      <c r="F4" s="33">
        <f ca="1">IF(E4=0," ",(TODAY()-E4)/365)</f>
        <v>5.1643835616438354</v>
      </c>
      <c r="G4" s="34">
        <v>22121</v>
      </c>
      <c r="H4" s="57">
        <f ca="1">IF(G4=0," ",(TODAY()-G4)/365)</f>
        <v>61.643835616438359</v>
      </c>
      <c r="I4" s="53">
        <v>2</v>
      </c>
      <c r="J4" s="54">
        <v>1</v>
      </c>
      <c r="K4" s="38">
        <v>0</v>
      </c>
      <c r="L4" s="37">
        <v>1</v>
      </c>
      <c r="M4" s="38">
        <v>4</v>
      </c>
      <c r="N4" s="42">
        <v>3</v>
      </c>
      <c r="O4" s="38"/>
      <c r="P4" s="37"/>
      <c r="Q4" s="38"/>
      <c r="R4" s="37"/>
      <c r="S4" s="39"/>
      <c r="T4" s="40"/>
      <c r="U4" s="39"/>
      <c r="V4" s="40"/>
      <c r="W4" s="39"/>
      <c r="X4" s="40"/>
      <c r="Y4" s="39"/>
      <c r="Z4" s="40"/>
      <c r="AA4" s="39"/>
      <c r="AB4" s="40"/>
      <c r="AC4" s="39"/>
      <c r="AD4" s="40"/>
      <c r="AE4" s="39"/>
      <c r="AF4" s="42"/>
      <c r="AG4" s="41">
        <f t="shared" ref="AG4:AG14" ca="1" si="0">AI4-AH4</f>
        <v>24</v>
      </c>
      <c r="AH4" s="42">
        <v>6</v>
      </c>
      <c r="AI4" s="43">
        <f ca="1">IF(AND(F4&lt;9.99,H4&lt;50),21,IF(AND(F4&lt;9.99,H4&gt;=50),30,IF(AND(F4&gt;=10,H4&lt;50),30,0)))</f>
        <v>30</v>
      </c>
      <c r="AJ4" s="41">
        <f>(I4+K4+M4+O4+Q4+S4+U4+W4+Y4+AA4+AC4+AE4)</f>
        <v>6</v>
      </c>
      <c r="AK4" s="44">
        <f>(J4+L4+N4+P4+R4+T4+V4+X4+Z4+AB4+AD4+AF4)</f>
        <v>5</v>
      </c>
      <c r="AL4" s="45">
        <f ca="1">(AI4)-(AJ4+AK4)</f>
        <v>19</v>
      </c>
      <c r="AM4" s="52" t="s">
        <v>101</v>
      </c>
    </row>
    <row r="5" spans="1:42" s="23" customFormat="1" ht="24.95" customHeight="1">
      <c r="A5" s="24">
        <v>1111</v>
      </c>
      <c r="B5" s="55" t="s">
        <v>97</v>
      </c>
      <c r="C5" s="32" t="s">
        <v>96</v>
      </c>
      <c r="D5" s="32" t="s">
        <v>98</v>
      </c>
      <c r="E5" s="25">
        <v>38353</v>
      </c>
      <c r="F5" s="58">
        <f t="shared" ref="F5:F6" ca="1" si="1">IF(E5=0," ",(TODAY()-E5)/365)</f>
        <v>17.172602739726027</v>
      </c>
      <c r="G5" s="34">
        <v>30521</v>
      </c>
      <c r="H5" s="35">
        <f t="shared" ref="H5:H14" ca="1" si="2">IF(G5=0," ",(TODAY()-G5)/365)</f>
        <v>38.630136986301373</v>
      </c>
      <c r="I5" s="36">
        <v>0</v>
      </c>
      <c r="J5" s="37">
        <v>2</v>
      </c>
      <c r="K5" s="38">
        <v>3</v>
      </c>
      <c r="L5" s="37">
        <v>1</v>
      </c>
      <c r="M5" s="38">
        <v>2</v>
      </c>
      <c r="N5" s="42">
        <v>0</v>
      </c>
      <c r="O5" s="38"/>
      <c r="P5" s="37"/>
      <c r="Q5" s="38"/>
      <c r="R5" s="37"/>
      <c r="S5" s="39"/>
      <c r="T5" s="40"/>
      <c r="U5" s="39"/>
      <c r="V5" s="40"/>
      <c r="W5" s="39"/>
      <c r="X5" s="40"/>
      <c r="Y5" s="39"/>
      <c r="Z5" s="40"/>
      <c r="AA5" s="39"/>
      <c r="AB5" s="40"/>
      <c r="AC5" s="39"/>
      <c r="AD5" s="40"/>
      <c r="AE5" s="39"/>
      <c r="AF5" s="42"/>
      <c r="AG5" s="41">
        <f t="shared" ca="1" si="0"/>
        <v>24</v>
      </c>
      <c r="AH5" s="42">
        <v>6</v>
      </c>
      <c r="AI5" s="43">
        <f t="shared" ref="AI5:AI6" ca="1" si="3">IF(AND(F5&lt;9.99,H5&lt;50),21,IF(AND(F5&lt;9.99,H5&gt;=50),30,IF(AND(F5&gt;=10,H5&lt;50),30,0)))</f>
        <v>30</v>
      </c>
      <c r="AJ5" s="41">
        <f t="shared" ref="AJ5:AJ14" si="4">(I5+K5+M5+O5+Q5+S5+U5+W5+Y5+AA5+AC5+AE5)</f>
        <v>5</v>
      </c>
      <c r="AK5" s="46">
        <f>(J5+L5+N5+P5+R5+T5+V5+X5+Z5+AB5+AD5+AF5)</f>
        <v>3</v>
      </c>
      <c r="AL5" s="45">
        <f t="shared" ref="AL5:AL14" ca="1" si="5">(AI5)-(AJ5+AK5)</f>
        <v>22</v>
      </c>
      <c r="AM5" s="52" t="s">
        <v>100</v>
      </c>
    </row>
    <row r="6" spans="1:42" s="23" customFormat="1" ht="24.95" customHeight="1">
      <c r="A6" s="24">
        <v>1111</v>
      </c>
      <c r="B6" s="55" t="s">
        <v>97</v>
      </c>
      <c r="C6" s="32" t="s">
        <v>96</v>
      </c>
      <c r="D6" s="32" t="s">
        <v>98</v>
      </c>
      <c r="E6" s="25">
        <v>42736</v>
      </c>
      <c r="F6" s="33">
        <f t="shared" ca="1" si="1"/>
        <v>5.1643835616438354</v>
      </c>
      <c r="G6" s="34">
        <v>30521</v>
      </c>
      <c r="H6" s="35">
        <f t="shared" ca="1" si="2"/>
        <v>38.630136986301373</v>
      </c>
      <c r="I6" s="36">
        <v>1</v>
      </c>
      <c r="J6" s="37">
        <v>0</v>
      </c>
      <c r="K6" s="38">
        <v>1</v>
      </c>
      <c r="L6" s="37">
        <v>0</v>
      </c>
      <c r="M6" s="38">
        <v>5</v>
      </c>
      <c r="N6" s="42">
        <v>0</v>
      </c>
      <c r="O6" s="38"/>
      <c r="P6" s="37"/>
      <c r="Q6" s="38"/>
      <c r="R6" s="37"/>
      <c r="S6" s="39"/>
      <c r="T6" s="40"/>
      <c r="U6" s="39"/>
      <c r="V6" s="40"/>
      <c r="W6" s="39"/>
      <c r="X6" s="40"/>
      <c r="Y6" s="39"/>
      <c r="Z6" s="40"/>
      <c r="AA6" s="39"/>
      <c r="AB6" s="40"/>
      <c r="AC6" s="39"/>
      <c r="AD6" s="40"/>
      <c r="AE6" s="39"/>
      <c r="AF6" s="42"/>
      <c r="AG6" s="41">
        <f t="shared" ca="1" si="0"/>
        <v>15</v>
      </c>
      <c r="AH6" s="42">
        <v>6</v>
      </c>
      <c r="AI6" s="43">
        <f t="shared" ca="1" si="3"/>
        <v>21</v>
      </c>
      <c r="AJ6" s="41">
        <f t="shared" si="4"/>
        <v>7</v>
      </c>
      <c r="AK6" s="46">
        <f>(J6+L6+N6+P6+R6+T6+V6+X6+Z6+AB6+AD6+AF6)</f>
        <v>0</v>
      </c>
      <c r="AL6" s="45">
        <f t="shared" ca="1" si="5"/>
        <v>14</v>
      </c>
      <c r="AM6" s="52" t="s">
        <v>99</v>
      </c>
    </row>
    <row r="7" spans="1:42" customFormat="1" ht="24.95" customHeight="1"/>
    <row r="8" spans="1:42" customFormat="1" ht="50.1" customHeight="1" thickBot="1">
      <c r="A8" s="86" t="s">
        <v>102</v>
      </c>
      <c r="B8" s="86"/>
      <c r="C8" s="86"/>
    </row>
    <row r="9" spans="1:42" s="14" customFormat="1" ht="22.5" customHeight="1" thickTop="1">
      <c r="A9" s="78" t="s">
        <v>71</v>
      </c>
      <c r="B9" s="80" t="s">
        <v>72</v>
      </c>
      <c r="C9" s="80" t="s">
        <v>8</v>
      </c>
      <c r="D9" s="80" t="s">
        <v>7</v>
      </c>
      <c r="E9" s="82" t="s">
        <v>91</v>
      </c>
      <c r="F9" s="82" t="s">
        <v>95</v>
      </c>
      <c r="G9" s="82" t="s">
        <v>93</v>
      </c>
      <c r="H9" s="82" t="s">
        <v>94</v>
      </c>
      <c r="I9" s="67" t="s">
        <v>2</v>
      </c>
      <c r="J9" s="67"/>
      <c r="K9" s="67" t="s">
        <v>3</v>
      </c>
      <c r="L9" s="67"/>
      <c r="M9" s="67" t="s">
        <v>4</v>
      </c>
      <c r="N9" s="67"/>
      <c r="O9" s="67" t="s">
        <v>5</v>
      </c>
      <c r="P9" s="67"/>
      <c r="Q9" s="67" t="s">
        <v>6</v>
      </c>
      <c r="R9" s="67"/>
      <c r="S9" s="67" t="s">
        <v>73</v>
      </c>
      <c r="T9" s="67"/>
      <c r="U9" s="67" t="s">
        <v>74</v>
      </c>
      <c r="V9" s="67"/>
      <c r="W9" s="67" t="s">
        <v>75</v>
      </c>
      <c r="X9" s="67"/>
      <c r="Y9" s="67" t="s">
        <v>76</v>
      </c>
      <c r="Z9" s="67"/>
      <c r="AA9" s="67" t="s">
        <v>77</v>
      </c>
      <c r="AB9" s="67"/>
      <c r="AC9" s="67" t="s">
        <v>78</v>
      </c>
      <c r="AD9" s="67"/>
      <c r="AE9" s="67" t="s">
        <v>79</v>
      </c>
      <c r="AF9" s="77"/>
      <c r="AG9" s="68" t="s">
        <v>80</v>
      </c>
      <c r="AH9" s="69"/>
      <c r="AI9" s="70"/>
      <c r="AJ9" s="71" t="s">
        <v>88</v>
      </c>
      <c r="AK9" s="72"/>
      <c r="AL9" s="73" t="s">
        <v>90</v>
      </c>
      <c r="AM9" s="75" t="s">
        <v>81</v>
      </c>
      <c r="AN9" s="60">
        <v>43830</v>
      </c>
    </row>
    <row r="10" spans="1:42" s="23" customFormat="1" ht="22.5" customHeight="1" thickBot="1">
      <c r="A10" s="79"/>
      <c r="B10" s="81"/>
      <c r="C10" s="81"/>
      <c r="D10" s="81"/>
      <c r="E10" s="83"/>
      <c r="F10" s="83"/>
      <c r="G10" s="83"/>
      <c r="H10" s="83"/>
      <c r="I10" s="15" t="s">
        <v>0</v>
      </c>
      <c r="J10" s="16" t="s">
        <v>1</v>
      </c>
      <c r="K10" s="15" t="s">
        <v>0</v>
      </c>
      <c r="L10" s="16" t="s">
        <v>1</v>
      </c>
      <c r="M10" s="15" t="s">
        <v>0</v>
      </c>
      <c r="N10" s="16" t="s">
        <v>1</v>
      </c>
      <c r="O10" s="15" t="s">
        <v>0</v>
      </c>
      <c r="P10" s="16" t="s">
        <v>1</v>
      </c>
      <c r="Q10" s="15" t="s">
        <v>0</v>
      </c>
      <c r="R10" s="16" t="s">
        <v>1</v>
      </c>
      <c r="S10" s="15"/>
      <c r="T10" s="16"/>
      <c r="U10" s="15" t="s">
        <v>0</v>
      </c>
      <c r="V10" s="16" t="s">
        <v>1</v>
      </c>
      <c r="W10" s="15" t="s">
        <v>0</v>
      </c>
      <c r="X10" s="16" t="s">
        <v>1</v>
      </c>
      <c r="Y10" s="15" t="s">
        <v>0</v>
      </c>
      <c r="Z10" s="16" t="s">
        <v>1</v>
      </c>
      <c r="AA10" s="15" t="s">
        <v>0</v>
      </c>
      <c r="AB10" s="16" t="s">
        <v>1</v>
      </c>
      <c r="AC10" s="15" t="s">
        <v>0</v>
      </c>
      <c r="AD10" s="16" t="s">
        <v>1</v>
      </c>
      <c r="AE10" s="15" t="s">
        <v>0</v>
      </c>
      <c r="AF10" s="17" t="s">
        <v>1</v>
      </c>
      <c r="AG10" s="18" t="s">
        <v>85</v>
      </c>
      <c r="AH10" s="19" t="s">
        <v>86</v>
      </c>
      <c r="AI10" s="20" t="s">
        <v>87</v>
      </c>
      <c r="AJ10" s="21" t="s">
        <v>85</v>
      </c>
      <c r="AK10" s="22" t="s">
        <v>86</v>
      </c>
      <c r="AL10" s="74"/>
      <c r="AM10" s="76"/>
      <c r="AN10" s="51"/>
      <c r="AP10" s="50"/>
    </row>
    <row r="11" spans="1:42" s="23" customFormat="1" ht="24.95" customHeight="1" thickTop="1">
      <c r="A11" s="24">
        <v>1111</v>
      </c>
      <c r="B11" s="55" t="s">
        <v>97</v>
      </c>
      <c r="C11" s="32" t="s">
        <v>96</v>
      </c>
      <c r="D11" s="32" t="s">
        <v>98</v>
      </c>
      <c r="E11" s="25">
        <v>43539</v>
      </c>
      <c r="F11" s="33">
        <f>IF(E11=0," ",($AN$9-E11)/365)</f>
        <v>0.79726027397260268</v>
      </c>
      <c r="G11" s="34">
        <v>22121</v>
      </c>
      <c r="H11" s="57">
        <f t="shared" ca="1" si="2"/>
        <v>61.643835616438359</v>
      </c>
      <c r="I11" s="36"/>
      <c r="J11" s="37"/>
      <c r="K11" s="38"/>
      <c r="L11" s="37"/>
      <c r="M11" s="38"/>
      <c r="N11" s="42"/>
      <c r="O11" s="38"/>
      <c r="P11" s="37"/>
      <c r="Q11" s="38"/>
      <c r="R11" s="37"/>
      <c r="S11" s="39"/>
      <c r="T11" s="40"/>
      <c r="U11" s="39">
        <v>4</v>
      </c>
      <c r="V11" s="40">
        <v>1</v>
      </c>
      <c r="W11" s="39">
        <v>0</v>
      </c>
      <c r="X11" s="40">
        <v>1</v>
      </c>
      <c r="Y11" s="39">
        <v>4</v>
      </c>
      <c r="Z11" s="40">
        <v>0</v>
      </c>
      <c r="AA11" s="39">
        <v>3</v>
      </c>
      <c r="AB11" s="40">
        <v>0</v>
      </c>
      <c r="AC11" s="39">
        <v>7</v>
      </c>
      <c r="AD11" s="40">
        <v>0</v>
      </c>
      <c r="AE11" s="39">
        <v>2</v>
      </c>
      <c r="AF11" s="49">
        <v>1</v>
      </c>
      <c r="AG11" s="64">
        <f t="shared" si="0"/>
        <v>17.917808219178077</v>
      </c>
      <c r="AH11" s="42">
        <v>6</v>
      </c>
      <c r="AI11" s="47">
        <f>((($AN$9-E11)/365)*2.5)*12</f>
        <v>23.917808219178077</v>
      </c>
      <c r="AJ11" s="41">
        <f t="shared" si="4"/>
        <v>20</v>
      </c>
      <c r="AK11" s="46">
        <f>(J11+L11+N11+P11+R11+T11+V11+X11+Z11+AB11+AD11+AF11)</f>
        <v>3</v>
      </c>
      <c r="AL11" s="48">
        <f t="shared" si="5"/>
        <v>0.91780821917807742</v>
      </c>
      <c r="AM11" s="59" t="s">
        <v>103</v>
      </c>
    </row>
    <row r="12" spans="1:42" s="23" customFormat="1" ht="24.95" customHeight="1">
      <c r="A12" s="24">
        <v>1111</v>
      </c>
      <c r="B12" s="55" t="s">
        <v>97</v>
      </c>
      <c r="C12" s="32" t="s">
        <v>96</v>
      </c>
      <c r="D12" s="32" t="s">
        <v>98</v>
      </c>
      <c r="E12" s="25">
        <v>43595</v>
      </c>
      <c r="F12" s="33">
        <f t="shared" ref="F12:F14" si="6">IF(E12=0," ",($AN$9-E12)/365)</f>
        <v>0.64383561643835618</v>
      </c>
      <c r="G12" s="34">
        <v>30552</v>
      </c>
      <c r="H12" s="35">
        <f t="shared" ca="1" si="2"/>
        <v>38.545205479452058</v>
      </c>
      <c r="I12" s="36"/>
      <c r="J12" s="37"/>
      <c r="K12" s="38"/>
      <c r="L12" s="37"/>
      <c r="M12" s="38"/>
      <c r="N12" s="42"/>
      <c r="O12" s="38"/>
      <c r="P12" s="37"/>
      <c r="Q12" s="38"/>
      <c r="R12" s="37"/>
      <c r="S12" s="39"/>
      <c r="T12" s="40"/>
      <c r="U12" s="39"/>
      <c r="V12" s="40"/>
      <c r="W12" s="39">
        <v>2</v>
      </c>
      <c r="X12" s="40">
        <v>0</v>
      </c>
      <c r="Y12" s="39">
        <v>3</v>
      </c>
      <c r="Z12" s="40">
        <v>0</v>
      </c>
      <c r="AA12" s="39">
        <v>0</v>
      </c>
      <c r="AB12" s="40">
        <v>1</v>
      </c>
      <c r="AC12" s="39">
        <v>2</v>
      </c>
      <c r="AD12" s="40">
        <v>0</v>
      </c>
      <c r="AE12" s="39">
        <v>3</v>
      </c>
      <c r="AF12" s="49">
        <v>0</v>
      </c>
      <c r="AG12" s="64">
        <f t="shared" si="0"/>
        <v>7.5205479452054789</v>
      </c>
      <c r="AH12" s="42">
        <v>6</v>
      </c>
      <c r="AI12" s="47">
        <f>((($AN$9-E12)/365)*1.75)*12</f>
        <v>13.520547945205479</v>
      </c>
      <c r="AJ12" s="41">
        <f t="shared" si="4"/>
        <v>10</v>
      </c>
      <c r="AK12" s="46">
        <f>(J12+L12+N12+P12+R12+T12+V12+X12+Z12+AB12+AD12+AF12)</f>
        <v>1</v>
      </c>
      <c r="AL12" s="48">
        <f t="shared" si="5"/>
        <v>2.5205479452054789</v>
      </c>
      <c r="AM12" s="59" t="s">
        <v>104</v>
      </c>
    </row>
    <row r="13" spans="1:42" s="23" customFormat="1" ht="24.95" customHeight="1">
      <c r="A13" s="24">
        <v>1111</v>
      </c>
      <c r="B13" s="55" t="s">
        <v>97</v>
      </c>
      <c r="C13" s="32" t="s">
        <v>96</v>
      </c>
      <c r="D13" s="32" t="s">
        <v>98</v>
      </c>
      <c r="E13" s="25">
        <v>43695</v>
      </c>
      <c r="F13" s="33">
        <f>IF(E13=0," ",($AN$9-E13)/365)</f>
        <v>0.36986301369863012</v>
      </c>
      <c r="G13" s="34">
        <v>23978</v>
      </c>
      <c r="H13" s="57">
        <f t="shared" ca="1" si="2"/>
        <v>56.556164383561644</v>
      </c>
      <c r="I13" s="36"/>
      <c r="J13" s="37"/>
      <c r="K13" s="38"/>
      <c r="L13" s="37"/>
      <c r="M13" s="38"/>
      <c r="N13" s="42"/>
      <c r="O13" s="38"/>
      <c r="P13" s="37"/>
      <c r="Q13" s="38"/>
      <c r="R13" s="37"/>
      <c r="S13" s="39"/>
      <c r="T13" s="40"/>
      <c r="U13" s="39"/>
      <c r="V13" s="40"/>
      <c r="W13" s="39"/>
      <c r="X13" s="40"/>
      <c r="Y13" s="39"/>
      <c r="Z13" s="40"/>
      <c r="AA13" s="39">
        <v>3</v>
      </c>
      <c r="AB13" s="40">
        <v>0</v>
      </c>
      <c r="AC13" s="39">
        <v>5</v>
      </c>
      <c r="AD13" s="40">
        <v>0</v>
      </c>
      <c r="AE13" s="39">
        <v>2</v>
      </c>
      <c r="AF13" s="49">
        <v>0</v>
      </c>
      <c r="AG13" s="64">
        <f t="shared" si="0"/>
        <v>5.0958904109589032</v>
      </c>
      <c r="AH13" s="42">
        <v>6</v>
      </c>
      <c r="AI13" s="47">
        <f t="shared" ref="AI13" si="7">((($AN$9-E13)/365)*2.5)*12</f>
        <v>11.095890410958903</v>
      </c>
      <c r="AJ13" s="41">
        <f t="shared" si="4"/>
        <v>10</v>
      </c>
      <c r="AK13" s="46">
        <f>(J13+L13+N13+P13+R13+T13+V13+X13+Z13+AB13+AD13+AF13)</f>
        <v>0</v>
      </c>
      <c r="AL13" s="48">
        <f t="shared" si="5"/>
        <v>1.0958904109589032</v>
      </c>
      <c r="AM13" s="52"/>
    </row>
    <row r="14" spans="1:42" s="23" customFormat="1" ht="24.95" customHeight="1">
      <c r="A14" s="24">
        <v>1111</v>
      </c>
      <c r="B14" s="55" t="s">
        <v>97</v>
      </c>
      <c r="C14" s="32" t="s">
        <v>96</v>
      </c>
      <c r="D14" s="32" t="s">
        <v>98</v>
      </c>
      <c r="E14" s="25">
        <v>43739</v>
      </c>
      <c r="F14" s="33">
        <f t="shared" si="6"/>
        <v>0.24931506849315069</v>
      </c>
      <c r="G14" s="34">
        <v>30552</v>
      </c>
      <c r="H14" s="35">
        <f t="shared" ca="1" si="2"/>
        <v>38.545205479452058</v>
      </c>
      <c r="I14" s="36"/>
      <c r="J14" s="37"/>
      <c r="K14" s="38"/>
      <c r="L14" s="37"/>
      <c r="M14" s="38"/>
      <c r="N14" s="42"/>
      <c r="O14" s="38"/>
      <c r="P14" s="37"/>
      <c r="Q14" s="38"/>
      <c r="R14" s="37"/>
      <c r="S14" s="39"/>
      <c r="T14" s="40"/>
      <c r="U14" s="39"/>
      <c r="V14" s="40"/>
      <c r="W14" s="39"/>
      <c r="X14" s="40"/>
      <c r="Y14" s="39"/>
      <c r="Z14" s="40"/>
      <c r="AA14" s="39"/>
      <c r="AB14" s="40"/>
      <c r="AC14" s="39">
        <v>0</v>
      </c>
      <c r="AD14" s="40">
        <v>1</v>
      </c>
      <c r="AE14" s="39">
        <v>3</v>
      </c>
      <c r="AF14" s="49">
        <v>0</v>
      </c>
      <c r="AG14" s="64">
        <f t="shared" si="0"/>
        <v>-0.76438356164383592</v>
      </c>
      <c r="AH14" s="42">
        <v>6</v>
      </c>
      <c r="AI14" s="47">
        <f>((($AN$9-E14)/365)*1.75)*12</f>
        <v>5.2356164383561641</v>
      </c>
      <c r="AJ14" s="41">
        <f t="shared" si="4"/>
        <v>3</v>
      </c>
      <c r="AK14" s="46">
        <f>(J14+L14+N14+P14+R14+T14+V14+X14+Z14+AB14+AD14+AF14)</f>
        <v>1</v>
      </c>
      <c r="AL14" s="48">
        <f t="shared" si="5"/>
        <v>1.2356164383561641</v>
      </c>
      <c r="AM14" s="52"/>
    </row>
  </sheetData>
  <mergeCells count="50">
    <mergeCell ref="A8:C8"/>
    <mergeCell ref="G2:G3"/>
    <mergeCell ref="H2:H3"/>
    <mergeCell ref="I2:J2"/>
    <mergeCell ref="G9:G10"/>
    <mergeCell ref="H9:H10"/>
    <mergeCell ref="I9:J9"/>
    <mergeCell ref="K2:L2"/>
    <mergeCell ref="A2:A3"/>
    <mergeCell ref="B2:B3"/>
    <mergeCell ref="C2:C3"/>
    <mergeCell ref="D2:D3"/>
    <mergeCell ref="E2:E3"/>
    <mergeCell ref="AG2:AI2"/>
    <mergeCell ref="AJ2:AK2"/>
    <mergeCell ref="AL2:AL3"/>
    <mergeCell ref="AM2:AM3"/>
    <mergeCell ref="A1:C1"/>
    <mergeCell ref="W2:X2"/>
    <mergeCell ref="Y2:Z2"/>
    <mergeCell ref="AA2:AB2"/>
    <mergeCell ref="AC2:AD2"/>
    <mergeCell ref="AE2:AF2"/>
    <mergeCell ref="M2:N2"/>
    <mergeCell ref="O2:P2"/>
    <mergeCell ref="Q2:R2"/>
    <mergeCell ref="S2:T2"/>
    <mergeCell ref="U2:V2"/>
    <mergeCell ref="F2:F3"/>
    <mergeCell ref="K9:L9"/>
    <mergeCell ref="A9:A10"/>
    <mergeCell ref="B9:B10"/>
    <mergeCell ref="C9:C10"/>
    <mergeCell ref="D9:D10"/>
    <mergeCell ref="E9:E10"/>
    <mergeCell ref="F9:F10"/>
    <mergeCell ref="AG9:AI9"/>
    <mergeCell ref="AJ9:AK9"/>
    <mergeCell ref="AL9:AL10"/>
    <mergeCell ref="AM9:AM10"/>
    <mergeCell ref="W9:X9"/>
    <mergeCell ref="Y9:Z9"/>
    <mergeCell ref="AA9:AB9"/>
    <mergeCell ref="AC9:AD9"/>
    <mergeCell ref="AE9:AF9"/>
    <mergeCell ref="M9:N9"/>
    <mergeCell ref="O9:P9"/>
    <mergeCell ref="Q9:R9"/>
    <mergeCell ref="S9:T9"/>
    <mergeCell ref="U9:V9"/>
  </mergeCells>
  <conditionalFormatting sqref="AK13:AK14 AK4:AK6">
    <cfRule type="cellIs" dxfId="8" priority="4" operator="greaterThan">
      <formula>6</formula>
    </cfRule>
  </conditionalFormatting>
  <conditionalFormatting sqref="AL4:AL6 AL11:AL14">
    <cfRule type="cellIs" dxfId="7" priority="3" operator="lessThan">
      <formula>0</formula>
    </cfRule>
  </conditionalFormatting>
  <conditionalFormatting sqref="AK11">
    <cfRule type="cellIs" dxfId="6" priority="2" operator="greaterThan">
      <formula>6</formula>
    </cfRule>
  </conditionalFormatting>
  <conditionalFormatting sqref="AK12">
    <cfRule type="cellIs" dxfId="5" priority="1" operator="greaterThan">
      <formula>6</formula>
    </cfRule>
  </conditionalFormatting>
  <printOptions horizontalCentered="1"/>
  <pageMargins left="0" right="0" top="0.74803149606299213" bottom="0.74803149606299213" header="0.31496062992125984" footer="0.31496062992125984"/>
  <pageSetup paperSize="9" scale="7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04"/>
  <sheetViews>
    <sheetView rightToLeft="1" tabSelected="1" zoomScale="70" zoomScaleNormal="70" workbookViewId="0">
      <pane xSplit="8" ySplit="2" topLeftCell="I21" activePane="bottomRight" state="frozen"/>
      <selection pane="topRight" activeCell="I1" sqref="I1"/>
      <selection pane="bottomLeft" activeCell="A3" sqref="A3"/>
      <selection pane="bottomRight" activeCell="D48" sqref="D48"/>
    </sheetView>
  </sheetViews>
  <sheetFormatPr defaultColWidth="9" defaultRowHeight="15.75"/>
  <cols>
    <col min="1" max="1" width="7.7109375" style="26" customWidth="1"/>
    <col min="2" max="2" width="22.7109375" style="27" customWidth="1"/>
    <col min="3" max="3" width="15.140625" style="28" customWidth="1"/>
    <col min="4" max="4" width="8.42578125" style="28" customWidth="1"/>
    <col min="5" max="5" width="7.7109375" style="29" customWidth="1"/>
    <col min="6" max="6" width="8.42578125" style="30" bestFit="1" customWidth="1"/>
    <col min="7" max="7" width="7" style="29" customWidth="1"/>
    <col min="8" max="8" width="6" style="30" bestFit="1" customWidth="1"/>
    <col min="9" max="18" width="5.5703125" style="28" customWidth="1"/>
    <col min="19" max="32" width="5.5703125" style="31" customWidth="1"/>
    <col min="33" max="38" width="5.5703125" style="28" customWidth="1"/>
    <col min="39" max="39" width="23" style="27" customWidth="1"/>
    <col min="40" max="40" width="11.5703125" style="31" bestFit="1" customWidth="1"/>
    <col min="41" max="41" width="9" style="31"/>
    <col min="42" max="42" width="12.7109375" style="31" bestFit="1" customWidth="1"/>
    <col min="43" max="16384" width="9" style="31"/>
  </cols>
  <sheetData>
    <row r="1" spans="1:42" s="14" customFormat="1" ht="22.5" customHeight="1" thickTop="1">
      <c r="A1" s="78" t="s">
        <v>71</v>
      </c>
      <c r="B1" s="80" t="s">
        <v>72</v>
      </c>
      <c r="C1" s="80" t="s">
        <v>107</v>
      </c>
      <c r="D1" s="80" t="s">
        <v>7</v>
      </c>
      <c r="E1" s="82" t="s">
        <v>108</v>
      </c>
      <c r="F1" s="82" t="s">
        <v>95</v>
      </c>
      <c r="G1" s="82" t="s">
        <v>109</v>
      </c>
      <c r="H1" s="82" t="s">
        <v>94</v>
      </c>
      <c r="I1" s="67" t="s">
        <v>2</v>
      </c>
      <c r="J1" s="67"/>
      <c r="K1" s="67" t="s">
        <v>3</v>
      </c>
      <c r="L1" s="67"/>
      <c r="M1" s="67" t="s">
        <v>4</v>
      </c>
      <c r="N1" s="67"/>
      <c r="O1" s="67" t="s">
        <v>5</v>
      </c>
      <c r="P1" s="67"/>
      <c r="Q1" s="67" t="s">
        <v>6</v>
      </c>
      <c r="R1" s="67"/>
      <c r="S1" s="67" t="s">
        <v>73</v>
      </c>
      <c r="T1" s="67"/>
      <c r="U1" s="67" t="s">
        <v>74</v>
      </c>
      <c r="V1" s="67"/>
      <c r="W1" s="67" t="s">
        <v>75</v>
      </c>
      <c r="X1" s="67"/>
      <c r="Y1" s="67" t="s">
        <v>76</v>
      </c>
      <c r="Z1" s="67"/>
      <c r="AA1" s="67" t="s">
        <v>77</v>
      </c>
      <c r="AB1" s="67"/>
      <c r="AC1" s="67" t="s">
        <v>78</v>
      </c>
      <c r="AD1" s="67"/>
      <c r="AE1" s="67" t="s">
        <v>79</v>
      </c>
      <c r="AF1" s="77"/>
      <c r="AG1" s="68" t="s">
        <v>80</v>
      </c>
      <c r="AH1" s="69"/>
      <c r="AI1" s="70"/>
      <c r="AJ1" s="71" t="s">
        <v>88</v>
      </c>
      <c r="AK1" s="72"/>
      <c r="AL1" s="73" t="s">
        <v>90</v>
      </c>
      <c r="AM1" s="75" t="s">
        <v>81</v>
      </c>
      <c r="AN1" s="56"/>
    </row>
    <row r="2" spans="1:42" s="23" customFormat="1" ht="22.5" customHeight="1" thickBot="1">
      <c r="A2" s="79"/>
      <c r="B2" s="81"/>
      <c r="C2" s="81"/>
      <c r="D2" s="81"/>
      <c r="E2" s="83"/>
      <c r="F2" s="83"/>
      <c r="G2" s="83"/>
      <c r="H2" s="83"/>
      <c r="I2" s="15" t="s">
        <v>0</v>
      </c>
      <c r="J2" s="16" t="s">
        <v>106</v>
      </c>
      <c r="K2" s="15" t="s">
        <v>0</v>
      </c>
      <c r="L2" s="16" t="s">
        <v>106</v>
      </c>
      <c r="M2" s="15" t="s">
        <v>0</v>
      </c>
      <c r="N2" s="16" t="s">
        <v>106</v>
      </c>
      <c r="O2" s="15" t="s">
        <v>0</v>
      </c>
      <c r="P2" s="16" t="s">
        <v>106</v>
      </c>
      <c r="Q2" s="15" t="s">
        <v>0</v>
      </c>
      <c r="R2" s="16" t="s">
        <v>106</v>
      </c>
      <c r="S2" s="15"/>
      <c r="T2" s="16" t="s">
        <v>106</v>
      </c>
      <c r="U2" s="15" t="s">
        <v>0</v>
      </c>
      <c r="V2" s="16" t="s">
        <v>106</v>
      </c>
      <c r="W2" s="15" t="s">
        <v>0</v>
      </c>
      <c r="X2" s="16" t="s">
        <v>106</v>
      </c>
      <c r="Y2" s="15" t="s">
        <v>0</v>
      </c>
      <c r="Z2" s="16" t="s">
        <v>106</v>
      </c>
      <c r="AA2" s="15" t="s">
        <v>0</v>
      </c>
      <c r="AB2" s="16" t="s">
        <v>106</v>
      </c>
      <c r="AC2" s="15" t="s">
        <v>0</v>
      </c>
      <c r="AD2" s="16" t="s">
        <v>106</v>
      </c>
      <c r="AE2" s="15" t="s">
        <v>0</v>
      </c>
      <c r="AF2" s="17" t="s">
        <v>106</v>
      </c>
      <c r="AG2" s="18" t="s">
        <v>85</v>
      </c>
      <c r="AH2" s="19" t="s">
        <v>106</v>
      </c>
      <c r="AI2" s="20" t="s">
        <v>87</v>
      </c>
      <c r="AJ2" s="21" t="s">
        <v>85</v>
      </c>
      <c r="AK2" s="22" t="s">
        <v>106</v>
      </c>
      <c r="AL2" s="74"/>
      <c r="AM2" s="76"/>
      <c r="AN2" s="51"/>
      <c r="AP2" s="50"/>
    </row>
    <row r="3" spans="1:42" s="23" customFormat="1" ht="16.5" thickTop="1">
      <c r="A3" s="24"/>
      <c r="B3" s="55"/>
      <c r="C3" s="32"/>
      <c r="D3" s="32"/>
      <c r="E3" s="25"/>
      <c r="F3" s="61" t="str">
        <f ca="1">IF(E3=0," ",(TODAY()-E3)/365)</f>
        <v xml:space="preserve"> </v>
      </c>
      <c r="G3" s="62"/>
      <c r="H3" s="63" t="str">
        <f ca="1">IF(G3=0," ",(TODAY()-G3)/365)</f>
        <v xml:space="preserve"> </v>
      </c>
      <c r="I3" s="53"/>
      <c r="J3" s="54"/>
      <c r="K3" s="38"/>
      <c r="L3" s="37"/>
      <c r="M3" s="38"/>
      <c r="N3" s="42"/>
      <c r="O3" s="38"/>
      <c r="P3" s="37"/>
      <c r="Q3" s="38"/>
      <c r="R3" s="37"/>
      <c r="S3" s="39"/>
      <c r="T3" s="40"/>
      <c r="U3" s="39"/>
      <c r="V3" s="40"/>
      <c r="W3" s="39"/>
      <c r="X3" s="40"/>
      <c r="Y3" s="39"/>
      <c r="Z3" s="40"/>
      <c r="AA3" s="39"/>
      <c r="AB3" s="40"/>
      <c r="AC3" s="39"/>
      <c r="AD3" s="40"/>
      <c r="AE3" s="39"/>
      <c r="AF3" s="42"/>
      <c r="AG3" s="41">
        <f t="shared" ref="AG3:AG204" ca="1" si="0">AI3-AH3</f>
        <v>0</v>
      </c>
      <c r="AH3" s="42">
        <v>0</v>
      </c>
      <c r="AI3" s="43">
        <f ca="1">IF(AND(F3&lt;9.99,H3&lt;50),21,IF(AND(F3&lt;9.99,H3&gt;=50),30,IF(AND(F3&gt;=10,H3&lt;50),30,0)))</f>
        <v>0</v>
      </c>
      <c r="AJ3" s="41">
        <f>(I3+K3+M3+O3+Q3+S3+U3+W3+Y3+AA3+AC3+AE3)</f>
        <v>0</v>
      </c>
      <c r="AK3" s="44">
        <f>(J3+L3+N3+P3+R3+T3+V3+X3+Z3+AB3+AD3+AF3)</f>
        <v>0</v>
      </c>
      <c r="AL3" s="45">
        <f ca="1">(AI3)-(AJ3+AK3)</f>
        <v>0</v>
      </c>
      <c r="AM3" s="52"/>
    </row>
    <row r="4" spans="1:42" s="23" customFormat="1">
      <c r="A4" s="24"/>
      <c r="B4" s="55"/>
      <c r="C4" s="32"/>
      <c r="D4" s="32"/>
      <c r="E4" s="25"/>
      <c r="F4" s="61" t="str">
        <f ca="1">IF(E4=0," ",(TODAY()-E4)/365)</f>
        <v xml:space="preserve"> </v>
      </c>
      <c r="G4" s="62"/>
      <c r="H4" s="63" t="str">
        <f ca="1">IF(G4=0," ",(TODAY()-G4)/365)</f>
        <v xml:space="preserve"> </v>
      </c>
      <c r="I4" s="66"/>
      <c r="J4" s="49"/>
      <c r="K4" s="38"/>
      <c r="L4" s="37"/>
      <c r="M4" s="38"/>
      <c r="N4" s="42"/>
      <c r="O4" s="38"/>
      <c r="P4" s="37"/>
      <c r="Q4" s="38"/>
      <c r="R4" s="37"/>
      <c r="S4" s="39"/>
      <c r="T4" s="40"/>
      <c r="U4" s="39"/>
      <c r="V4" s="40"/>
      <c r="W4" s="39"/>
      <c r="X4" s="40"/>
      <c r="Y4" s="39"/>
      <c r="Z4" s="40"/>
      <c r="AA4" s="39"/>
      <c r="AB4" s="40"/>
      <c r="AC4" s="39"/>
      <c r="AD4" s="40"/>
      <c r="AE4" s="39"/>
      <c r="AF4" s="42"/>
      <c r="AG4" s="41">
        <f t="shared" ref="AG4" ca="1" si="1">AI4-AH4</f>
        <v>0</v>
      </c>
      <c r="AH4" s="42">
        <v>0</v>
      </c>
      <c r="AI4" s="43">
        <f t="shared" ref="AI4" ca="1" si="2">IF(AND(F4&lt;9.99,H4&lt;50),21,IF(AND(F4&lt;9.99,H4&gt;=50),30,IF(AND(F4&gt;=10,H4&lt;50),30,0)))</f>
        <v>0</v>
      </c>
      <c r="AJ4" s="41">
        <f t="shared" ref="AJ4" si="3">(I4+K4+M4+O4+Q4+S4+U4+W4+Y4+AA4+AC4+AE4)</f>
        <v>0</v>
      </c>
      <c r="AK4" s="46">
        <f>(J4+L4+N4+P4+R4+T4+V4+X4+Z4+AB4+AD4+AF4)</f>
        <v>0</v>
      </c>
      <c r="AL4" s="45">
        <f t="shared" ref="AL4" ca="1" si="4">(AI4)-(AJ4+AK4)</f>
        <v>0</v>
      </c>
      <c r="AM4" s="52"/>
    </row>
    <row r="5" spans="1:42" s="23" customFormat="1">
      <c r="A5" s="24"/>
      <c r="B5" s="55"/>
      <c r="C5" s="32"/>
      <c r="D5" s="32"/>
      <c r="E5" s="25"/>
      <c r="F5" s="61" t="str">
        <f t="shared" ref="F5:F204" ca="1" si="5">IF(E5=0," ",(TODAY()-E5)/365)</f>
        <v xml:space="preserve"> </v>
      </c>
      <c r="G5" s="62"/>
      <c r="H5" s="63" t="str">
        <f t="shared" ref="H5:H204" ca="1" si="6">IF(G5=0," ",(TODAY()-G5)/365)</f>
        <v xml:space="preserve"> </v>
      </c>
      <c r="I5" s="36"/>
      <c r="J5" s="37"/>
      <c r="K5" s="38"/>
      <c r="L5" s="37"/>
      <c r="M5" s="38"/>
      <c r="N5" s="42"/>
      <c r="O5" s="38"/>
      <c r="P5" s="37"/>
      <c r="Q5" s="38"/>
      <c r="R5" s="37"/>
      <c r="S5" s="39"/>
      <c r="T5" s="40"/>
      <c r="U5" s="39"/>
      <c r="V5" s="40"/>
      <c r="W5" s="39"/>
      <c r="X5" s="40"/>
      <c r="Y5" s="39"/>
      <c r="Z5" s="40"/>
      <c r="AA5" s="39"/>
      <c r="AB5" s="40"/>
      <c r="AC5" s="39"/>
      <c r="AD5" s="40"/>
      <c r="AE5" s="39"/>
      <c r="AF5" s="42"/>
      <c r="AG5" s="41">
        <f t="shared" ca="1" si="0"/>
        <v>0</v>
      </c>
      <c r="AH5" s="42">
        <v>0</v>
      </c>
      <c r="AI5" s="43">
        <f t="shared" ref="AI5:AI204" ca="1" si="7">IF(AND(F5&lt;9.99,H5&lt;50),21,IF(AND(F5&lt;9.99,H5&gt;=50),30,IF(AND(F5&gt;=10,H5&lt;50),30,0)))</f>
        <v>0</v>
      </c>
      <c r="AJ5" s="41">
        <f t="shared" ref="AJ5:AJ204" si="8">(I5+K5+M5+O5+Q5+S5+U5+W5+Y5+AA5+AC5+AE5)</f>
        <v>0</v>
      </c>
      <c r="AK5" s="46">
        <f>(J5+L5+N5+P5+R5+T5+V5+X5+Z5+AB5+AD5+AF5)</f>
        <v>0</v>
      </c>
      <c r="AL5" s="45">
        <f t="shared" ref="AL5:AL204" ca="1" si="9">(AI5)-(AJ5+AK5)</f>
        <v>0</v>
      </c>
      <c r="AM5" s="52"/>
    </row>
    <row r="6" spans="1:42" s="23" customFormat="1">
      <c r="A6" s="24"/>
      <c r="B6" s="55"/>
      <c r="C6" s="32"/>
      <c r="D6" s="32"/>
      <c r="E6" s="25"/>
      <c r="F6" s="61" t="str">
        <f t="shared" ca="1" si="5"/>
        <v xml:space="preserve"> </v>
      </c>
      <c r="G6" s="62"/>
      <c r="H6" s="63" t="str">
        <f t="shared" ca="1" si="6"/>
        <v xml:space="preserve"> </v>
      </c>
      <c r="I6" s="36"/>
      <c r="J6" s="37"/>
      <c r="K6" s="38"/>
      <c r="L6" s="37"/>
      <c r="M6" s="38"/>
      <c r="N6" s="42"/>
      <c r="O6" s="38"/>
      <c r="P6" s="37"/>
      <c r="Q6" s="38"/>
      <c r="R6" s="37"/>
      <c r="S6" s="39"/>
      <c r="T6" s="40"/>
      <c r="U6" s="39"/>
      <c r="V6" s="40"/>
      <c r="W6" s="39"/>
      <c r="X6" s="40"/>
      <c r="Y6" s="39"/>
      <c r="Z6" s="40"/>
      <c r="AA6" s="39"/>
      <c r="AB6" s="40"/>
      <c r="AC6" s="39"/>
      <c r="AD6" s="40"/>
      <c r="AE6" s="39"/>
      <c r="AF6" s="42"/>
      <c r="AG6" s="41">
        <f t="shared" ref="AG6:AG73" ca="1" si="10">AI6-AH6</f>
        <v>0</v>
      </c>
      <c r="AH6" s="42">
        <v>0</v>
      </c>
      <c r="AI6" s="43">
        <f t="shared" ref="AI6:AI73" ca="1" si="11">IF(AND(F6&lt;9.99,H6&lt;50),21,IF(AND(F6&lt;9.99,H6&gt;=50),30,IF(AND(F6&gt;=10,H6&lt;50),30,0)))</f>
        <v>0</v>
      </c>
      <c r="AJ6" s="41">
        <f t="shared" ref="AJ6:AJ73" si="12">(I6+K6+M6+O6+Q6+S6+U6+W6+Y6+AA6+AC6+AE6)</f>
        <v>0</v>
      </c>
      <c r="AK6" s="46">
        <f t="shared" ref="AK6:AK73" si="13">(J6+L6+N6+P6+R6+T6+V6+X6+Z6+AB6+AD6+AF6)</f>
        <v>0</v>
      </c>
      <c r="AL6" s="45">
        <f t="shared" ref="AL6:AL73" ca="1" si="14">(AI6)-(AJ6+AK6)</f>
        <v>0</v>
      </c>
      <c r="AM6" s="52"/>
    </row>
    <row r="7" spans="1:42" s="23" customFormat="1">
      <c r="A7" s="24"/>
      <c r="B7" s="55"/>
      <c r="C7" s="32"/>
      <c r="D7" s="32"/>
      <c r="E7" s="25"/>
      <c r="F7" s="61" t="str">
        <f t="shared" ca="1" si="5"/>
        <v xml:space="preserve"> </v>
      </c>
      <c r="G7" s="62"/>
      <c r="H7" s="63" t="str">
        <f t="shared" ca="1" si="6"/>
        <v xml:space="preserve"> </v>
      </c>
      <c r="I7" s="36"/>
      <c r="J7" s="37"/>
      <c r="K7" s="38"/>
      <c r="L7" s="37"/>
      <c r="M7" s="38"/>
      <c r="N7" s="42"/>
      <c r="O7" s="38"/>
      <c r="P7" s="37"/>
      <c r="Q7" s="38"/>
      <c r="R7" s="37"/>
      <c r="S7" s="39"/>
      <c r="T7" s="40"/>
      <c r="U7" s="39"/>
      <c r="V7" s="40"/>
      <c r="W7" s="39"/>
      <c r="X7" s="40"/>
      <c r="Y7" s="39"/>
      <c r="Z7" s="40"/>
      <c r="AA7" s="39"/>
      <c r="AB7" s="40"/>
      <c r="AC7" s="39"/>
      <c r="AD7" s="40"/>
      <c r="AE7" s="39"/>
      <c r="AF7" s="42"/>
      <c r="AG7" s="41">
        <f t="shared" ca="1" si="10"/>
        <v>0</v>
      </c>
      <c r="AH7" s="42">
        <v>0</v>
      </c>
      <c r="AI7" s="43">
        <f t="shared" ca="1" si="11"/>
        <v>0</v>
      </c>
      <c r="AJ7" s="41">
        <f t="shared" si="12"/>
        <v>0</v>
      </c>
      <c r="AK7" s="46">
        <f t="shared" si="13"/>
        <v>0</v>
      </c>
      <c r="AL7" s="45">
        <f t="shared" ca="1" si="14"/>
        <v>0</v>
      </c>
      <c r="AM7" s="52"/>
    </row>
    <row r="8" spans="1:42" s="23" customFormat="1">
      <c r="A8" s="24"/>
      <c r="B8" s="55"/>
      <c r="C8" s="32"/>
      <c r="D8" s="32"/>
      <c r="E8" s="25"/>
      <c r="F8" s="61" t="str">
        <f t="shared" ca="1" si="5"/>
        <v xml:space="preserve"> </v>
      </c>
      <c r="G8" s="62"/>
      <c r="H8" s="63" t="str">
        <f t="shared" ca="1" si="6"/>
        <v xml:space="preserve"> </v>
      </c>
      <c r="I8" s="36"/>
      <c r="J8" s="37"/>
      <c r="K8" s="38"/>
      <c r="L8" s="37"/>
      <c r="M8" s="38"/>
      <c r="N8" s="42"/>
      <c r="O8" s="38"/>
      <c r="P8" s="37"/>
      <c r="Q8" s="38"/>
      <c r="R8" s="37"/>
      <c r="S8" s="39"/>
      <c r="T8" s="40"/>
      <c r="U8" s="39"/>
      <c r="V8" s="40"/>
      <c r="W8" s="39"/>
      <c r="X8" s="40"/>
      <c r="Y8" s="39"/>
      <c r="Z8" s="40"/>
      <c r="AA8" s="39"/>
      <c r="AB8" s="40"/>
      <c r="AC8" s="39"/>
      <c r="AD8" s="40"/>
      <c r="AE8" s="39"/>
      <c r="AF8" s="42"/>
      <c r="AG8" s="41">
        <f t="shared" ca="1" si="10"/>
        <v>0</v>
      </c>
      <c r="AH8" s="42">
        <v>0</v>
      </c>
      <c r="AI8" s="43">
        <f t="shared" ca="1" si="11"/>
        <v>0</v>
      </c>
      <c r="AJ8" s="41">
        <f t="shared" si="12"/>
        <v>0</v>
      </c>
      <c r="AK8" s="46">
        <f t="shared" si="13"/>
        <v>0</v>
      </c>
      <c r="AL8" s="45">
        <f t="shared" ca="1" si="14"/>
        <v>0</v>
      </c>
      <c r="AM8" s="52"/>
    </row>
    <row r="9" spans="1:42" s="23" customFormat="1">
      <c r="A9" s="24"/>
      <c r="B9" s="55"/>
      <c r="C9" s="32"/>
      <c r="D9" s="32"/>
      <c r="E9" s="25"/>
      <c r="F9" s="61" t="str">
        <f t="shared" ca="1" si="5"/>
        <v xml:space="preserve"> </v>
      </c>
      <c r="G9" s="62"/>
      <c r="H9" s="63" t="str">
        <f t="shared" ca="1" si="6"/>
        <v xml:space="preserve"> </v>
      </c>
      <c r="I9" s="36"/>
      <c r="J9" s="37"/>
      <c r="K9" s="38"/>
      <c r="L9" s="37"/>
      <c r="M9" s="38"/>
      <c r="N9" s="42"/>
      <c r="O9" s="38"/>
      <c r="P9" s="37"/>
      <c r="Q9" s="38"/>
      <c r="R9" s="37"/>
      <c r="S9" s="39"/>
      <c r="T9" s="40"/>
      <c r="U9" s="39"/>
      <c r="V9" s="40"/>
      <c r="W9" s="39"/>
      <c r="X9" s="40"/>
      <c r="Y9" s="39"/>
      <c r="Z9" s="40"/>
      <c r="AA9" s="39"/>
      <c r="AB9" s="40"/>
      <c r="AC9" s="39"/>
      <c r="AD9" s="40"/>
      <c r="AE9" s="39"/>
      <c r="AF9" s="42"/>
      <c r="AG9" s="41">
        <f t="shared" ca="1" si="10"/>
        <v>0</v>
      </c>
      <c r="AH9" s="42">
        <v>0</v>
      </c>
      <c r="AI9" s="43">
        <f t="shared" ca="1" si="11"/>
        <v>0</v>
      </c>
      <c r="AJ9" s="41">
        <f t="shared" si="12"/>
        <v>0</v>
      </c>
      <c r="AK9" s="46">
        <f t="shared" si="13"/>
        <v>0</v>
      </c>
      <c r="AL9" s="45">
        <f t="shared" ca="1" si="14"/>
        <v>0</v>
      </c>
      <c r="AM9" s="52"/>
    </row>
    <row r="10" spans="1:42" s="23" customFormat="1">
      <c r="A10" s="24"/>
      <c r="B10" s="55"/>
      <c r="C10" s="32"/>
      <c r="D10" s="32"/>
      <c r="E10" s="25"/>
      <c r="F10" s="61" t="str">
        <f t="shared" ca="1" si="5"/>
        <v xml:space="preserve"> </v>
      </c>
      <c r="G10" s="62"/>
      <c r="H10" s="63" t="str">
        <f t="shared" ca="1" si="6"/>
        <v xml:space="preserve"> </v>
      </c>
      <c r="I10" s="36"/>
      <c r="J10" s="37"/>
      <c r="K10" s="38"/>
      <c r="L10" s="37"/>
      <c r="M10" s="38"/>
      <c r="N10" s="42"/>
      <c r="O10" s="38"/>
      <c r="P10" s="37"/>
      <c r="Q10" s="38"/>
      <c r="R10" s="37"/>
      <c r="S10" s="39"/>
      <c r="T10" s="40"/>
      <c r="U10" s="39"/>
      <c r="V10" s="40"/>
      <c r="W10" s="39"/>
      <c r="X10" s="40"/>
      <c r="Y10" s="39"/>
      <c r="Z10" s="40"/>
      <c r="AA10" s="39"/>
      <c r="AB10" s="40"/>
      <c r="AC10" s="39"/>
      <c r="AD10" s="40"/>
      <c r="AE10" s="39"/>
      <c r="AF10" s="42"/>
      <c r="AG10" s="41">
        <f t="shared" ca="1" si="10"/>
        <v>0</v>
      </c>
      <c r="AH10" s="42">
        <v>0</v>
      </c>
      <c r="AI10" s="43">
        <f t="shared" ca="1" si="11"/>
        <v>0</v>
      </c>
      <c r="AJ10" s="41">
        <f t="shared" si="12"/>
        <v>0</v>
      </c>
      <c r="AK10" s="46">
        <f t="shared" si="13"/>
        <v>0</v>
      </c>
      <c r="AL10" s="45">
        <f t="shared" ca="1" si="14"/>
        <v>0</v>
      </c>
      <c r="AM10" s="52"/>
    </row>
    <row r="11" spans="1:42" s="23" customFormat="1">
      <c r="A11" s="24"/>
      <c r="B11" s="55"/>
      <c r="C11" s="32"/>
      <c r="D11" s="32"/>
      <c r="E11" s="25"/>
      <c r="F11" s="61" t="str">
        <f t="shared" ca="1" si="5"/>
        <v xml:space="preserve"> </v>
      </c>
      <c r="G11" s="62"/>
      <c r="H11" s="63" t="str">
        <f t="shared" ca="1" si="6"/>
        <v xml:space="preserve"> </v>
      </c>
      <c r="I11" s="36"/>
      <c r="J11" s="37"/>
      <c r="K11" s="38"/>
      <c r="L11" s="37"/>
      <c r="M11" s="38"/>
      <c r="N11" s="42"/>
      <c r="O11" s="38"/>
      <c r="P11" s="37"/>
      <c r="Q11" s="38"/>
      <c r="R11" s="37"/>
      <c r="S11" s="39"/>
      <c r="T11" s="40"/>
      <c r="U11" s="39"/>
      <c r="V11" s="40"/>
      <c r="W11" s="39"/>
      <c r="X11" s="40"/>
      <c r="Y11" s="39"/>
      <c r="Z11" s="40"/>
      <c r="AA11" s="39"/>
      <c r="AB11" s="40"/>
      <c r="AC11" s="39"/>
      <c r="AD11" s="40"/>
      <c r="AE11" s="39"/>
      <c r="AF11" s="42"/>
      <c r="AG11" s="41">
        <f t="shared" ca="1" si="10"/>
        <v>0</v>
      </c>
      <c r="AH11" s="42">
        <v>0</v>
      </c>
      <c r="AI11" s="43">
        <f t="shared" ca="1" si="11"/>
        <v>0</v>
      </c>
      <c r="AJ11" s="41">
        <f t="shared" si="12"/>
        <v>0</v>
      </c>
      <c r="AK11" s="46">
        <f t="shared" si="13"/>
        <v>0</v>
      </c>
      <c r="AL11" s="45">
        <f t="shared" ca="1" si="14"/>
        <v>0</v>
      </c>
      <c r="AM11" s="52"/>
    </row>
    <row r="12" spans="1:42" s="23" customFormat="1">
      <c r="A12" s="24"/>
      <c r="B12" s="55"/>
      <c r="C12" s="32"/>
      <c r="D12" s="32"/>
      <c r="E12" s="25"/>
      <c r="F12" s="61" t="str">
        <f t="shared" ca="1" si="5"/>
        <v xml:space="preserve"> </v>
      </c>
      <c r="G12" s="62"/>
      <c r="H12" s="63" t="str">
        <f t="shared" ca="1" si="6"/>
        <v xml:space="preserve"> </v>
      </c>
      <c r="I12" s="36"/>
      <c r="J12" s="37"/>
      <c r="K12" s="38"/>
      <c r="L12" s="37"/>
      <c r="M12" s="38"/>
      <c r="N12" s="42"/>
      <c r="O12" s="38"/>
      <c r="P12" s="37"/>
      <c r="Q12" s="38"/>
      <c r="R12" s="37"/>
      <c r="S12" s="39"/>
      <c r="T12" s="40"/>
      <c r="U12" s="39"/>
      <c r="V12" s="40"/>
      <c r="W12" s="39"/>
      <c r="X12" s="40"/>
      <c r="Y12" s="39"/>
      <c r="Z12" s="40"/>
      <c r="AA12" s="39"/>
      <c r="AB12" s="40"/>
      <c r="AC12" s="39"/>
      <c r="AD12" s="40"/>
      <c r="AE12" s="39"/>
      <c r="AF12" s="42"/>
      <c r="AG12" s="41">
        <f t="shared" ca="1" si="10"/>
        <v>0</v>
      </c>
      <c r="AH12" s="42">
        <v>0</v>
      </c>
      <c r="AI12" s="43">
        <f t="shared" ca="1" si="11"/>
        <v>0</v>
      </c>
      <c r="AJ12" s="41">
        <f t="shared" si="12"/>
        <v>0</v>
      </c>
      <c r="AK12" s="46">
        <f t="shared" si="13"/>
        <v>0</v>
      </c>
      <c r="AL12" s="45">
        <f t="shared" ca="1" si="14"/>
        <v>0</v>
      </c>
      <c r="AM12" s="52"/>
    </row>
    <row r="13" spans="1:42" s="23" customFormat="1">
      <c r="A13" s="24"/>
      <c r="B13" s="55"/>
      <c r="C13" s="32"/>
      <c r="D13" s="32"/>
      <c r="E13" s="25"/>
      <c r="F13" s="61" t="str">
        <f t="shared" ref="F13" ca="1" si="15">IF(E13=0," ",(TODAY()-E13)/365)</f>
        <v xml:space="preserve"> </v>
      </c>
      <c r="G13" s="62"/>
      <c r="H13" s="63" t="str">
        <f t="shared" ref="H13" ca="1" si="16">IF(G13=0," ",(TODAY()-G13)/365)</f>
        <v xml:space="preserve"> </v>
      </c>
      <c r="I13" s="36"/>
      <c r="J13" s="37"/>
      <c r="K13" s="38"/>
      <c r="L13" s="37"/>
      <c r="M13" s="38"/>
      <c r="N13" s="42"/>
      <c r="O13" s="38"/>
      <c r="P13" s="37"/>
      <c r="Q13" s="38"/>
      <c r="R13" s="37"/>
      <c r="S13" s="39"/>
      <c r="T13" s="40"/>
      <c r="U13" s="39"/>
      <c r="V13" s="40"/>
      <c r="W13" s="39"/>
      <c r="X13" s="40"/>
      <c r="Y13" s="39"/>
      <c r="Z13" s="40"/>
      <c r="AA13" s="39"/>
      <c r="AB13" s="40"/>
      <c r="AC13" s="39"/>
      <c r="AD13" s="40"/>
      <c r="AE13" s="39"/>
      <c r="AF13" s="42"/>
      <c r="AG13" s="41">
        <f t="shared" ref="AG13" ca="1" si="17">AI13-AH13</f>
        <v>0</v>
      </c>
      <c r="AH13" s="42">
        <v>0</v>
      </c>
      <c r="AI13" s="43">
        <f t="shared" ref="AI13" ca="1" si="18">IF(AND(F13&lt;9.99,H13&lt;50),21,IF(AND(F13&lt;9.99,H13&gt;=50),30,IF(AND(F13&gt;=10,H13&lt;50),30,0)))</f>
        <v>0</v>
      </c>
      <c r="AJ13" s="41">
        <f t="shared" ref="AJ13" si="19">(I13+K13+M13+O13+Q13+S13+U13+W13+Y13+AA13+AC13+AE13)</f>
        <v>0</v>
      </c>
      <c r="AK13" s="46">
        <f t="shared" ref="AK13" si="20">(J13+L13+N13+P13+R13+T13+V13+X13+Z13+AB13+AD13+AF13)</f>
        <v>0</v>
      </c>
      <c r="AL13" s="45">
        <f t="shared" ref="AL13" ca="1" si="21">(AI13)-(AJ13+AK13)</f>
        <v>0</v>
      </c>
      <c r="AM13" s="52"/>
    </row>
    <row r="14" spans="1:42" s="23" customFormat="1">
      <c r="A14" s="24"/>
      <c r="B14" s="55"/>
      <c r="C14" s="32"/>
      <c r="D14" s="32"/>
      <c r="E14" s="25"/>
      <c r="F14" s="61" t="str">
        <f t="shared" ca="1" si="5"/>
        <v xml:space="preserve"> </v>
      </c>
      <c r="G14" s="62"/>
      <c r="H14" s="63" t="str">
        <f t="shared" ca="1" si="6"/>
        <v xml:space="preserve"> </v>
      </c>
      <c r="I14" s="36"/>
      <c r="J14" s="37"/>
      <c r="K14" s="38"/>
      <c r="L14" s="37"/>
      <c r="M14" s="38"/>
      <c r="N14" s="42"/>
      <c r="O14" s="38"/>
      <c r="P14" s="37"/>
      <c r="Q14" s="38"/>
      <c r="R14" s="37"/>
      <c r="S14" s="39"/>
      <c r="T14" s="40"/>
      <c r="U14" s="39"/>
      <c r="V14" s="40"/>
      <c r="W14" s="39"/>
      <c r="X14" s="40"/>
      <c r="Y14" s="39"/>
      <c r="Z14" s="40"/>
      <c r="AA14" s="39"/>
      <c r="AB14" s="40"/>
      <c r="AC14" s="39"/>
      <c r="AD14" s="40"/>
      <c r="AE14" s="39"/>
      <c r="AF14" s="42"/>
      <c r="AG14" s="41">
        <f t="shared" ca="1" si="10"/>
        <v>0</v>
      </c>
      <c r="AH14" s="42">
        <v>0</v>
      </c>
      <c r="AI14" s="43">
        <f t="shared" ca="1" si="11"/>
        <v>0</v>
      </c>
      <c r="AJ14" s="41">
        <f t="shared" si="12"/>
        <v>0</v>
      </c>
      <c r="AK14" s="46">
        <f t="shared" si="13"/>
        <v>0</v>
      </c>
      <c r="AL14" s="45">
        <f t="shared" ca="1" si="14"/>
        <v>0</v>
      </c>
      <c r="AM14" s="52"/>
    </row>
    <row r="15" spans="1:42" s="23" customFormat="1">
      <c r="A15" s="24"/>
      <c r="B15" s="55"/>
      <c r="C15" s="32"/>
      <c r="D15" s="32"/>
      <c r="E15" s="25"/>
      <c r="F15" s="61" t="str">
        <f t="shared" ca="1" si="5"/>
        <v xml:space="preserve"> </v>
      </c>
      <c r="G15" s="62"/>
      <c r="H15" s="63" t="str">
        <f t="shared" ca="1" si="6"/>
        <v xml:space="preserve"> </v>
      </c>
      <c r="I15" s="36"/>
      <c r="J15" s="37"/>
      <c r="K15" s="38"/>
      <c r="L15" s="37"/>
      <c r="M15" s="38"/>
      <c r="N15" s="42"/>
      <c r="O15" s="38"/>
      <c r="P15" s="37"/>
      <c r="Q15" s="38"/>
      <c r="R15" s="37"/>
      <c r="S15" s="39"/>
      <c r="T15" s="40"/>
      <c r="U15" s="39"/>
      <c r="V15" s="40"/>
      <c r="W15" s="39"/>
      <c r="X15" s="40"/>
      <c r="Y15" s="39"/>
      <c r="Z15" s="40"/>
      <c r="AA15" s="39"/>
      <c r="AB15" s="40"/>
      <c r="AC15" s="39"/>
      <c r="AD15" s="40"/>
      <c r="AE15" s="39"/>
      <c r="AF15" s="42"/>
      <c r="AG15" s="41">
        <f t="shared" ca="1" si="10"/>
        <v>0</v>
      </c>
      <c r="AH15" s="42">
        <v>0</v>
      </c>
      <c r="AI15" s="43">
        <f t="shared" ca="1" si="11"/>
        <v>0</v>
      </c>
      <c r="AJ15" s="41">
        <f t="shared" si="12"/>
        <v>0</v>
      </c>
      <c r="AK15" s="46">
        <f t="shared" si="13"/>
        <v>0</v>
      </c>
      <c r="AL15" s="45">
        <f t="shared" ca="1" si="14"/>
        <v>0</v>
      </c>
      <c r="AM15" s="52"/>
    </row>
    <row r="16" spans="1:42" s="23" customFormat="1">
      <c r="A16" s="24"/>
      <c r="B16" s="55"/>
      <c r="C16" s="32"/>
      <c r="D16" s="32"/>
      <c r="E16" s="25"/>
      <c r="F16" s="61" t="str">
        <f t="shared" ca="1" si="5"/>
        <v xml:space="preserve"> </v>
      </c>
      <c r="G16" s="62"/>
      <c r="H16" s="63" t="str">
        <f t="shared" ca="1" si="6"/>
        <v xml:space="preserve"> </v>
      </c>
      <c r="I16" s="36"/>
      <c r="J16" s="37"/>
      <c r="K16" s="38"/>
      <c r="L16" s="37"/>
      <c r="M16" s="38"/>
      <c r="N16" s="42"/>
      <c r="O16" s="38"/>
      <c r="P16" s="37"/>
      <c r="Q16" s="38"/>
      <c r="R16" s="37"/>
      <c r="S16" s="39"/>
      <c r="T16" s="40"/>
      <c r="U16" s="39"/>
      <c r="V16" s="40"/>
      <c r="W16" s="39"/>
      <c r="X16" s="40"/>
      <c r="Y16" s="39"/>
      <c r="Z16" s="40"/>
      <c r="AA16" s="39"/>
      <c r="AB16" s="40"/>
      <c r="AC16" s="39"/>
      <c r="AD16" s="40"/>
      <c r="AE16" s="39"/>
      <c r="AF16" s="42"/>
      <c r="AG16" s="41">
        <f t="shared" ca="1" si="10"/>
        <v>0</v>
      </c>
      <c r="AH16" s="42">
        <v>0</v>
      </c>
      <c r="AI16" s="43">
        <f t="shared" ca="1" si="11"/>
        <v>0</v>
      </c>
      <c r="AJ16" s="41">
        <f t="shared" si="12"/>
        <v>0</v>
      </c>
      <c r="AK16" s="46">
        <f t="shared" si="13"/>
        <v>0</v>
      </c>
      <c r="AL16" s="45">
        <f t="shared" ca="1" si="14"/>
        <v>0</v>
      </c>
      <c r="AM16" s="52"/>
    </row>
    <row r="17" spans="1:39" s="23" customFormat="1">
      <c r="A17" s="24"/>
      <c r="B17" s="55"/>
      <c r="C17" s="32"/>
      <c r="D17" s="32"/>
      <c r="E17" s="25"/>
      <c r="F17" s="61" t="str">
        <f t="shared" ca="1" si="5"/>
        <v xml:space="preserve"> </v>
      </c>
      <c r="G17" s="62"/>
      <c r="H17" s="63" t="str">
        <f t="shared" ca="1" si="6"/>
        <v xml:space="preserve"> </v>
      </c>
      <c r="I17" s="36"/>
      <c r="J17" s="37"/>
      <c r="K17" s="38"/>
      <c r="L17" s="37"/>
      <c r="M17" s="38"/>
      <c r="N17" s="42"/>
      <c r="O17" s="38"/>
      <c r="P17" s="37"/>
      <c r="Q17" s="38"/>
      <c r="R17" s="37"/>
      <c r="S17" s="39"/>
      <c r="T17" s="40"/>
      <c r="U17" s="39"/>
      <c r="V17" s="40"/>
      <c r="W17" s="39"/>
      <c r="X17" s="40"/>
      <c r="Y17" s="39"/>
      <c r="Z17" s="40"/>
      <c r="AA17" s="39"/>
      <c r="AB17" s="40"/>
      <c r="AC17" s="39"/>
      <c r="AD17" s="40"/>
      <c r="AE17" s="39"/>
      <c r="AF17" s="42"/>
      <c r="AG17" s="41">
        <f t="shared" ca="1" si="10"/>
        <v>0</v>
      </c>
      <c r="AH17" s="42">
        <v>0</v>
      </c>
      <c r="AI17" s="43">
        <f t="shared" ca="1" si="11"/>
        <v>0</v>
      </c>
      <c r="AJ17" s="41">
        <f t="shared" si="12"/>
        <v>0</v>
      </c>
      <c r="AK17" s="46">
        <f t="shared" si="13"/>
        <v>0</v>
      </c>
      <c r="AL17" s="45">
        <f t="shared" ca="1" si="14"/>
        <v>0</v>
      </c>
      <c r="AM17" s="52"/>
    </row>
    <row r="18" spans="1:39" s="23" customFormat="1">
      <c r="A18" s="24"/>
      <c r="B18" s="55"/>
      <c r="C18" s="32"/>
      <c r="D18" s="32"/>
      <c r="E18" s="25"/>
      <c r="F18" s="61" t="str">
        <f t="shared" ca="1" si="5"/>
        <v xml:space="preserve"> </v>
      </c>
      <c r="G18" s="62"/>
      <c r="H18" s="63" t="str">
        <f t="shared" ca="1" si="6"/>
        <v xml:space="preserve"> </v>
      </c>
      <c r="I18" s="36"/>
      <c r="J18" s="37"/>
      <c r="K18" s="38"/>
      <c r="L18" s="37"/>
      <c r="M18" s="38"/>
      <c r="N18" s="42"/>
      <c r="O18" s="38"/>
      <c r="P18" s="37"/>
      <c r="Q18" s="38"/>
      <c r="R18" s="37"/>
      <c r="S18" s="39"/>
      <c r="T18" s="40"/>
      <c r="U18" s="39"/>
      <c r="V18" s="40"/>
      <c r="W18" s="39"/>
      <c r="X18" s="40"/>
      <c r="Y18" s="39"/>
      <c r="Z18" s="40"/>
      <c r="AA18" s="39"/>
      <c r="AB18" s="40"/>
      <c r="AC18" s="39"/>
      <c r="AD18" s="40"/>
      <c r="AE18" s="39"/>
      <c r="AF18" s="42"/>
      <c r="AG18" s="41">
        <f t="shared" ca="1" si="10"/>
        <v>0</v>
      </c>
      <c r="AH18" s="42">
        <v>0</v>
      </c>
      <c r="AI18" s="43">
        <f t="shared" ca="1" si="11"/>
        <v>0</v>
      </c>
      <c r="AJ18" s="41">
        <f t="shared" si="12"/>
        <v>0</v>
      </c>
      <c r="AK18" s="46">
        <f t="shared" si="13"/>
        <v>0</v>
      </c>
      <c r="AL18" s="45">
        <f t="shared" ca="1" si="14"/>
        <v>0</v>
      </c>
      <c r="AM18" s="52"/>
    </row>
    <row r="19" spans="1:39" s="23" customFormat="1">
      <c r="A19" s="24"/>
      <c r="B19" s="55"/>
      <c r="C19" s="32"/>
      <c r="D19" s="32"/>
      <c r="E19" s="25"/>
      <c r="F19" s="61" t="str">
        <f t="shared" ca="1" si="5"/>
        <v xml:space="preserve"> </v>
      </c>
      <c r="G19" s="62"/>
      <c r="H19" s="63" t="str">
        <f t="shared" ca="1" si="6"/>
        <v xml:space="preserve"> </v>
      </c>
      <c r="I19" s="36"/>
      <c r="J19" s="37"/>
      <c r="K19" s="38"/>
      <c r="L19" s="37"/>
      <c r="M19" s="38"/>
      <c r="N19" s="42"/>
      <c r="O19" s="38"/>
      <c r="P19" s="37"/>
      <c r="Q19" s="38"/>
      <c r="R19" s="37"/>
      <c r="S19" s="39"/>
      <c r="T19" s="40"/>
      <c r="U19" s="39"/>
      <c r="V19" s="40"/>
      <c r="W19" s="39"/>
      <c r="X19" s="40"/>
      <c r="Y19" s="39"/>
      <c r="Z19" s="40"/>
      <c r="AA19" s="39"/>
      <c r="AB19" s="40"/>
      <c r="AC19" s="39"/>
      <c r="AD19" s="40"/>
      <c r="AE19" s="39"/>
      <c r="AF19" s="42"/>
      <c r="AG19" s="41">
        <f t="shared" ca="1" si="10"/>
        <v>0</v>
      </c>
      <c r="AH19" s="42">
        <v>0</v>
      </c>
      <c r="AI19" s="43">
        <f t="shared" ca="1" si="11"/>
        <v>0</v>
      </c>
      <c r="AJ19" s="41">
        <f t="shared" si="12"/>
        <v>0</v>
      </c>
      <c r="AK19" s="46">
        <f t="shared" si="13"/>
        <v>0</v>
      </c>
      <c r="AL19" s="45">
        <f t="shared" ca="1" si="14"/>
        <v>0</v>
      </c>
      <c r="AM19" s="52"/>
    </row>
    <row r="20" spans="1:39" s="23" customFormat="1">
      <c r="A20" s="24"/>
      <c r="B20" s="55"/>
      <c r="C20" s="32"/>
      <c r="D20" s="32"/>
      <c r="E20" s="25"/>
      <c r="F20" s="61" t="str">
        <f t="shared" ca="1" si="5"/>
        <v xml:space="preserve"> </v>
      </c>
      <c r="G20" s="62"/>
      <c r="H20" s="63" t="str">
        <f t="shared" ca="1" si="6"/>
        <v xml:space="preserve"> </v>
      </c>
      <c r="I20" s="36"/>
      <c r="J20" s="37"/>
      <c r="K20" s="38"/>
      <c r="L20" s="37"/>
      <c r="M20" s="38"/>
      <c r="N20" s="42"/>
      <c r="O20" s="38"/>
      <c r="P20" s="37"/>
      <c r="Q20" s="38"/>
      <c r="R20" s="37"/>
      <c r="S20" s="39"/>
      <c r="T20" s="40"/>
      <c r="U20" s="39"/>
      <c r="V20" s="40"/>
      <c r="W20" s="39"/>
      <c r="X20" s="40"/>
      <c r="Y20" s="39"/>
      <c r="Z20" s="40"/>
      <c r="AA20" s="39"/>
      <c r="AB20" s="40"/>
      <c r="AC20" s="39"/>
      <c r="AD20" s="40"/>
      <c r="AE20" s="39"/>
      <c r="AF20" s="42"/>
      <c r="AG20" s="41">
        <f t="shared" ca="1" si="10"/>
        <v>0</v>
      </c>
      <c r="AH20" s="42">
        <v>0</v>
      </c>
      <c r="AI20" s="43">
        <f t="shared" ca="1" si="11"/>
        <v>0</v>
      </c>
      <c r="AJ20" s="41">
        <f t="shared" si="12"/>
        <v>0</v>
      </c>
      <c r="AK20" s="46">
        <f t="shared" si="13"/>
        <v>0</v>
      </c>
      <c r="AL20" s="45">
        <f t="shared" ca="1" si="14"/>
        <v>0</v>
      </c>
      <c r="AM20" s="52"/>
    </row>
    <row r="21" spans="1:39" s="23" customFormat="1">
      <c r="A21" s="24"/>
      <c r="B21" s="55"/>
      <c r="C21" s="32"/>
      <c r="D21" s="32"/>
      <c r="E21" s="25"/>
      <c r="F21" s="61" t="str">
        <f t="shared" ca="1" si="5"/>
        <v xml:space="preserve"> </v>
      </c>
      <c r="G21" s="62"/>
      <c r="H21" s="63" t="str">
        <f t="shared" ca="1" si="6"/>
        <v xml:space="preserve"> </v>
      </c>
      <c r="I21" s="36"/>
      <c r="J21" s="37"/>
      <c r="K21" s="38"/>
      <c r="L21" s="37"/>
      <c r="M21" s="38"/>
      <c r="N21" s="42"/>
      <c r="O21" s="38"/>
      <c r="P21" s="37"/>
      <c r="Q21" s="38"/>
      <c r="R21" s="37"/>
      <c r="S21" s="39"/>
      <c r="T21" s="40"/>
      <c r="U21" s="39"/>
      <c r="V21" s="40"/>
      <c r="W21" s="39"/>
      <c r="X21" s="40"/>
      <c r="Y21" s="39"/>
      <c r="Z21" s="40"/>
      <c r="AA21" s="39"/>
      <c r="AB21" s="40"/>
      <c r="AC21" s="39"/>
      <c r="AD21" s="40"/>
      <c r="AE21" s="39"/>
      <c r="AF21" s="42"/>
      <c r="AG21" s="41">
        <f t="shared" ca="1" si="10"/>
        <v>0</v>
      </c>
      <c r="AH21" s="42">
        <v>0</v>
      </c>
      <c r="AI21" s="43">
        <f t="shared" ca="1" si="11"/>
        <v>0</v>
      </c>
      <c r="AJ21" s="41">
        <f t="shared" si="12"/>
        <v>0</v>
      </c>
      <c r="AK21" s="46">
        <f t="shared" si="13"/>
        <v>0</v>
      </c>
      <c r="AL21" s="45">
        <f t="shared" ca="1" si="14"/>
        <v>0</v>
      </c>
      <c r="AM21" s="52"/>
    </row>
    <row r="22" spans="1:39" s="23" customFormat="1">
      <c r="A22" s="24"/>
      <c r="B22" s="55"/>
      <c r="C22" s="32"/>
      <c r="D22" s="32"/>
      <c r="E22" s="25"/>
      <c r="F22" s="61" t="str">
        <f t="shared" ca="1" si="5"/>
        <v xml:space="preserve"> </v>
      </c>
      <c r="G22" s="62"/>
      <c r="H22" s="63" t="str">
        <f t="shared" ca="1" si="6"/>
        <v xml:space="preserve"> </v>
      </c>
      <c r="I22" s="36"/>
      <c r="J22" s="37"/>
      <c r="K22" s="38"/>
      <c r="L22" s="37"/>
      <c r="M22" s="38"/>
      <c r="N22" s="42"/>
      <c r="O22" s="38"/>
      <c r="P22" s="37"/>
      <c r="Q22" s="38"/>
      <c r="R22" s="37"/>
      <c r="S22" s="39"/>
      <c r="T22" s="40"/>
      <c r="U22" s="39"/>
      <c r="V22" s="40"/>
      <c r="W22" s="39"/>
      <c r="X22" s="40"/>
      <c r="Y22" s="39"/>
      <c r="Z22" s="40"/>
      <c r="AA22" s="39"/>
      <c r="AB22" s="40"/>
      <c r="AC22" s="39"/>
      <c r="AD22" s="40"/>
      <c r="AE22" s="39"/>
      <c r="AF22" s="42"/>
      <c r="AG22" s="41">
        <f t="shared" ca="1" si="10"/>
        <v>0</v>
      </c>
      <c r="AH22" s="42">
        <v>0</v>
      </c>
      <c r="AI22" s="43">
        <f t="shared" ca="1" si="11"/>
        <v>0</v>
      </c>
      <c r="AJ22" s="41">
        <f t="shared" si="12"/>
        <v>0</v>
      </c>
      <c r="AK22" s="46">
        <f t="shared" si="13"/>
        <v>0</v>
      </c>
      <c r="AL22" s="45">
        <f t="shared" ca="1" si="14"/>
        <v>0</v>
      </c>
      <c r="AM22" s="52"/>
    </row>
    <row r="23" spans="1:39" s="23" customFormat="1">
      <c r="A23" s="24"/>
      <c r="B23" s="55"/>
      <c r="C23" s="32"/>
      <c r="D23" s="32"/>
      <c r="E23" s="25"/>
      <c r="F23" s="61" t="str">
        <f t="shared" ca="1" si="5"/>
        <v xml:space="preserve"> </v>
      </c>
      <c r="G23" s="62"/>
      <c r="H23" s="63" t="str">
        <f t="shared" ca="1" si="6"/>
        <v xml:space="preserve"> </v>
      </c>
      <c r="I23" s="36"/>
      <c r="J23" s="37"/>
      <c r="K23" s="38"/>
      <c r="L23" s="37"/>
      <c r="M23" s="38"/>
      <c r="N23" s="42"/>
      <c r="O23" s="38"/>
      <c r="P23" s="37"/>
      <c r="Q23" s="38"/>
      <c r="R23" s="37"/>
      <c r="S23" s="39"/>
      <c r="T23" s="40"/>
      <c r="U23" s="39"/>
      <c r="V23" s="40"/>
      <c r="W23" s="39"/>
      <c r="X23" s="40"/>
      <c r="Y23" s="39"/>
      <c r="Z23" s="40"/>
      <c r="AA23" s="39"/>
      <c r="AB23" s="40"/>
      <c r="AC23" s="39"/>
      <c r="AD23" s="40"/>
      <c r="AE23" s="39"/>
      <c r="AF23" s="42"/>
      <c r="AG23" s="41">
        <f t="shared" ca="1" si="10"/>
        <v>0</v>
      </c>
      <c r="AH23" s="42">
        <v>0</v>
      </c>
      <c r="AI23" s="43">
        <f t="shared" ca="1" si="11"/>
        <v>0</v>
      </c>
      <c r="AJ23" s="41">
        <f t="shared" si="12"/>
        <v>0</v>
      </c>
      <c r="AK23" s="46">
        <f t="shared" si="13"/>
        <v>0</v>
      </c>
      <c r="AL23" s="45">
        <f t="shared" ca="1" si="14"/>
        <v>0</v>
      </c>
      <c r="AM23" s="52"/>
    </row>
    <row r="24" spans="1:39" s="23" customFormat="1">
      <c r="A24" s="24"/>
      <c r="B24" s="55"/>
      <c r="C24" s="32"/>
      <c r="D24" s="32"/>
      <c r="E24" s="25"/>
      <c r="F24" s="61" t="str">
        <f t="shared" ca="1" si="5"/>
        <v xml:space="preserve"> </v>
      </c>
      <c r="G24" s="62"/>
      <c r="H24" s="63" t="str">
        <f t="shared" ca="1" si="6"/>
        <v xml:space="preserve"> </v>
      </c>
      <c r="I24" s="36"/>
      <c r="J24" s="37"/>
      <c r="K24" s="38"/>
      <c r="L24" s="37"/>
      <c r="M24" s="38"/>
      <c r="N24" s="42"/>
      <c r="O24" s="38"/>
      <c r="P24" s="37"/>
      <c r="Q24" s="38"/>
      <c r="R24" s="37"/>
      <c r="S24" s="39"/>
      <c r="T24" s="40"/>
      <c r="U24" s="39"/>
      <c r="V24" s="40"/>
      <c r="W24" s="39"/>
      <c r="X24" s="40"/>
      <c r="Y24" s="39"/>
      <c r="Z24" s="40"/>
      <c r="AA24" s="39"/>
      <c r="AB24" s="40"/>
      <c r="AC24" s="39"/>
      <c r="AD24" s="40"/>
      <c r="AE24" s="39"/>
      <c r="AF24" s="42"/>
      <c r="AG24" s="41">
        <f t="shared" ca="1" si="10"/>
        <v>0</v>
      </c>
      <c r="AH24" s="42">
        <v>0</v>
      </c>
      <c r="AI24" s="43">
        <f t="shared" ca="1" si="11"/>
        <v>0</v>
      </c>
      <c r="AJ24" s="41">
        <f t="shared" si="12"/>
        <v>0</v>
      </c>
      <c r="AK24" s="46">
        <f t="shared" si="13"/>
        <v>0</v>
      </c>
      <c r="AL24" s="45">
        <f t="shared" ca="1" si="14"/>
        <v>0</v>
      </c>
      <c r="AM24" s="52"/>
    </row>
    <row r="25" spans="1:39" s="23" customFormat="1">
      <c r="A25" s="24"/>
      <c r="B25" s="55"/>
      <c r="C25" s="32"/>
      <c r="D25" s="32"/>
      <c r="E25" s="25"/>
      <c r="F25" s="61" t="str">
        <f t="shared" ca="1" si="5"/>
        <v xml:space="preserve"> </v>
      </c>
      <c r="G25" s="62"/>
      <c r="H25" s="63" t="str">
        <f t="shared" ca="1" si="6"/>
        <v xml:space="preserve"> </v>
      </c>
      <c r="I25" s="36"/>
      <c r="J25" s="37"/>
      <c r="K25" s="38"/>
      <c r="L25" s="37"/>
      <c r="M25" s="38"/>
      <c r="N25" s="42"/>
      <c r="O25" s="38"/>
      <c r="P25" s="37"/>
      <c r="Q25" s="38"/>
      <c r="R25" s="37"/>
      <c r="S25" s="39"/>
      <c r="T25" s="40"/>
      <c r="U25" s="39"/>
      <c r="V25" s="40"/>
      <c r="W25" s="39"/>
      <c r="X25" s="40"/>
      <c r="Y25" s="39"/>
      <c r="Z25" s="40"/>
      <c r="AA25" s="39"/>
      <c r="AB25" s="40"/>
      <c r="AC25" s="39"/>
      <c r="AD25" s="40"/>
      <c r="AE25" s="39"/>
      <c r="AF25" s="42"/>
      <c r="AG25" s="41">
        <f t="shared" ca="1" si="10"/>
        <v>0</v>
      </c>
      <c r="AH25" s="42">
        <v>0</v>
      </c>
      <c r="AI25" s="43">
        <f t="shared" ca="1" si="11"/>
        <v>0</v>
      </c>
      <c r="AJ25" s="41">
        <f t="shared" si="12"/>
        <v>0</v>
      </c>
      <c r="AK25" s="46">
        <f t="shared" si="13"/>
        <v>0</v>
      </c>
      <c r="AL25" s="45">
        <f t="shared" ca="1" si="14"/>
        <v>0</v>
      </c>
      <c r="AM25" s="52"/>
    </row>
    <row r="26" spans="1:39" s="23" customFormat="1">
      <c r="A26" s="24"/>
      <c r="B26" s="55"/>
      <c r="C26" s="32"/>
      <c r="D26" s="32"/>
      <c r="E26" s="25"/>
      <c r="F26" s="61" t="str">
        <f t="shared" ca="1" si="5"/>
        <v xml:space="preserve"> </v>
      </c>
      <c r="G26" s="62"/>
      <c r="H26" s="63" t="str">
        <f t="shared" ca="1" si="6"/>
        <v xml:space="preserve"> </v>
      </c>
      <c r="I26" s="36"/>
      <c r="J26" s="37"/>
      <c r="K26" s="38"/>
      <c r="L26" s="37"/>
      <c r="M26" s="38"/>
      <c r="N26" s="42"/>
      <c r="O26" s="38"/>
      <c r="P26" s="37"/>
      <c r="Q26" s="38"/>
      <c r="R26" s="37"/>
      <c r="S26" s="39"/>
      <c r="T26" s="40"/>
      <c r="U26" s="39"/>
      <c r="V26" s="40"/>
      <c r="W26" s="39"/>
      <c r="X26" s="40"/>
      <c r="Y26" s="39"/>
      <c r="Z26" s="40"/>
      <c r="AA26" s="39"/>
      <c r="AB26" s="40"/>
      <c r="AC26" s="39"/>
      <c r="AD26" s="40"/>
      <c r="AE26" s="39"/>
      <c r="AF26" s="42"/>
      <c r="AG26" s="41">
        <f t="shared" ca="1" si="10"/>
        <v>0</v>
      </c>
      <c r="AH26" s="42">
        <v>0</v>
      </c>
      <c r="AI26" s="43">
        <f t="shared" ca="1" si="11"/>
        <v>0</v>
      </c>
      <c r="AJ26" s="41">
        <f t="shared" si="12"/>
        <v>0</v>
      </c>
      <c r="AK26" s="46">
        <f t="shared" si="13"/>
        <v>0</v>
      </c>
      <c r="AL26" s="45">
        <f t="shared" ca="1" si="14"/>
        <v>0</v>
      </c>
      <c r="AM26" s="52"/>
    </row>
    <row r="27" spans="1:39" s="23" customFormat="1">
      <c r="A27" s="24"/>
      <c r="B27" s="55"/>
      <c r="C27" s="32"/>
      <c r="D27" s="32"/>
      <c r="E27" s="25"/>
      <c r="F27" s="61" t="str">
        <f t="shared" ca="1" si="5"/>
        <v xml:space="preserve"> </v>
      </c>
      <c r="G27" s="62"/>
      <c r="H27" s="63" t="str">
        <f t="shared" ca="1" si="6"/>
        <v xml:space="preserve"> </v>
      </c>
      <c r="I27" s="36"/>
      <c r="J27" s="37"/>
      <c r="K27" s="38"/>
      <c r="L27" s="37"/>
      <c r="M27" s="38"/>
      <c r="N27" s="42"/>
      <c r="O27" s="38"/>
      <c r="P27" s="37"/>
      <c r="Q27" s="38"/>
      <c r="R27" s="37"/>
      <c r="S27" s="39"/>
      <c r="T27" s="40"/>
      <c r="U27" s="39"/>
      <c r="V27" s="40"/>
      <c r="W27" s="39"/>
      <c r="X27" s="40"/>
      <c r="Y27" s="39"/>
      <c r="Z27" s="40"/>
      <c r="AA27" s="39"/>
      <c r="AB27" s="40"/>
      <c r="AC27" s="39"/>
      <c r="AD27" s="40"/>
      <c r="AE27" s="39"/>
      <c r="AF27" s="42"/>
      <c r="AG27" s="41">
        <f t="shared" ca="1" si="10"/>
        <v>0</v>
      </c>
      <c r="AH27" s="42">
        <v>0</v>
      </c>
      <c r="AI27" s="43">
        <f t="shared" ca="1" si="11"/>
        <v>0</v>
      </c>
      <c r="AJ27" s="41">
        <f t="shared" si="12"/>
        <v>0</v>
      </c>
      <c r="AK27" s="46">
        <f t="shared" si="13"/>
        <v>0</v>
      </c>
      <c r="AL27" s="45">
        <f t="shared" ca="1" si="14"/>
        <v>0</v>
      </c>
      <c r="AM27" s="52"/>
    </row>
    <row r="28" spans="1:39" s="23" customFormat="1">
      <c r="A28" s="24"/>
      <c r="B28" s="55"/>
      <c r="C28" s="32"/>
      <c r="D28" s="32"/>
      <c r="E28" s="25"/>
      <c r="F28" s="61" t="str">
        <f t="shared" ca="1" si="5"/>
        <v xml:space="preserve"> </v>
      </c>
      <c r="G28" s="62"/>
      <c r="H28" s="63" t="str">
        <f t="shared" ca="1" si="6"/>
        <v xml:space="preserve"> </v>
      </c>
      <c r="I28" s="36"/>
      <c r="J28" s="37"/>
      <c r="K28" s="38"/>
      <c r="L28" s="37"/>
      <c r="M28" s="38"/>
      <c r="N28" s="42"/>
      <c r="O28" s="38"/>
      <c r="P28" s="37"/>
      <c r="Q28" s="38"/>
      <c r="R28" s="37"/>
      <c r="S28" s="39"/>
      <c r="T28" s="40"/>
      <c r="U28" s="39"/>
      <c r="V28" s="40"/>
      <c r="W28" s="39"/>
      <c r="X28" s="40"/>
      <c r="Y28" s="39"/>
      <c r="Z28" s="40"/>
      <c r="AA28" s="39"/>
      <c r="AB28" s="40"/>
      <c r="AC28" s="39"/>
      <c r="AD28" s="40"/>
      <c r="AE28" s="39"/>
      <c r="AF28" s="42"/>
      <c r="AG28" s="41">
        <f t="shared" ca="1" si="10"/>
        <v>0</v>
      </c>
      <c r="AH28" s="42">
        <v>0</v>
      </c>
      <c r="AI28" s="43">
        <f t="shared" ca="1" si="11"/>
        <v>0</v>
      </c>
      <c r="AJ28" s="41">
        <f t="shared" si="12"/>
        <v>0</v>
      </c>
      <c r="AK28" s="46">
        <f t="shared" si="13"/>
        <v>0</v>
      </c>
      <c r="AL28" s="45">
        <f t="shared" ca="1" si="14"/>
        <v>0</v>
      </c>
      <c r="AM28" s="52"/>
    </row>
    <row r="29" spans="1:39" s="23" customFormat="1">
      <c r="A29" s="24"/>
      <c r="B29" s="55"/>
      <c r="C29" s="32"/>
      <c r="D29" s="32"/>
      <c r="E29" s="25"/>
      <c r="F29" s="61" t="str">
        <f t="shared" ca="1" si="5"/>
        <v xml:space="preserve"> </v>
      </c>
      <c r="G29" s="62"/>
      <c r="H29" s="63" t="str">
        <f t="shared" ca="1" si="6"/>
        <v xml:space="preserve"> </v>
      </c>
      <c r="I29" s="36"/>
      <c r="J29" s="37"/>
      <c r="K29" s="38"/>
      <c r="L29" s="37"/>
      <c r="M29" s="38"/>
      <c r="N29" s="42"/>
      <c r="O29" s="38"/>
      <c r="P29" s="37"/>
      <c r="Q29" s="38"/>
      <c r="R29" s="37"/>
      <c r="S29" s="39"/>
      <c r="T29" s="40"/>
      <c r="U29" s="39"/>
      <c r="V29" s="40"/>
      <c r="W29" s="39"/>
      <c r="X29" s="40"/>
      <c r="Y29" s="39"/>
      <c r="Z29" s="40"/>
      <c r="AA29" s="39"/>
      <c r="AB29" s="40"/>
      <c r="AC29" s="39"/>
      <c r="AD29" s="40"/>
      <c r="AE29" s="39"/>
      <c r="AF29" s="42"/>
      <c r="AG29" s="41">
        <f t="shared" ca="1" si="10"/>
        <v>0</v>
      </c>
      <c r="AH29" s="42">
        <v>0</v>
      </c>
      <c r="AI29" s="43">
        <f t="shared" ca="1" si="11"/>
        <v>0</v>
      </c>
      <c r="AJ29" s="41">
        <f t="shared" si="12"/>
        <v>0</v>
      </c>
      <c r="AK29" s="46">
        <f t="shared" si="13"/>
        <v>0</v>
      </c>
      <c r="AL29" s="45">
        <f t="shared" ca="1" si="14"/>
        <v>0</v>
      </c>
      <c r="AM29" s="52"/>
    </row>
    <row r="30" spans="1:39" s="23" customFormat="1">
      <c r="A30" s="24"/>
      <c r="B30" s="55"/>
      <c r="C30" s="32"/>
      <c r="D30" s="32"/>
      <c r="E30" s="25"/>
      <c r="F30" s="61" t="str">
        <f t="shared" ca="1" si="5"/>
        <v xml:space="preserve"> </v>
      </c>
      <c r="G30" s="62"/>
      <c r="H30" s="63" t="str">
        <f t="shared" ca="1" si="6"/>
        <v xml:space="preserve"> </v>
      </c>
      <c r="I30" s="36"/>
      <c r="J30" s="37"/>
      <c r="K30" s="38"/>
      <c r="L30" s="37"/>
      <c r="M30" s="38"/>
      <c r="N30" s="42"/>
      <c r="O30" s="38"/>
      <c r="P30" s="37"/>
      <c r="Q30" s="38"/>
      <c r="R30" s="37"/>
      <c r="S30" s="39"/>
      <c r="T30" s="40"/>
      <c r="U30" s="39"/>
      <c r="V30" s="40"/>
      <c r="W30" s="39"/>
      <c r="X30" s="40"/>
      <c r="Y30" s="39"/>
      <c r="Z30" s="40"/>
      <c r="AA30" s="39"/>
      <c r="AB30" s="40"/>
      <c r="AC30" s="39"/>
      <c r="AD30" s="40"/>
      <c r="AE30" s="39"/>
      <c r="AF30" s="42"/>
      <c r="AG30" s="41">
        <f t="shared" ca="1" si="10"/>
        <v>0</v>
      </c>
      <c r="AH30" s="42">
        <v>0</v>
      </c>
      <c r="AI30" s="43">
        <f t="shared" ca="1" si="11"/>
        <v>0</v>
      </c>
      <c r="AJ30" s="41">
        <f t="shared" si="12"/>
        <v>0</v>
      </c>
      <c r="AK30" s="46">
        <f t="shared" si="13"/>
        <v>0</v>
      </c>
      <c r="AL30" s="45">
        <f t="shared" ca="1" si="14"/>
        <v>0</v>
      </c>
      <c r="AM30" s="52"/>
    </row>
    <row r="31" spans="1:39" s="23" customFormat="1">
      <c r="A31" s="24"/>
      <c r="B31" s="55"/>
      <c r="C31" s="32"/>
      <c r="D31" s="32"/>
      <c r="E31" s="25"/>
      <c r="F31" s="61" t="str">
        <f t="shared" ca="1" si="5"/>
        <v xml:space="preserve"> </v>
      </c>
      <c r="G31" s="62"/>
      <c r="H31" s="63" t="str">
        <f t="shared" ca="1" si="6"/>
        <v xml:space="preserve"> </v>
      </c>
      <c r="I31" s="36"/>
      <c r="J31" s="37"/>
      <c r="K31" s="38"/>
      <c r="L31" s="37"/>
      <c r="M31" s="38"/>
      <c r="N31" s="42"/>
      <c r="O31" s="38"/>
      <c r="P31" s="37"/>
      <c r="Q31" s="38"/>
      <c r="R31" s="37"/>
      <c r="S31" s="39"/>
      <c r="T31" s="40"/>
      <c r="U31" s="39"/>
      <c r="V31" s="40"/>
      <c r="W31" s="39"/>
      <c r="X31" s="40"/>
      <c r="Y31" s="39"/>
      <c r="Z31" s="40"/>
      <c r="AA31" s="39"/>
      <c r="AB31" s="40"/>
      <c r="AC31" s="39"/>
      <c r="AD31" s="40"/>
      <c r="AE31" s="39"/>
      <c r="AF31" s="42"/>
      <c r="AG31" s="41">
        <f t="shared" ca="1" si="10"/>
        <v>0</v>
      </c>
      <c r="AH31" s="42">
        <v>0</v>
      </c>
      <c r="AI31" s="43">
        <f t="shared" ca="1" si="11"/>
        <v>0</v>
      </c>
      <c r="AJ31" s="41">
        <f t="shared" si="12"/>
        <v>0</v>
      </c>
      <c r="AK31" s="46">
        <f t="shared" si="13"/>
        <v>0</v>
      </c>
      <c r="AL31" s="45">
        <f t="shared" ca="1" si="14"/>
        <v>0</v>
      </c>
      <c r="AM31" s="52"/>
    </row>
    <row r="32" spans="1:39" s="23" customFormat="1">
      <c r="A32" s="24"/>
      <c r="B32" s="55"/>
      <c r="C32" s="32"/>
      <c r="D32" s="32"/>
      <c r="E32" s="25"/>
      <c r="F32" s="61" t="str">
        <f t="shared" ca="1" si="5"/>
        <v xml:space="preserve"> </v>
      </c>
      <c r="G32" s="62"/>
      <c r="H32" s="63" t="str">
        <f t="shared" ca="1" si="6"/>
        <v xml:space="preserve"> </v>
      </c>
      <c r="I32" s="36"/>
      <c r="J32" s="37"/>
      <c r="K32" s="38"/>
      <c r="L32" s="37"/>
      <c r="M32" s="38"/>
      <c r="N32" s="42"/>
      <c r="O32" s="38"/>
      <c r="P32" s="37"/>
      <c r="Q32" s="38"/>
      <c r="R32" s="37"/>
      <c r="S32" s="39"/>
      <c r="T32" s="40"/>
      <c r="U32" s="39"/>
      <c r="V32" s="40"/>
      <c r="W32" s="39"/>
      <c r="X32" s="40"/>
      <c r="Y32" s="39"/>
      <c r="Z32" s="40"/>
      <c r="AA32" s="39"/>
      <c r="AB32" s="40"/>
      <c r="AC32" s="39"/>
      <c r="AD32" s="40"/>
      <c r="AE32" s="39"/>
      <c r="AF32" s="42"/>
      <c r="AG32" s="41">
        <f t="shared" ca="1" si="10"/>
        <v>0</v>
      </c>
      <c r="AH32" s="42">
        <v>0</v>
      </c>
      <c r="AI32" s="43">
        <f t="shared" ca="1" si="11"/>
        <v>0</v>
      </c>
      <c r="AJ32" s="41">
        <f t="shared" si="12"/>
        <v>0</v>
      </c>
      <c r="AK32" s="46">
        <f t="shared" si="13"/>
        <v>0</v>
      </c>
      <c r="AL32" s="45">
        <f t="shared" ca="1" si="14"/>
        <v>0</v>
      </c>
      <c r="AM32" s="52"/>
    </row>
    <row r="33" spans="1:39" s="23" customFormat="1">
      <c r="A33" s="24"/>
      <c r="B33" s="55"/>
      <c r="C33" s="32"/>
      <c r="D33" s="32"/>
      <c r="E33" s="25"/>
      <c r="F33" s="61" t="str">
        <f t="shared" ca="1" si="5"/>
        <v xml:space="preserve"> </v>
      </c>
      <c r="G33" s="62"/>
      <c r="H33" s="63" t="str">
        <f t="shared" ca="1" si="6"/>
        <v xml:space="preserve"> </v>
      </c>
      <c r="I33" s="36"/>
      <c r="J33" s="37"/>
      <c r="K33" s="38"/>
      <c r="L33" s="37"/>
      <c r="M33" s="38"/>
      <c r="N33" s="42"/>
      <c r="O33" s="38"/>
      <c r="P33" s="37"/>
      <c r="Q33" s="38"/>
      <c r="R33" s="37"/>
      <c r="S33" s="39"/>
      <c r="T33" s="40"/>
      <c r="U33" s="39"/>
      <c r="V33" s="40"/>
      <c r="W33" s="39"/>
      <c r="X33" s="40"/>
      <c r="Y33" s="39"/>
      <c r="Z33" s="40"/>
      <c r="AA33" s="39"/>
      <c r="AB33" s="40"/>
      <c r="AC33" s="39"/>
      <c r="AD33" s="40"/>
      <c r="AE33" s="39"/>
      <c r="AF33" s="42"/>
      <c r="AG33" s="41">
        <f t="shared" ca="1" si="10"/>
        <v>0</v>
      </c>
      <c r="AH33" s="42">
        <v>0</v>
      </c>
      <c r="AI33" s="43">
        <f t="shared" ca="1" si="11"/>
        <v>0</v>
      </c>
      <c r="AJ33" s="41">
        <f t="shared" si="12"/>
        <v>0</v>
      </c>
      <c r="AK33" s="46">
        <f t="shared" si="13"/>
        <v>0</v>
      </c>
      <c r="AL33" s="45">
        <f t="shared" ca="1" si="14"/>
        <v>0</v>
      </c>
      <c r="AM33" s="52"/>
    </row>
    <row r="34" spans="1:39" s="23" customFormat="1">
      <c r="A34" s="24"/>
      <c r="B34" s="55"/>
      <c r="C34" s="32"/>
      <c r="D34" s="32"/>
      <c r="E34" s="25"/>
      <c r="F34" s="61" t="str">
        <f t="shared" ca="1" si="5"/>
        <v xml:space="preserve"> </v>
      </c>
      <c r="G34" s="62"/>
      <c r="H34" s="63" t="str">
        <f t="shared" ca="1" si="6"/>
        <v xml:space="preserve"> </v>
      </c>
      <c r="I34" s="36"/>
      <c r="J34" s="37"/>
      <c r="K34" s="38"/>
      <c r="L34" s="37"/>
      <c r="M34" s="38"/>
      <c r="N34" s="42"/>
      <c r="O34" s="38"/>
      <c r="P34" s="37"/>
      <c r="Q34" s="38"/>
      <c r="R34" s="37"/>
      <c r="S34" s="39"/>
      <c r="T34" s="40"/>
      <c r="U34" s="39"/>
      <c r="V34" s="40"/>
      <c r="W34" s="39"/>
      <c r="X34" s="40"/>
      <c r="Y34" s="39"/>
      <c r="Z34" s="40"/>
      <c r="AA34" s="39"/>
      <c r="AB34" s="40"/>
      <c r="AC34" s="39"/>
      <c r="AD34" s="40"/>
      <c r="AE34" s="39"/>
      <c r="AF34" s="42"/>
      <c r="AG34" s="41">
        <f t="shared" ca="1" si="10"/>
        <v>0</v>
      </c>
      <c r="AH34" s="42">
        <v>0</v>
      </c>
      <c r="AI34" s="43">
        <f t="shared" ca="1" si="11"/>
        <v>0</v>
      </c>
      <c r="AJ34" s="41">
        <f t="shared" si="12"/>
        <v>0</v>
      </c>
      <c r="AK34" s="46">
        <f t="shared" si="13"/>
        <v>0</v>
      </c>
      <c r="AL34" s="45">
        <f t="shared" ca="1" si="14"/>
        <v>0</v>
      </c>
      <c r="AM34" s="52"/>
    </row>
    <row r="35" spans="1:39" s="23" customFormat="1">
      <c r="A35" s="24"/>
      <c r="B35" s="55"/>
      <c r="C35" s="32"/>
      <c r="D35" s="32"/>
      <c r="E35" s="25"/>
      <c r="F35" s="61" t="str">
        <f t="shared" ca="1" si="5"/>
        <v xml:space="preserve"> </v>
      </c>
      <c r="G35" s="62"/>
      <c r="H35" s="63" t="str">
        <f t="shared" ca="1" si="6"/>
        <v xml:space="preserve"> </v>
      </c>
      <c r="I35" s="36"/>
      <c r="J35" s="37"/>
      <c r="K35" s="38"/>
      <c r="L35" s="37"/>
      <c r="M35" s="38"/>
      <c r="N35" s="42"/>
      <c r="O35" s="38"/>
      <c r="P35" s="37"/>
      <c r="Q35" s="38"/>
      <c r="R35" s="37"/>
      <c r="S35" s="39"/>
      <c r="T35" s="40"/>
      <c r="U35" s="39"/>
      <c r="V35" s="40"/>
      <c r="W35" s="39"/>
      <c r="X35" s="40"/>
      <c r="Y35" s="39"/>
      <c r="Z35" s="40"/>
      <c r="AA35" s="39"/>
      <c r="AB35" s="40"/>
      <c r="AC35" s="39"/>
      <c r="AD35" s="40"/>
      <c r="AE35" s="39"/>
      <c r="AF35" s="42"/>
      <c r="AG35" s="41">
        <f t="shared" ca="1" si="10"/>
        <v>0</v>
      </c>
      <c r="AH35" s="42">
        <v>0</v>
      </c>
      <c r="AI35" s="43">
        <f t="shared" ca="1" si="11"/>
        <v>0</v>
      </c>
      <c r="AJ35" s="41">
        <f t="shared" si="12"/>
        <v>0</v>
      </c>
      <c r="AK35" s="46">
        <f t="shared" si="13"/>
        <v>0</v>
      </c>
      <c r="AL35" s="45">
        <f t="shared" ca="1" si="14"/>
        <v>0</v>
      </c>
      <c r="AM35" s="52"/>
    </row>
    <row r="36" spans="1:39" s="23" customFormat="1">
      <c r="A36" s="24"/>
      <c r="B36" s="55"/>
      <c r="C36" s="32"/>
      <c r="D36" s="32"/>
      <c r="E36" s="25"/>
      <c r="F36" s="61" t="str">
        <f t="shared" ca="1" si="5"/>
        <v xml:space="preserve"> </v>
      </c>
      <c r="G36" s="62"/>
      <c r="H36" s="63" t="str">
        <f t="shared" ca="1" si="6"/>
        <v xml:space="preserve"> </v>
      </c>
      <c r="I36" s="36"/>
      <c r="J36" s="37"/>
      <c r="K36" s="38"/>
      <c r="L36" s="37"/>
      <c r="M36" s="38"/>
      <c r="N36" s="42"/>
      <c r="O36" s="38"/>
      <c r="P36" s="37"/>
      <c r="Q36" s="38"/>
      <c r="R36" s="37"/>
      <c r="S36" s="39"/>
      <c r="T36" s="40"/>
      <c r="U36" s="39"/>
      <c r="V36" s="40"/>
      <c r="W36" s="39"/>
      <c r="X36" s="40"/>
      <c r="Y36" s="39"/>
      <c r="Z36" s="40"/>
      <c r="AA36" s="39"/>
      <c r="AB36" s="40"/>
      <c r="AC36" s="39"/>
      <c r="AD36" s="40"/>
      <c r="AE36" s="39"/>
      <c r="AF36" s="42"/>
      <c r="AG36" s="41">
        <f t="shared" ca="1" si="10"/>
        <v>0</v>
      </c>
      <c r="AH36" s="42">
        <v>0</v>
      </c>
      <c r="AI36" s="43">
        <f t="shared" ca="1" si="11"/>
        <v>0</v>
      </c>
      <c r="AJ36" s="41">
        <f t="shared" si="12"/>
        <v>0</v>
      </c>
      <c r="AK36" s="46">
        <f t="shared" si="13"/>
        <v>0</v>
      </c>
      <c r="AL36" s="45">
        <f t="shared" ca="1" si="14"/>
        <v>0</v>
      </c>
      <c r="AM36" s="52"/>
    </row>
    <row r="37" spans="1:39" s="23" customFormat="1">
      <c r="A37" s="24"/>
      <c r="B37" s="55"/>
      <c r="C37" s="32"/>
      <c r="D37" s="32"/>
      <c r="E37" s="25"/>
      <c r="F37" s="61" t="str">
        <f t="shared" ca="1" si="5"/>
        <v xml:space="preserve"> </v>
      </c>
      <c r="G37" s="62"/>
      <c r="H37" s="63" t="str">
        <f t="shared" ref="H37" ca="1" si="22">IF(G37=0," ",(TODAY()-G37)/365)</f>
        <v xml:space="preserve"> </v>
      </c>
      <c r="I37" s="36"/>
      <c r="J37" s="37"/>
      <c r="K37" s="38"/>
      <c r="L37" s="37"/>
      <c r="M37" s="38"/>
      <c r="N37" s="42"/>
      <c r="O37" s="38"/>
      <c r="P37" s="37"/>
      <c r="Q37" s="38"/>
      <c r="R37" s="37"/>
      <c r="S37" s="39"/>
      <c r="T37" s="40"/>
      <c r="U37" s="39"/>
      <c r="V37" s="40"/>
      <c r="W37" s="39"/>
      <c r="X37" s="40"/>
      <c r="Y37" s="39"/>
      <c r="Z37" s="40"/>
      <c r="AA37" s="39"/>
      <c r="AB37" s="40"/>
      <c r="AC37" s="39"/>
      <c r="AD37" s="40"/>
      <c r="AE37" s="39"/>
      <c r="AF37" s="42"/>
      <c r="AG37" s="41">
        <f t="shared" ref="AG37" ca="1" si="23">AI37-AH37</f>
        <v>0</v>
      </c>
      <c r="AH37" s="42">
        <v>0</v>
      </c>
      <c r="AI37" s="43">
        <f t="shared" ref="AI37" ca="1" si="24">IF(AND(F37&lt;9.99,H37&lt;50),21,IF(AND(F37&lt;9.99,H37&gt;=50),30,IF(AND(F37&gt;=10,H37&lt;50),30,0)))</f>
        <v>0</v>
      </c>
      <c r="AJ37" s="41">
        <f t="shared" ref="AJ37" si="25">(I37+K37+M37+O37+Q37+S37+U37+W37+Y37+AA37+AC37+AE37)</f>
        <v>0</v>
      </c>
      <c r="AK37" s="46">
        <f t="shared" ref="AK37" si="26">(J37+L37+N37+P37+R37+T37+V37+X37+Z37+AB37+AD37+AF37)</f>
        <v>0</v>
      </c>
      <c r="AL37" s="45">
        <f t="shared" ref="AL37" ca="1" si="27">(AI37)-(AJ37+AK37)</f>
        <v>0</v>
      </c>
      <c r="AM37" s="52"/>
    </row>
    <row r="38" spans="1:39" s="23" customFormat="1">
      <c r="A38" s="24"/>
      <c r="B38" s="55"/>
      <c r="C38" s="32"/>
      <c r="D38" s="32"/>
      <c r="E38" s="25"/>
      <c r="F38" s="61" t="str">
        <f t="shared" ca="1" si="5"/>
        <v xml:space="preserve"> </v>
      </c>
      <c r="G38" s="62"/>
      <c r="H38" s="63" t="str">
        <f t="shared" ca="1" si="6"/>
        <v xml:space="preserve"> </v>
      </c>
      <c r="I38" s="36"/>
      <c r="J38" s="37"/>
      <c r="K38" s="38"/>
      <c r="L38" s="37"/>
      <c r="M38" s="38"/>
      <c r="N38" s="42"/>
      <c r="O38" s="38"/>
      <c r="P38" s="37"/>
      <c r="Q38" s="38"/>
      <c r="R38" s="37"/>
      <c r="S38" s="39"/>
      <c r="T38" s="40"/>
      <c r="U38" s="39"/>
      <c r="V38" s="40"/>
      <c r="W38" s="39"/>
      <c r="X38" s="40"/>
      <c r="Y38" s="39"/>
      <c r="Z38" s="40"/>
      <c r="AA38" s="39"/>
      <c r="AB38" s="40"/>
      <c r="AC38" s="39"/>
      <c r="AD38" s="40"/>
      <c r="AE38" s="39"/>
      <c r="AF38" s="42"/>
      <c r="AG38" s="41">
        <f t="shared" ca="1" si="10"/>
        <v>0</v>
      </c>
      <c r="AH38" s="42">
        <v>0</v>
      </c>
      <c r="AI38" s="43">
        <f t="shared" ca="1" si="11"/>
        <v>0</v>
      </c>
      <c r="AJ38" s="41">
        <f t="shared" si="12"/>
        <v>0</v>
      </c>
      <c r="AK38" s="46">
        <f t="shared" si="13"/>
        <v>0</v>
      </c>
      <c r="AL38" s="45">
        <f t="shared" ca="1" si="14"/>
        <v>0</v>
      </c>
      <c r="AM38" s="52"/>
    </row>
    <row r="39" spans="1:39" s="23" customFormat="1">
      <c r="A39" s="24"/>
      <c r="B39" s="55"/>
      <c r="C39" s="32"/>
      <c r="D39" s="32"/>
      <c r="E39" s="25"/>
      <c r="F39" s="61" t="str">
        <f t="shared" ca="1" si="5"/>
        <v xml:space="preserve"> </v>
      </c>
      <c r="G39" s="62"/>
      <c r="H39" s="63" t="str">
        <f t="shared" ca="1" si="6"/>
        <v xml:space="preserve"> </v>
      </c>
      <c r="I39" s="36"/>
      <c r="J39" s="37"/>
      <c r="K39" s="38"/>
      <c r="L39" s="37"/>
      <c r="M39" s="38"/>
      <c r="N39" s="42"/>
      <c r="O39" s="38"/>
      <c r="P39" s="37"/>
      <c r="Q39" s="38"/>
      <c r="R39" s="37"/>
      <c r="S39" s="39"/>
      <c r="T39" s="40"/>
      <c r="U39" s="39"/>
      <c r="V39" s="40"/>
      <c r="W39" s="39"/>
      <c r="X39" s="40"/>
      <c r="Y39" s="39"/>
      <c r="Z39" s="40"/>
      <c r="AA39" s="39"/>
      <c r="AB39" s="40"/>
      <c r="AC39" s="39"/>
      <c r="AD39" s="40"/>
      <c r="AE39" s="39"/>
      <c r="AF39" s="42"/>
      <c r="AG39" s="41">
        <f t="shared" ca="1" si="10"/>
        <v>0</v>
      </c>
      <c r="AH39" s="42">
        <v>0</v>
      </c>
      <c r="AI39" s="43">
        <f t="shared" ca="1" si="11"/>
        <v>0</v>
      </c>
      <c r="AJ39" s="41">
        <f t="shared" si="12"/>
        <v>0</v>
      </c>
      <c r="AK39" s="46">
        <f t="shared" si="13"/>
        <v>0</v>
      </c>
      <c r="AL39" s="45">
        <f t="shared" ca="1" si="14"/>
        <v>0</v>
      </c>
      <c r="AM39" s="52"/>
    </row>
    <row r="40" spans="1:39" s="23" customFormat="1">
      <c r="A40" s="24"/>
      <c r="B40" s="55"/>
      <c r="C40" s="32"/>
      <c r="D40" s="32"/>
      <c r="E40" s="25"/>
      <c r="F40" s="61" t="str">
        <f t="shared" ca="1" si="5"/>
        <v xml:space="preserve"> </v>
      </c>
      <c r="G40" s="62"/>
      <c r="H40" s="63" t="str">
        <f t="shared" ca="1" si="6"/>
        <v xml:space="preserve"> </v>
      </c>
      <c r="I40" s="36"/>
      <c r="J40" s="37"/>
      <c r="K40" s="38"/>
      <c r="L40" s="37"/>
      <c r="M40" s="38"/>
      <c r="N40" s="42"/>
      <c r="O40" s="38"/>
      <c r="P40" s="37"/>
      <c r="Q40" s="38"/>
      <c r="R40" s="37"/>
      <c r="S40" s="39"/>
      <c r="T40" s="40"/>
      <c r="U40" s="39"/>
      <c r="V40" s="40"/>
      <c r="W40" s="39"/>
      <c r="X40" s="40"/>
      <c r="Y40" s="39"/>
      <c r="Z40" s="40"/>
      <c r="AA40" s="39"/>
      <c r="AB40" s="40"/>
      <c r="AC40" s="39"/>
      <c r="AD40" s="40"/>
      <c r="AE40" s="39"/>
      <c r="AF40" s="42"/>
      <c r="AG40" s="41">
        <f t="shared" ca="1" si="10"/>
        <v>0</v>
      </c>
      <c r="AH40" s="42">
        <v>0</v>
      </c>
      <c r="AI40" s="43">
        <f t="shared" ca="1" si="11"/>
        <v>0</v>
      </c>
      <c r="AJ40" s="41">
        <f t="shared" si="12"/>
        <v>0</v>
      </c>
      <c r="AK40" s="46">
        <f t="shared" si="13"/>
        <v>0</v>
      </c>
      <c r="AL40" s="45">
        <f t="shared" ca="1" si="14"/>
        <v>0</v>
      </c>
      <c r="AM40" s="52"/>
    </row>
    <row r="41" spans="1:39" s="23" customFormat="1">
      <c r="A41" s="24"/>
      <c r="B41" s="55"/>
      <c r="C41" s="32"/>
      <c r="D41" s="32"/>
      <c r="E41" s="25"/>
      <c r="F41" s="61" t="str">
        <f t="shared" ca="1" si="5"/>
        <v xml:space="preserve"> </v>
      </c>
      <c r="G41" s="62"/>
      <c r="H41" s="63" t="str">
        <f t="shared" ca="1" si="6"/>
        <v xml:space="preserve"> </v>
      </c>
      <c r="I41" s="36"/>
      <c r="J41" s="37"/>
      <c r="K41" s="38"/>
      <c r="L41" s="37"/>
      <c r="M41" s="38"/>
      <c r="N41" s="42"/>
      <c r="O41" s="38"/>
      <c r="P41" s="37"/>
      <c r="Q41" s="38"/>
      <c r="R41" s="37"/>
      <c r="S41" s="39"/>
      <c r="T41" s="40"/>
      <c r="U41" s="39"/>
      <c r="V41" s="40"/>
      <c r="W41" s="39"/>
      <c r="X41" s="40"/>
      <c r="Y41" s="39"/>
      <c r="Z41" s="40"/>
      <c r="AA41" s="39"/>
      <c r="AB41" s="40"/>
      <c r="AC41" s="39"/>
      <c r="AD41" s="40"/>
      <c r="AE41" s="39"/>
      <c r="AF41" s="42"/>
      <c r="AG41" s="41">
        <f t="shared" ca="1" si="10"/>
        <v>0</v>
      </c>
      <c r="AH41" s="42">
        <v>0</v>
      </c>
      <c r="AI41" s="43">
        <f t="shared" ca="1" si="11"/>
        <v>0</v>
      </c>
      <c r="AJ41" s="41">
        <f t="shared" si="12"/>
        <v>0</v>
      </c>
      <c r="AK41" s="46">
        <f t="shared" si="13"/>
        <v>0</v>
      </c>
      <c r="AL41" s="45">
        <f t="shared" ca="1" si="14"/>
        <v>0</v>
      </c>
      <c r="AM41" s="52"/>
    </row>
    <row r="42" spans="1:39" s="23" customFormat="1">
      <c r="A42" s="24"/>
      <c r="B42" s="55"/>
      <c r="C42" s="32"/>
      <c r="D42" s="32"/>
      <c r="E42" s="25"/>
      <c r="F42" s="61" t="str">
        <f t="shared" ca="1" si="5"/>
        <v xml:space="preserve"> </v>
      </c>
      <c r="G42" s="62"/>
      <c r="H42" s="63" t="str">
        <f t="shared" ca="1" si="6"/>
        <v xml:space="preserve"> </v>
      </c>
      <c r="I42" s="36"/>
      <c r="J42" s="37"/>
      <c r="K42" s="38"/>
      <c r="L42" s="37"/>
      <c r="M42" s="38"/>
      <c r="N42" s="42"/>
      <c r="O42" s="38"/>
      <c r="P42" s="37"/>
      <c r="Q42" s="38"/>
      <c r="R42" s="37"/>
      <c r="S42" s="39"/>
      <c r="T42" s="40"/>
      <c r="U42" s="39"/>
      <c r="V42" s="40"/>
      <c r="W42" s="39"/>
      <c r="X42" s="40"/>
      <c r="Y42" s="39"/>
      <c r="Z42" s="40"/>
      <c r="AA42" s="39"/>
      <c r="AB42" s="40"/>
      <c r="AC42" s="39"/>
      <c r="AD42" s="40"/>
      <c r="AE42" s="39"/>
      <c r="AF42" s="42"/>
      <c r="AG42" s="41">
        <f t="shared" ca="1" si="10"/>
        <v>0</v>
      </c>
      <c r="AH42" s="42">
        <v>0</v>
      </c>
      <c r="AI42" s="43">
        <f t="shared" ca="1" si="11"/>
        <v>0</v>
      </c>
      <c r="AJ42" s="41">
        <f t="shared" si="12"/>
        <v>0</v>
      </c>
      <c r="AK42" s="46">
        <f t="shared" si="13"/>
        <v>0</v>
      </c>
      <c r="AL42" s="45">
        <f t="shared" ca="1" si="14"/>
        <v>0</v>
      </c>
      <c r="AM42" s="52"/>
    </row>
    <row r="43" spans="1:39" s="23" customFormat="1">
      <c r="A43" s="24"/>
      <c r="B43" s="55"/>
      <c r="C43" s="32"/>
      <c r="D43" s="32"/>
      <c r="E43" s="25"/>
      <c r="F43" s="61" t="str">
        <f t="shared" ca="1" si="5"/>
        <v xml:space="preserve"> </v>
      </c>
      <c r="G43" s="62"/>
      <c r="H43" s="63" t="str">
        <f t="shared" ref="H43:H54" ca="1" si="28">IF(G43=0," ",(TODAY()-G43)/365)</f>
        <v xml:space="preserve"> </v>
      </c>
      <c r="I43" s="36"/>
      <c r="J43" s="37"/>
      <c r="K43" s="38"/>
      <c r="L43" s="37"/>
      <c r="M43" s="38"/>
      <c r="N43" s="42"/>
      <c r="O43" s="38"/>
      <c r="P43" s="37"/>
      <c r="Q43" s="38"/>
      <c r="R43" s="37"/>
      <c r="S43" s="39"/>
      <c r="T43" s="40"/>
      <c r="U43" s="39"/>
      <c r="V43" s="40"/>
      <c r="W43" s="39"/>
      <c r="X43" s="40"/>
      <c r="Y43" s="39"/>
      <c r="Z43" s="40"/>
      <c r="AA43" s="39"/>
      <c r="AB43" s="40"/>
      <c r="AC43" s="39"/>
      <c r="AD43" s="40"/>
      <c r="AE43" s="39"/>
      <c r="AF43" s="42"/>
      <c r="AG43" s="41">
        <f t="shared" ca="1" si="10"/>
        <v>0</v>
      </c>
      <c r="AH43" s="42">
        <v>0</v>
      </c>
      <c r="AI43" s="43">
        <f t="shared" ca="1" si="11"/>
        <v>0</v>
      </c>
      <c r="AJ43" s="41">
        <f t="shared" si="12"/>
        <v>0</v>
      </c>
      <c r="AK43" s="46">
        <f t="shared" si="13"/>
        <v>0</v>
      </c>
      <c r="AL43" s="45">
        <f t="shared" ca="1" si="14"/>
        <v>0</v>
      </c>
      <c r="AM43" s="52"/>
    </row>
    <row r="44" spans="1:39" s="23" customFormat="1">
      <c r="A44" s="24"/>
      <c r="B44" s="55"/>
      <c r="C44" s="32"/>
      <c r="D44" s="32"/>
      <c r="E44" s="25"/>
      <c r="F44" s="61" t="str">
        <f t="shared" ca="1" si="5"/>
        <v xml:space="preserve"> </v>
      </c>
      <c r="G44" s="62"/>
      <c r="H44" s="63" t="str">
        <f t="shared" ca="1" si="28"/>
        <v xml:space="preserve"> </v>
      </c>
      <c r="I44" s="36"/>
      <c r="J44" s="37"/>
      <c r="K44" s="38"/>
      <c r="L44" s="37"/>
      <c r="M44" s="38"/>
      <c r="N44" s="42"/>
      <c r="O44" s="38"/>
      <c r="P44" s="37"/>
      <c r="Q44" s="38"/>
      <c r="R44" s="37"/>
      <c r="S44" s="39"/>
      <c r="T44" s="40"/>
      <c r="U44" s="39"/>
      <c r="V44" s="40"/>
      <c r="W44" s="39"/>
      <c r="X44" s="40"/>
      <c r="Y44" s="39"/>
      <c r="Z44" s="40"/>
      <c r="AA44" s="39"/>
      <c r="AB44" s="40"/>
      <c r="AC44" s="39"/>
      <c r="AD44" s="40"/>
      <c r="AE44" s="39"/>
      <c r="AF44" s="42"/>
      <c r="AG44" s="41">
        <f t="shared" ca="1" si="10"/>
        <v>0</v>
      </c>
      <c r="AH44" s="42">
        <v>0</v>
      </c>
      <c r="AI44" s="43">
        <f t="shared" ca="1" si="11"/>
        <v>0</v>
      </c>
      <c r="AJ44" s="41">
        <f t="shared" si="12"/>
        <v>0</v>
      </c>
      <c r="AK44" s="46">
        <f t="shared" si="13"/>
        <v>0</v>
      </c>
      <c r="AL44" s="45">
        <f t="shared" ca="1" si="14"/>
        <v>0</v>
      </c>
      <c r="AM44" s="52"/>
    </row>
    <row r="45" spans="1:39" s="23" customFormat="1">
      <c r="A45" s="24"/>
      <c r="B45" s="55"/>
      <c r="C45" s="32"/>
      <c r="D45" s="32"/>
      <c r="E45" s="25"/>
      <c r="F45" s="61" t="str">
        <f t="shared" ca="1" si="5"/>
        <v xml:space="preserve"> </v>
      </c>
      <c r="G45" s="62"/>
      <c r="H45" s="63" t="str">
        <f t="shared" ca="1" si="28"/>
        <v xml:space="preserve"> </v>
      </c>
      <c r="I45" s="36"/>
      <c r="J45" s="37"/>
      <c r="K45" s="38"/>
      <c r="L45" s="37"/>
      <c r="M45" s="38"/>
      <c r="N45" s="42"/>
      <c r="O45" s="38"/>
      <c r="P45" s="37"/>
      <c r="Q45" s="38"/>
      <c r="R45" s="37"/>
      <c r="S45" s="39"/>
      <c r="T45" s="40"/>
      <c r="U45" s="39"/>
      <c r="V45" s="40"/>
      <c r="W45" s="39"/>
      <c r="X45" s="40"/>
      <c r="Y45" s="39"/>
      <c r="Z45" s="40"/>
      <c r="AA45" s="39"/>
      <c r="AB45" s="40"/>
      <c r="AC45" s="39"/>
      <c r="AD45" s="40"/>
      <c r="AE45" s="39"/>
      <c r="AF45" s="42"/>
      <c r="AG45" s="41">
        <f t="shared" ca="1" si="10"/>
        <v>0</v>
      </c>
      <c r="AH45" s="42">
        <v>0</v>
      </c>
      <c r="AI45" s="43">
        <f t="shared" ca="1" si="11"/>
        <v>0</v>
      </c>
      <c r="AJ45" s="41">
        <f t="shared" si="12"/>
        <v>0</v>
      </c>
      <c r="AK45" s="46">
        <f t="shared" si="13"/>
        <v>0</v>
      </c>
      <c r="AL45" s="45">
        <f t="shared" ca="1" si="14"/>
        <v>0</v>
      </c>
      <c r="AM45" s="52"/>
    </row>
    <row r="46" spans="1:39" s="23" customFormat="1">
      <c r="A46" s="24"/>
      <c r="B46" s="55"/>
      <c r="C46" s="32"/>
      <c r="D46" s="32"/>
      <c r="E46" s="25"/>
      <c r="F46" s="61" t="str">
        <f t="shared" ca="1" si="5"/>
        <v xml:space="preserve"> </v>
      </c>
      <c r="G46" s="62"/>
      <c r="H46" s="63" t="str">
        <f t="shared" ca="1" si="28"/>
        <v xml:space="preserve"> </v>
      </c>
      <c r="I46" s="36"/>
      <c r="J46" s="37"/>
      <c r="K46" s="38"/>
      <c r="L46" s="37"/>
      <c r="M46" s="38"/>
      <c r="N46" s="42"/>
      <c r="O46" s="38"/>
      <c r="P46" s="37"/>
      <c r="Q46" s="38"/>
      <c r="R46" s="37"/>
      <c r="S46" s="39"/>
      <c r="T46" s="40"/>
      <c r="U46" s="39"/>
      <c r="V46" s="40"/>
      <c r="W46" s="39"/>
      <c r="X46" s="40"/>
      <c r="Y46" s="39"/>
      <c r="Z46" s="40"/>
      <c r="AA46" s="39"/>
      <c r="AB46" s="40"/>
      <c r="AC46" s="39"/>
      <c r="AD46" s="40"/>
      <c r="AE46" s="39"/>
      <c r="AF46" s="42"/>
      <c r="AG46" s="41">
        <f t="shared" ca="1" si="10"/>
        <v>0</v>
      </c>
      <c r="AH46" s="42">
        <v>0</v>
      </c>
      <c r="AI46" s="43">
        <f t="shared" ca="1" si="11"/>
        <v>0</v>
      </c>
      <c r="AJ46" s="41">
        <f t="shared" si="12"/>
        <v>0</v>
      </c>
      <c r="AK46" s="46">
        <f t="shared" si="13"/>
        <v>0</v>
      </c>
      <c r="AL46" s="45">
        <f t="shared" ca="1" si="14"/>
        <v>0</v>
      </c>
      <c r="AM46" s="52"/>
    </row>
    <row r="47" spans="1:39" s="23" customFormat="1">
      <c r="A47" s="24"/>
      <c r="B47" s="55"/>
      <c r="C47" s="32"/>
      <c r="D47" s="32"/>
      <c r="E47" s="25"/>
      <c r="F47" s="61" t="str">
        <f t="shared" ca="1" si="5"/>
        <v xml:space="preserve"> </v>
      </c>
      <c r="G47" s="62"/>
      <c r="H47" s="63" t="str">
        <f t="shared" ca="1" si="28"/>
        <v xml:space="preserve"> </v>
      </c>
      <c r="I47" s="36"/>
      <c r="J47" s="37"/>
      <c r="K47" s="38"/>
      <c r="L47" s="37"/>
      <c r="M47" s="38"/>
      <c r="N47" s="42"/>
      <c r="O47" s="38"/>
      <c r="P47" s="37"/>
      <c r="Q47" s="38"/>
      <c r="R47" s="37"/>
      <c r="S47" s="39"/>
      <c r="T47" s="40"/>
      <c r="U47" s="39"/>
      <c r="V47" s="40"/>
      <c r="W47" s="39"/>
      <c r="X47" s="40"/>
      <c r="Y47" s="39"/>
      <c r="Z47" s="40"/>
      <c r="AA47" s="39"/>
      <c r="AB47" s="40"/>
      <c r="AC47" s="39"/>
      <c r="AD47" s="40"/>
      <c r="AE47" s="39"/>
      <c r="AF47" s="42"/>
      <c r="AG47" s="41">
        <f t="shared" ca="1" si="10"/>
        <v>0</v>
      </c>
      <c r="AH47" s="42">
        <v>0</v>
      </c>
      <c r="AI47" s="43">
        <f t="shared" ca="1" si="11"/>
        <v>0</v>
      </c>
      <c r="AJ47" s="41">
        <f t="shared" si="12"/>
        <v>0</v>
      </c>
      <c r="AK47" s="46">
        <f t="shared" si="13"/>
        <v>0</v>
      </c>
      <c r="AL47" s="45">
        <f t="shared" ca="1" si="14"/>
        <v>0</v>
      </c>
      <c r="AM47" s="52"/>
    </row>
    <row r="48" spans="1:39" s="23" customFormat="1">
      <c r="A48" s="24"/>
      <c r="B48" s="55"/>
      <c r="C48" s="32"/>
      <c r="D48" s="32"/>
      <c r="E48" s="25"/>
      <c r="F48" s="61" t="str">
        <f t="shared" ca="1" si="5"/>
        <v xml:space="preserve"> </v>
      </c>
      <c r="G48" s="62"/>
      <c r="H48" s="63" t="str">
        <f t="shared" ca="1" si="28"/>
        <v xml:space="preserve"> </v>
      </c>
      <c r="I48" s="36"/>
      <c r="J48" s="37"/>
      <c r="K48" s="38"/>
      <c r="L48" s="37"/>
      <c r="M48" s="38"/>
      <c r="N48" s="42"/>
      <c r="O48" s="38"/>
      <c r="P48" s="37"/>
      <c r="Q48" s="38"/>
      <c r="R48" s="37"/>
      <c r="S48" s="39"/>
      <c r="T48" s="40"/>
      <c r="U48" s="39"/>
      <c r="V48" s="40"/>
      <c r="W48" s="39"/>
      <c r="X48" s="40"/>
      <c r="Y48" s="39"/>
      <c r="Z48" s="40"/>
      <c r="AA48" s="39"/>
      <c r="AB48" s="40"/>
      <c r="AC48" s="39"/>
      <c r="AD48" s="40"/>
      <c r="AE48" s="39"/>
      <c r="AF48" s="42"/>
      <c r="AG48" s="41">
        <f t="shared" ca="1" si="10"/>
        <v>0</v>
      </c>
      <c r="AH48" s="42">
        <v>0</v>
      </c>
      <c r="AI48" s="43">
        <f t="shared" ca="1" si="11"/>
        <v>0</v>
      </c>
      <c r="AJ48" s="41">
        <f t="shared" si="12"/>
        <v>0</v>
      </c>
      <c r="AK48" s="46">
        <f t="shared" si="13"/>
        <v>0</v>
      </c>
      <c r="AL48" s="45">
        <f t="shared" ca="1" si="14"/>
        <v>0</v>
      </c>
      <c r="AM48" s="52"/>
    </row>
    <row r="49" spans="1:39" s="23" customFormat="1">
      <c r="A49" s="24"/>
      <c r="B49" s="55"/>
      <c r="C49" s="32"/>
      <c r="D49" s="32"/>
      <c r="E49" s="25"/>
      <c r="F49" s="61" t="str">
        <f t="shared" ca="1" si="5"/>
        <v xml:space="preserve"> </v>
      </c>
      <c r="G49" s="62"/>
      <c r="H49" s="63" t="str">
        <f t="shared" ca="1" si="28"/>
        <v xml:space="preserve"> </v>
      </c>
      <c r="I49" s="36"/>
      <c r="J49" s="37"/>
      <c r="K49" s="38"/>
      <c r="L49" s="37"/>
      <c r="M49" s="38"/>
      <c r="N49" s="42"/>
      <c r="O49" s="38"/>
      <c r="P49" s="37"/>
      <c r="Q49" s="38"/>
      <c r="R49" s="37"/>
      <c r="S49" s="39"/>
      <c r="T49" s="40"/>
      <c r="U49" s="39"/>
      <c r="V49" s="40"/>
      <c r="W49" s="39"/>
      <c r="X49" s="40"/>
      <c r="Y49" s="39"/>
      <c r="Z49" s="40"/>
      <c r="AA49" s="39"/>
      <c r="AB49" s="40"/>
      <c r="AC49" s="39"/>
      <c r="AD49" s="40"/>
      <c r="AE49" s="39"/>
      <c r="AF49" s="42"/>
      <c r="AG49" s="41">
        <f t="shared" ca="1" si="10"/>
        <v>0</v>
      </c>
      <c r="AH49" s="42">
        <v>0</v>
      </c>
      <c r="AI49" s="43">
        <f t="shared" ca="1" si="11"/>
        <v>0</v>
      </c>
      <c r="AJ49" s="41">
        <f t="shared" si="12"/>
        <v>0</v>
      </c>
      <c r="AK49" s="46">
        <f t="shared" si="13"/>
        <v>0</v>
      </c>
      <c r="AL49" s="45">
        <f t="shared" ca="1" si="14"/>
        <v>0</v>
      </c>
      <c r="AM49" s="52"/>
    </row>
    <row r="50" spans="1:39" s="23" customFormat="1">
      <c r="A50" s="24"/>
      <c r="B50" s="55"/>
      <c r="C50" s="32"/>
      <c r="D50" s="32"/>
      <c r="E50" s="25"/>
      <c r="F50" s="61" t="str">
        <f t="shared" ca="1" si="5"/>
        <v xml:space="preserve"> </v>
      </c>
      <c r="G50" s="62"/>
      <c r="H50" s="63" t="str">
        <f t="shared" ca="1" si="28"/>
        <v xml:space="preserve"> </v>
      </c>
      <c r="I50" s="36"/>
      <c r="J50" s="37"/>
      <c r="K50" s="38"/>
      <c r="L50" s="37"/>
      <c r="M50" s="38"/>
      <c r="N50" s="42"/>
      <c r="O50" s="38"/>
      <c r="P50" s="37"/>
      <c r="Q50" s="38"/>
      <c r="R50" s="37"/>
      <c r="S50" s="39"/>
      <c r="T50" s="40"/>
      <c r="U50" s="39"/>
      <c r="V50" s="40"/>
      <c r="W50" s="39"/>
      <c r="X50" s="40"/>
      <c r="Y50" s="39"/>
      <c r="Z50" s="40"/>
      <c r="AA50" s="39"/>
      <c r="AB50" s="40"/>
      <c r="AC50" s="39"/>
      <c r="AD50" s="40"/>
      <c r="AE50" s="39"/>
      <c r="AF50" s="42"/>
      <c r="AG50" s="41">
        <f t="shared" ca="1" si="10"/>
        <v>0</v>
      </c>
      <c r="AH50" s="42">
        <v>0</v>
      </c>
      <c r="AI50" s="43">
        <f t="shared" ca="1" si="11"/>
        <v>0</v>
      </c>
      <c r="AJ50" s="41">
        <f t="shared" si="12"/>
        <v>0</v>
      </c>
      <c r="AK50" s="46">
        <f t="shared" si="13"/>
        <v>0</v>
      </c>
      <c r="AL50" s="45">
        <f t="shared" ca="1" si="14"/>
        <v>0</v>
      </c>
      <c r="AM50" s="52"/>
    </row>
    <row r="51" spans="1:39" s="23" customFormat="1">
      <c r="A51" s="24"/>
      <c r="B51" s="55"/>
      <c r="C51" s="32"/>
      <c r="D51" s="32"/>
      <c r="E51" s="25"/>
      <c r="F51" s="61" t="str">
        <f t="shared" ca="1" si="5"/>
        <v xml:space="preserve"> </v>
      </c>
      <c r="G51" s="62"/>
      <c r="H51" s="63" t="str">
        <f t="shared" ca="1" si="28"/>
        <v xml:space="preserve"> </v>
      </c>
      <c r="I51" s="36"/>
      <c r="J51" s="37"/>
      <c r="K51" s="38"/>
      <c r="L51" s="37"/>
      <c r="M51" s="38"/>
      <c r="N51" s="42"/>
      <c r="O51" s="38"/>
      <c r="P51" s="37"/>
      <c r="Q51" s="38"/>
      <c r="R51" s="37"/>
      <c r="S51" s="39"/>
      <c r="T51" s="40"/>
      <c r="U51" s="39"/>
      <c r="V51" s="40"/>
      <c r="W51" s="39"/>
      <c r="X51" s="40"/>
      <c r="Y51" s="39"/>
      <c r="Z51" s="40"/>
      <c r="AA51" s="39"/>
      <c r="AB51" s="40"/>
      <c r="AC51" s="39"/>
      <c r="AD51" s="40"/>
      <c r="AE51" s="39"/>
      <c r="AF51" s="42"/>
      <c r="AG51" s="41">
        <f t="shared" ca="1" si="10"/>
        <v>0</v>
      </c>
      <c r="AH51" s="42">
        <v>0</v>
      </c>
      <c r="AI51" s="43">
        <f t="shared" ca="1" si="11"/>
        <v>0</v>
      </c>
      <c r="AJ51" s="41">
        <f t="shared" si="12"/>
        <v>0</v>
      </c>
      <c r="AK51" s="46">
        <f t="shared" si="13"/>
        <v>0</v>
      </c>
      <c r="AL51" s="45">
        <f t="shared" ca="1" si="14"/>
        <v>0</v>
      </c>
      <c r="AM51" s="52"/>
    </row>
    <row r="52" spans="1:39" s="23" customFormat="1">
      <c r="A52" s="24"/>
      <c r="B52" s="55"/>
      <c r="C52" s="32"/>
      <c r="D52" s="32"/>
      <c r="E52" s="25"/>
      <c r="F52" s="61" t="str">
        <f t="shared" ca="1" si="5"/>
        <v xml:space="preserve"> </v>
      </c>
      <c r="G52" s="62"/>
      <c r="H52" s="63" t="str">
        <f t="shared" ca="1" si="28"/>
        <v xml:space="preserve"> </v>
      </c>
      <c r="I52" s="36"/>
      <c r="J52" s="37"/>
      <c r="K52" s="38"/>
      <c r="L52" s="37"/>
      <c r="M52" s="38"/>
      <c r="N52" s="42"/>
      <c r="O52" s="38"/>
      <c r="P52" s="37"/>
      <c r="Q52" s="38"/>
      <c r="R52" s="37"/>
      <c r="S52" s="39"/>
      <c r="T52" s="40"/>
      <c r="U52" s="39"/>
      <c r="V52" s="40"/>
      <c r="W52" s="39"/>
      <c r="X52" s="40"/>
      <c r="Y52" s="39"/>
      <c r="Z52" s="40"/>
      <c r="AA52" s="39"/>
      <c r="AB52" s="40"/>
      <c r="AC52" s="39"/>
      <c r="AD52" s="40"/>
      <c r="AE52" s="39"/>
      <c r="AF52" s="42"/>
      <c r="AG52" s="41">
        <f t="shared" ca="1" si="10"/>
        <v>0</v>
      </c>
      <c r="AH52" s="42">
        <v>0</v>
      </c>
      <c r="AI52" s="43">
        <f t="shared" ca="1" si="11"/>
        <v>0</v>
      </c>
      <c r="AJ52" s="41">
        <f t="shared" si="12"/>
        <v>0</v>
      </c>
      <c r="AK52" s="46">
        <f t="shared" si="13"/>
        <v>0</v>
      </c>
      <c r="AL52" s="45">
        <f t="shared" ca="1" si="14"/>
        <v>0</v>
      </c>
      <c r="AM52" s="52"/>
    </row>
    <row r="53" spans="1:39" s="23" customFormat="1">
      <c r="A53" s="24"/>
      <c r="B53" s="55"/>
      <c r="C53" s="32"/>
      <c r="D53" s="32"/>
      <c r="E53" s="25"/>
      <c r="F53" s="61" t="str">
        <f t="shared" ref="F53" ca="1" si="29">IF(E53=0," ",(TODAY()-E53)/365)</f>
        <v xml:space="preserve"> </v>
      </c>
      <c r="G53" s="62"/>
      <c r="H53" s="63" t="str">
        <f t="shared" ref="H53" ca="1" si="30">IF(G53=0," ",(TODAY()-G53)/365)</f>
        <v xml:space="preserve"> </v>
      </c>
      <c r="I53" s="36"/>
      <c r="J53" s="37"/>
      <c r="K53" s="38"/>
      <c r="L53" s="37"/>
      <c r="M53" s="38"/>
      <c r="N53" s="42"/>
      <c r="O53" s="38"/>
      <c r="P53" s="37"/>
      <c r="Q53" s="38"/>
      <c r="R53" s="37"/>
      <c r="S53" s="39"/>
      <c r="T53" s="40"/>
      <c r="U53" s="39"/>
      <c r="V53" s="40"/>
      <c r="W53" s="39"/>
      <c r="X53" s="40"/>
      <c r="Y53" s="39"/>
      <c r="Z53" s="40"/>
      <c r="AA53" s="39"/>
      <c r="AB53" s="40"/>
      <c r="AC53" s="39"/>
      <c r="AD53" s="40"/>
      <c r="AE53" s="39"/>
      <c r="AF53" s="42"/>
      <c r="AG53" s="41">
        <f t="shared" ref="AG53" ca="1" si="31">AI53-AH53</f>
        <v>0</v>
      </c>
      <c r="AH53" s="42">
        <v>0</v>
      </c>
      <c r="AI53" s="43">
        <f t="shared" ref="AI53" ca="1" si="32">IF(AND(F53&lt;9.99,H53&lt;50),21,IF(AND(F53&lt;9.99,H53&gt;=50),30,IF(AND(F53&gt;=10,H53&lt;50),30,0)))</f>
        <v>0</v>
      </c>
      <c r="AJ53" s="41">
        <f t="shared" ref="AJ53" si="33">(I53+K53+M53+O53+Q53+S53+U53+W53+Y53+AA53+AC53+AE53)</f>
        <v>0</v>
      </c>
      <c r="AK53" s="46">
        <f t="shared" ref="AK53" si="34">(J53+L53+N53+P53+R53+T53+V53+X53+Z53+AB53+AD53+AF53)</f>
        <v>0</v>
      </c>
      <c r="AL53" s="45">
        <f t="shared" ref="AL53" ca="1" si="35">(AI53)-(AJ53+AK53)</f>
        <v>0</v>
      </c>
      <c r="AM53" s="52"/>
    </row>
    <row r="54" spans="1:39" s="23" customFormat="1">
      <c r="A54" s="24"/>
      <c r="B54" s="55"/>
      <c r="C54" s="32"/>
      <c r="D54" s="32"/>
      <c r="E54" s="25"/>
      <c r="F54" s="61" t="str">
        <f t="shared" ca="1" si="5"/>
        <v xml:space="preserve"> </v>
      </c>
      <c r="G54" s="62"/>
      <c r="H54" s="63" t="str">
        <f t="shared" ca="1" si="28"/>
        <v xml:space="preserve"> </v>
      </c>
      <c r="I54" s="36"/>
      <c r="J54" s="37"/>
      <c r="K54" s="38"/>
      <c r="L54" s="37"/>
      <c r="M54" s="38"/>
      <c r="N54" s="42"/>
      <c r="O54" s="38"/>
      <c r="P54" s="37"/>
      <c r="Q54" s="38"/>
      <c r="R54" s="37"/>
      <c r="S54" s="39"/>
      <c r="T54" s="40"/>
      <c r="U54" s="39"/>
      <c r="V54" s="40"/>
      <c r="W54" s="39"/>
      <c r="X54" s="40"/>
      <c r="Y54" s="39"/>
      <c r="Z54" s="40"/>
      <c r="AA54" s="39"/>
      <c r="AB54" s="40"/>
      <c r="AC54" s="39"/>
      <c r="AD54" s="40"/>
      <c r="AE54" s="39"/>
      <c r="AF54" s="42"/>
      <c r="AG54" s="41">
        <f t="shared" ca="1" si="10"/>
        <v>0</v>
      </c>
      <c r="AH54" s="42">
        <v>0</v>
      </c>
      <c r="AI54" s="43">
        <f t="shared" ca="1" si="11"/>
        <v>0</v>
      </c>
      <c r="AJ54" s="41">
        <f t="shared" si="12"/>
        <v>0</v>
      </c>
      <c r="AK54" s="46">
        <f t="shared" si="13"/>
        <v>0</v>
      </c>
      <c r="AL54" s="45">
        <f t="shared" ca="1" si="14"/>
        <v>0</v>
      </c>
      <c r="AM54" s="52"/>
    </row>
    <row r="55" spans="1:39" s="23" customFormat="1">
      <c r="A55" s="24"/>
      <c r="B55" s="55"/>
      <c r="C55" s="32"/>
      <c r="D55" s="32"/>
      <c r="E55" s="25"/>
      <c r="F55" s="61" t="str">
        <f t="shared" ca="1" si="5"/>
        <v xml:space="preserve"> </v>
      </c>
      <c r="G55" s="62"/>
      <c r="H55" s="63" t="str">
        <f t="shared" ca="1" si="6"/>
        <v xml:space="preserve"> </v>
      </c>
      <c r="I55" s="36"/>
      <c r="J55" s="37"/>
      <c r="K55" s="38"/>
      <c r="L55" s="37"/>
      <c r="M55" s="38"/>
      <c r="N55" s="42"/>
      <c r="O55" s="38"/>
      <c r="P55" s="37"/>
      <c r="Q55" s="38"/>
      <c r="R55" s="37"/>
      <c r="S55" s="39"/>
      <c r="T55" s="40"/>
      <c r="U55" s="39"/>
      <c r="V55" s="40"/>
      <c r="W55" s="39"/>
      <c r="X55" s="40"/>
      <c r="Y55" s="39"/>
      <c r="Z55" s="40"/>
      <c r="AA55" s="39"/>
      <c r="AB55" s="40"/>
      <c r="AC55" s="39"/>
      <c r="AD55" s="40"/>
      <c r="AE55" s="39"/>
      <c r="AF55" s="42"/>
      <c r="AG55" s="41">
        <f t="shared" ca="1" si="10"/>
        <v>0</v>
      </c>
      <c r="AH55" s="42">
        <v>0</v>
      </c>
      <c r="AI55" s="43">
        <f t="shared" ca="1" si="11"/>
        <v>0</v>
      </c>
      <c r="AJ55" s="41">
        <f t="shared" si="12"/>
        <v>0</v>
      </c>
      <c r="AK55" s="46">
        <f t="shared" si="13"/>
        <v>0</v>
      </c>
      <c r="AL55" s="45">
        <f t="shared" ca="1" si="14"/>
        <v>0</v>
      </c>
      <c r="AM55" s="52"/>
    </row>
    <row r="56" spans="1:39" s="23" customFormat="1">
      <c r="A56" s="24"/>
      <c r="B56" s="55"/>
      <c r="C56" s="32"/>
      <c r="D56" s="32"/>
      <c r="E56" s="25"/>
      <c r="F56" s="61" t="str">
        <f t="shared" ca="1" si="5"/>
        <v xml:space="preserve"> </v>
      </c>
      <c r="G56" s="62"/>
      <c r="H56" s="63" t="str">
        <f t="shared" ca="1" si="6"/>
        <v xml:space="preserve"> </v>
      </c>
      <c r="I56" s="36"/>
      <c r="J56" s="37"/>
      <c r="K56" s="38"/>
      <c r="L56" s="37"/>
      <c r="M56" s="38"/>
      <c r="N56" s="42"/>
      <c r="O56" s="38"/>
      <c r="P56" s="37"/>
      <c r="Q56" s="38"/>
      <c r="R56" s="37"/>
      <c r="S56" s="39"/>
      <c r="T56" s="40"/>
      <c r="U56" s="39"/>
      <c r="V56" s="40"/>
      <c r="W56" s="39"/>
      <c r="X56" s="40"/>
      <c r="Y56" s="39"/>
      <c r="Z56" s="40"/>
      <c r="AA56" s="39"/>
      <c r="AB56" s="40"/>
      <c r="AC56" s="39"/>
      <c r="AD56" s="40"/>
      <c r="AE56" s="39"/>
      <c r="AF56" s="42"/>
      <c r="AG56" s="41">
        <f t="shared" ca="1" si="10"/>
        <v>0</v>
      </c>
      <c r="AH56" s="42">
        <v>0</v>
      </c>
      <c r="AI56" s="43">
        <f t="shared" ca="1" si="11"/>
        <v>0</v>
      </c>
      <c r="AJ56" s="41">
        <f t="shared" si="12"/>
        <v>0</v>
      </c>
      <c r="AK56" s="46">
        <f t="shared" si="13"/>
        <v>0</v>
      </c>
      <c r="AL56" s="45">
        <f t="shared" ca="1" si="14"/>
        <v>0</v>
      </c>
      <c r="AM56" s="52"/>
    </row>
    <row r="57" spans="1:39" s="23" customFormat="1">
      <c r="A57" s="24"/>
      <c r="B57" s="55"/>
      <c r="C57" s="32"/>
      <c r="D57" s="32"/>
      <c r="E57" s="25"/>
      <c r="F57" s="61" t="str">
        <f t="shared" ca="1" si="5"/>
        <v xml:space="preserve"> </v>
      </c>
      <c r="G57" s="62"/>
      <c r="H57" s="63" t="str">
        <f t="shared" ca="1" si="6"/>
        <v xml:space="preserve"> </v>
      </c>
      <c r="I57" s="36"/>
      <c r="J57" s="37"/>
      <c r="K57" s="38"/>
      <c r="L57" s="37"/>
      <c r="M57" s="38"/>
      <c r="N57" s="42"/>
      <c r="O57" s="38"/>
      <c r="P57" s="37"/>
      <c r="Q57" s="38"/>
      <c r="R57" s="37"/>
      <c r="S57" s="39"/>
      <c r="T57" s="40"/>
      <c r="U57" s="39"/>
      <c r="V57" s="40"/>
      <c r="W57" s="39"/>
      <c r="X57" s="40"/>
      <c r="Y57" s="39"/>
      <c r="Z57" s="40"/>
      <c r="AA57" s="39"/>
      <c r="AB57" s="40"/>
      <c r="AC57" s="39"/>
      <c r="AD57" s="40"/>
      <c r="AE57" s="39"/>
      <c r="AF57" s="42"/>
      <c r="AG57" s="41">
        <f t="shared" ca="1" si="10"/>
        <v>0</v>
      </c>
      <c r="AH57" s="42">
        <v>0</v>
      </c>
      <c r="AI57" s="43">
        <f t="shared" ca="1" si="11"/>
        <v>0</v>
      </c>
      <c r="AJ57" s="41">
        <f t="shared" si="12"/>
        <v>0</v>
      </c>
      <c r="AK57" s="46">
        <f t="shared" si="13"/>
        <v>0</v>
      </c>
      <c r="AL57" s="45">
        <f t="shared" ca="1" si="14"/>
        <v>0</v>
      </c>
      <c r="AM57" s="52"/>
    </row>
    <row r="58" spans="1:39" s="23" customFormat="1">
      <c r="A58" s="24"/>
      <c r="B58" s="55"/>
      <c r="C58" s="32"/>
      <c r="D58" s="32"/>
      <c r="E58" s="25"/>
      <c r="F58" s="61" t="str">
        <f t="shared" ca="1" si="5"/>
        <v xml:space="preserve"> </v>
      </c>
      <c r="G58" s="62"/>
      <c r="H58" s="63" t="str">
        <f t="shared" ca="1" si="6"/>
        <v xml:space="preserve"> </v>
      </c>
      <c r="I58" s="36"/>
      <c r="J58" s="37"/>
      <c r="K58" s="38"/>
      <c r="L58" s="37"/>
      <c r="M58" s="38"/>
      <c r="N58" s="42"/>
      <c r="O58" s="38"/>
      <c r="P58" s="37"/>
      <c r="Q58" s="38"/>
      <c r="R58" s="37"/>
      <c r="S58" s="39"/>
      <c r="T58" s="40"/>
      <c r="U58" s="39"/>
      <c r="V58" s="40"/>
      <c r="W58" s="39"/>
      <c r="X58" s="40"/>
      <c r="Y58" s="39"/>
      <c r="Z58" s="40"/>
      <c r="AA58" s="39"/>
      <c r="AB58" s="40"/>
      <c r="AC58" s="39"/>
      <c r="AD58" s="40"/>
      <c r="AE58" s="39"/>
      <c r="AF58" s="42"/>
      <c r="AG58" s="41">
        <f t="shared" ca="1" si="10"/>
        <v>0</v>
      </c>
      <c r="AH58" s="42">
        <v>0</v>
      </c>
      <c r="AI58" s="43">
        <f t="shared" ca="1" si="11"/>
        <v>0</v>
      </c>
      <c r="AJ58" s="41">
        <f t="shared" si="12"/>
        <v>0</v>
      </c>
      <c r="AK58" s="46">
        <f t="shared" si="13"/>
        <v>0</v>
      </c>
      <c r="AL58" s="45">
        <f t="shared" ca="1" si="14"/>
        <v>0</v>
      </c>
      <c r="AM58" s="52"/>
    </row>
    <row r="59" spans="1:39" s="23" customFormat="1">
      <c r="A59" s="24"/>
      <c r="B59" s="55"/>
      <c r="C59" s="32"/>
      <c r="D59" s="32"/>
      <c r="E59" s="25"/>
      <c r="F59" s="61" t="str">
        <f t="shared" ca="1" si="5"/>
        <v xml:space="preserve"> </v>
      </c>
      <c r="G59" s="62"/>
      <c r="H59" s="63" t="str">
        <f t="shared" ca="1" si="6"/>
        <v xml:space="preserve"> </v>
      </c>
      <c r="I59" s="36"/>
      <c r="J59" s="37"/>
      <c r="K59" s="38"/>
      <c r="L59" s="37"/>
      <c r="M59" s="38"/>
      <c r="N59" s="42"/>
      <c r="O59" s="38"/>
      <c r="P59" s="37"/>
      <c r="Q59" s="38"/>
      <c r="R59" s="37"/>
      <c r="S59" s="39"/>
      <c r="T59" s="40"/>
      <c r="U59" s="39"/>
      <c r="V59" s="40"/>
      <c r="W59" s="39"/>
      <c r="X59" s="40"/>
      <c r="Y59" s="39"/>
      <c r="Z59" s="40"/>
      <c r="AA59" s="39"/>
      <c r="AB59" s="40"/>
      <c r="AC59" s="39"/>
      <c r="AD59" s="40"/>
      <c r="AE59" s="39"/>
      <c r="AF59" s="42"/>
      <c r="AG59" s="41">
        <f t="shared" ca="1" si="10"/>
        <v>0</v>
      </c>
      <c r="AH59" s="42">
        <v>0</v>
      </c>
      <c r="AI59" s="43">
        <f t="shared" ca="1" si="11"/>
        <v>0</v>
      </c>
      <c r="AJ59" s="41">
        <f t="shared" si="12"/>
        <v>0</v>
      </c>
      <c r="AK59" s="46">
        <f t="shared" si="13"/>
        <v>0</v>
      </c>
      <c r="AL59" s="45">
        <f t="shared" ca="1" si="14"/>
        <v>0</v>
      </c>
      <c r="AM59" s="52"/>
    </row>
    <row r="60" spans="1:39" s="23" customFormat="1">
      <c r="A60" s="24"/>
      <c r="B60" s="55"/>
      <c r="C60" s="32"/>
      <c r="D60" s="32"/>
      <c r="E60" s="25"/>
      <c r="F60" s="61" t="str">
        <f t="shared" ca="1" si="5"/>
        <v xml:space="preserve"> </v>
      </c>
      <c r="G60" s="62"/>
      <c r="H60" s="63" t="str">
        <f t="shared" ca="1" si="6"/>
        <v xml:space="preserve"> </v>
      </c>
      <c r="I60" s="36"/>
      <c r="J60" s="37"/>
      <c r="K60" s="38"/>
      <c r="L60" s="37"/>
      <c r="M60" s="38"/>
      <c r="N60" s="42"/>
      <c r="O60" s="38"/>
      <c r="P60" s="37"/>
      <c r="Q60" s="38"/>
      <c r="R60" s="37"/>
      <c r="S60" s="39"/>
      <c r="T60" s="40"/>
      <c r="U60" s="39"/>
      <c r="V60" s="40"/>
      <c r="W60" s="39"/>
      <c r="X60" s="40"/>
      <c r="Y60" s="39"/>
      <c r="Z60" s="40"/>
      <c r="AA60" s="39"/>
      <c r="AB60" s="40"/>
      <c r="AC60" s="39"/>
      <c r="AD60" s="40"/>
      <c r="AE60" s="39"/>
      <c r="AF60" s="42"/>
      <c r="AG60" s="41">
        <f t="shared" ca="1" si="10"/>
        <v>0</v>
      </c>
      <c r="AH60" s="42">
        <v>0</v>
      </c>
      <c r="AI60" s="43">
        <f t="shared" ca="1" si="11"/>
        <v>0</v>
      </c>
      <c r="AJ60" s="41">
        <f t="shared" si="12"/>
        <v>0</v>
      </c>
      <c r="AK60" s="46">
        <f t="shared" si="13"/>
        <v>0</v>
      </c>
      <c r="AL60" s="45">
        <f t="shared" ca="1" si="14"/>
        <v>0</v>
      </c>
      <c r="AM60" s="52"/>
    </row>
    <row r="61" spans="1:39" s="23" customFormat="1">
      <c r="A61" s="24"/>
      <c r="B61" s="55"/>
      <c r="C61" s="32"/>
      <c r="D61" s="32"/>
      <c r="E61" s="25"/>
      <c r="F61" s="61" t="str">
        <f t="shared" ref="F61" ca="1" si="36">IF(E61=0," ",(TODAY()-E61)/365)</f>
        <v xml:space="preserve"> </v>
      </c>
      <c r="G61" s="62"/>
      <c r="H61" s="63" t="str">
        <f t="shared" ref="H61" ca="1" si="37">IF(G61=0," ",(TODAY()-G61)/365)</f>
        <v xml:space="preserve"> </v>
      </c>
      <c r="I61" s="36"/>
      <c r="J61" s="37"/>
      <c r="K61" s="38"/>
      <c r="L61" s="37"/>
      <c r="M61" s="38"/>
      <c r="N61" s="42"/>
      <c r="O61" s="38"/>
      <c r="P61" s="37"/>
      <c r="Q61" s="38"/>
      <c r="R61" s="37"/>
      <c r="S61" s="39"/>
      <c r="T61" s="40"/>
      <c r="U61" s="39"/>
      <c r="V61" s="40"/>
      <c r="W61" s="39"/>
      <c r="X61" s="40"/>
      <c r="Y61" s="39"/>
      <c r="Z61" s="40"/>
      <c r="AA61" s="39"/>
      <c r="AB61" s="40"/>
      <c r="AC61" s="39"/>
      <c r="AD61" s="40"/>
      <c r="AE61" s="39"/>
      <c r="AF61" s="42"/>
      <c r="AG61" s="41">
        <f t="shared" ref="AG61" ca="1" si="38">AI61-AH61</f>
        <v>0</v>
      </c>
      <c r="AH61" s="42">
        <v>0</v>
      </c>
      <c r="AI61" s="43">
        <f t="shared" ref="AI61" ca="1" si="39">IF(AND(F61&lt;9.99,H61&lt;50),21,IF(AND(F61&lt;9.99,H61&gt;=50),30,IF(AND(F61&gt;=10,H61&lt;50),30,0)))</f>
        <v>0</v>
      </c>
      <c r="AJ61" s="41">
        <f t="shared" ref="AJ61" si="40">(I61+K61+M61+O61+Q61+S61+U61+W61+Y61+AA61+AC61+AE61)</f>
        <v>0</v>
      </c>
      <c r="AK61" s="46">
        <f t="shared" ref="AK61" si="41">(J61+L61+N61+P61+R61+T61+V61+X61+Z61+AB61+AD61+AF61)</f>
        <v>0</v>
      </c>
      <c r="AL61" s="45">
        <f t="shared" ref="AL61" ca="1" si="42">(AI61)-(AJ61+AK61)</f>
        <v>0</v>
      </c>
      <c r="AM61" s="52"/>
    </row>
    <row r="62" spans="1:39" s="23" customFormat="1">
      <c r="A62" s="24"/>
      <c r="B62" s="55"/>
      <c r="C62" s="32"/>
      <c r="D62" s="32"/>
      <c r="E62" s="25"/>
      <c r="F62" s="61" t="str">
        <f t="shared" ca="1" si="5"/>
        <v xml:space="preserve"> </v>
      </c>
      <c r="G62" s="62"/>
      <c r="H62" s="63" t="str">
        <f t="shared" ca="1" si="6"/>
        <v xml:space="preserve"> </v>
      </c>
      <c r="I62" s="36"/>
      <c r="J62" s="37"/>
      <c r="K62" s="38"/>
      <c r="L62" s="37"/>
      <c r="M62" s="38"/>
      <c r="N62" s="42"/>
      <c r="O62" s="38"/>
      <c r="P62" s="37"/>
      <c r="Q62" s="38"/>
      <c r="R62" s="37"/>
      <c r="S62" s="39"/>
      <c r="T62" s="40"/>
      <c r="U62" s="39"/>
      <c r="V62" s="40"/>
      <c r="W62" s="39"/>
      <c r="X62" s="40"/>
      <c r="Y62" s="39"/>
      <c r="Z62" s="40"/>
      <c r="AA62" s="39"/>
      <c r="AB62" s="40"/>
      <c r="AC62" s="39"/>
      <c r="AD62" s="40"/>
      <c r="AE62" s="39"/>
      <c r="AF62" s="42"/>
      <c r="AG62" s="41">
        <f t="shared" ca="1" si="10"/>
        <v>0</v>
      </c>
      <c r="AH62" s="42">
        <v>0</v>
      </c>
      <c r="AI62" s="43">
        <f t="shared" ca="1" si="11"/>
        <v>0</v>
      </c>
      <c r="AJ62" s="41">
        <f t="shared" si="12"/>
        <v>0</v>
      </c>
      <c r="AK62" s="46">
        <f t="shared" si="13"/>
        <v>0</v>
      </c>
      <c r="AL62" s="45">
        <f t="shared" ca="1" si="14"/>
        <v>0</v>
      </c>
      <c r="AM62" s="52"/>
    </row>
    <row r="63" spans="1:39" s="23" customFormat="1">
      <c r="A63" s="24"/>
      <c r="B63" s="55"/>
      <c r="C63" s="32"/>
      <c r="D63" s="32"/>
      <c r="E63" s="25"/>
      <c r="F63" s="61" t="str">
        <f t="shared" ca="1" si="5"/>
        <v xml:space="preserve"> </v>
      </c>
      <c r="G63" s="62"/>
      <c r="H63" s="63" t="str">
        <f t="shared" ca="1" si="6"/>
        <v xml:space="preserve"> </v>
      </c>
      <c r="I63" s="36"/>
      <c r="J63" s="37"/>
      <c r="K63" s="38"/>
      <c r="L63" s="37"/>
      <c r="M63" s="38"/>
      <c r="N63" s="42"/>
      <c r="O63" s="38"/>
      <c r="P63" s="37"/>
      <c r="Q63" s="38"/>
      <c r="R63" s="37"/>
      <c r="S63" s="39"/>
      <c r="T63" s="40"/>
      <c r="U63" s="39"/>
      <c r="V63" s="40"/>
      <c r="W63" s="39"/>
      <c r="X63" s="40"/>
      <c r="Y63" s="39"/>
      <c r="Z63" s="40"/>
      <c r="AA63" s="39"/>
      <c r="AB63" s="40"/>
      <c r="AC63" s="39"/>
      <c r="AD63" s="40"/>
      <c r="AE63" s="39"/>
      <c r="AF63" s="42"/>
      <c r="AG63" s="41">
        <f t="shared" ca="1" si="10"/>
        <v>0</v>
      </c>
      <c r="AH63" s="42">
        <v>0</v>
      </c>
      <c r="AI63" s="43">
        <f t="shared" ca="1" si="11"/>
        <v>0</v>
      </c>
      <c r="AJ63" s="41">
        <f t="shared" si="12"/>
        <v>0</v>
      </c>
      <c r="AK63" s="46">
        <f t="shared" si="13"/>
        <v>0</v>
      </c>
      <c r="AL63" s="45">
        <f t="shared" ca="1" si="14"/>
        <v>0</v>
      </c>
      <c r="AM63" s="52"/>
    </row>
    <row r="64" spans="1:39" s="23" customFormat="1">
      <c r="A64" s="24"/>
      <c r="B64" s="55"/>
      <c r="C64" s="32"/>
      <c r="D64" s="32"/>
      <c r="E64" s="25"/>
      <c r="F64" s="61" t="str">
        <f t="shared" ca="1" si="5"/>
        <v xml:space="preserve"> </v>
      </c>
      <c r="G64" s="62"/>
      <c r="H64" s="63" t="str">
        <f t="shared" ca="1" si="6"/>
        <v xml:space="preserve"> </v>
      </c>
      <c r="I64" s="36"/>
      <c r="J64" s="37"/>
      <c r="K64" s="38"/>
      <c r="L64" s="37"/>
      <c r="M64" s="38"/>
      <c r="N64" s="42"/>
      <c r="O64" s="38"/>
      <c r="P64" s="37"/>
      <c r="Q64" s="38"/>
      <c r="R64" s="37"/>
      <c r="S64" s="39"/>
      <c r="T64" s="40"/>
      <c r="U64" s="39"/>
      <c r="V64" s="40"/>
      <c r="W64" s="39"/>
      <c r="X64" s="40"/>
      <c r="Y64" s="39"/>
      <c r="Z64" s="40"/>
      <c r="AA64" s="39"/>
      <c r="AB64" s="40"/>
      <c r="AC64" s="39"/>
      <c r="AD64" s="40"/>
      <c r="AE64" s="39"/>
      <c r="AF64" s="42"/>
      <c r="AG64" s="41">
        <f t="shared" ca="1" si="10"/>
        <v>0</v>
      </c>
      <c r="AH64" s="42">
        <v>0</v>
      </c>
      <c r="AI64" s="43">
        <f t="shared" ca="1" si="11"/>
        <v>0</v>
      </c>
      <c r="AJ64" s="41">
        <f t="shared" si="12"/>
        <v>0</v>
      </c>
      <c r="AK64" s="46">
        <f t="shared" si="13"/>
        <v>0</v>
      </c>
      <c r="AL64" s="45">
        <f t="shared" ca="1" si="14"/>
        <v>0</v>
      </c>
      <c r="AM64" s="52"/>
    </row>
    <row r="65" spans="1:39" s="23" customFormat="1">
      <c r="A65" s="24"/>
      <c r="B65" s="55"/>
      <c r="C65" s="32"/>
      <c r="D65" s="32"/>
      <c r="E65" s="25"/>
      <c r="F65" s="61" t="str">
        <f t="shared" ca="1" si="5"/>
        <v xml:space="preserve"> </v>
      </c>
      <c r="G65" s="62"/>
      <c r="H65" s="63" t="str">
        <f t="shared" ca="1" si="6"/>
        <v xml:space="preserve"> </v>
      </c>
      <c r="I65" s="36"/>
      <c r="J65" s="37"/>
      <c r="K65" s="38"/>
      <c r="L65" s="37"/>
      <c r="M65" s="38"/>
      <c r="N65" s="42"/>
      <c r="O65" s="38"/>
      <c r="P65" s="37"/>
      <c r="Q65" s="38"/>
      <c r="R65" s="37"/>
      <c r="S65" s="39"/>
      <c r="T65" s="40"/>
      <c r="U65" s="39"/>
      <c r="V65" s="40"/>
      <c r="W65" s="39"/>
      <c r="X65" s="40"/>
      <c r="Y65" s="39"/>
      <c r="Z65" s="40"/>
      <c r="AA65" s="39"/>
      <c r="AB65" s="40"/>
      <c r="AC65" s="39"/>
      <c r="AD65" s="40"/>
      <c r="AE65" s="39"/>
      <c r="AF65" s="42"/>
      <c r="AG65" s="41">
        <f t="shared" ca="1" si="10"/>
        <v>0</v>
      </c>
      <c r="AH65" s="42">
        <v>0</v>
      </c>
      <c r="AI65" s="43">
        <f t="shared" ca="1" si="11"/>
        <v>0</v>
      </c>
      <c r="AJ65" s="41">
        <f t="shared" si="12"/>
        <v>0</v>
      </c>
      <c r="AK65" s="46">
        <f t="shared" si="13"/>
        <v>0</v>
      </c>
      <c r="AL65" s="45">
        <f t="shared" ca="1" si="14"/>
        <v>0</v>
      </c>
      <c r="AM65" s="52"/>
    </row>
    <row r="66" spans="1:39" s="23" customFormat="1">
      <c r="A66" s="24"/>
      <c r="B66" s="55"/>
      <c r="C66" s="32"/>
      <c r="D66" s="32"/>
      <c r="E66" s="25"/>
      <c r="F66" s="61" t="str">
        <f t="shared" ca="1" si="5"/>
        <v xml:space="preserve"> </v>
      </c>
      <c r="G66" s="62"/>
      <c r="H66" s="63" t="str">
        <f t="shared" ca="1" si="6"/>
        <v xml:space="preserve"> </v>
      </c>
      <c r="I66" s="36"/>
      <c r="J66" s="37"/>
      <c r="K66" s="38"/>
      <c r="L66" s="37"/>
      <c r="M66" s="38"/>
      <c r="N66" s="42"/>
      <c r="O66" s="38"/>
      <c r="P66" s="37"/>
      <c r="Q66" s="38"/>
      <c r="R66" s="37"/>
      <c r="S66" s="39"/>
      <c r="T66" s="40"/>
      <c r="U66" s="39"/>
      <c r="V66" s="40"/>
      <c r="W66" s="39"/>
      <c r="X66" s="40"/>
      <c r="Y66" s="39"/>
      <c r="Z66" s="40"/>
      <c r="AA66" s="39"/>
      <c r="AB66" s="40"/>
      <c r="AC66" s="39"/>
      <c r="AD66" s="40"/>
      <c r="AE66" s="39"/>
      <c r="AF66" s="42"/>
      <c r="AG66" s="41">
        <f t="shared" ca="1" si="10"/>
        <v>0</v>
      </c>
      <c r="AH66" s="42">
        <v>0</v>
      </c>
      <c r="AI66" s="43">
        <f t="shared" ca="1" si="11"/>
        <v>0</v>
      </c>
      <c r="AJ66" s="41">
        <f t="shared" si="12"/>
        <v>0</v>
      </c>
      <c r="AK66" s="46">
        <f t="shared" si="13"/>
        <v>0</v>
      </c>
      <c r="AL66" s="45">
        <f t="shared" ca="1" si="14"/>
        <v>0</v>
      </c>
      <c r="AM66" s="52"/>
    </row>
    <row r="67" spans="1:39" s="23" customFormat="1">
      <c r="A67" s="24"/>
      <c r="B67" s="55"/>
      <c r="C67" s="32"/>
      <c r="D67" s="32"/>
      <c r="E67" s="25"/>
      <c r="F67" s="61" t="str">
        <f t="shared" ca="1" si="5"/>
        <v xml:space="preserve"> </v>
      </c>
      <c r="G67" s="62"/>
      <c r="H67" s="63" t="str">
        <f t="shared" ca="1" si="6"/>
        <v xml:space="preserve"> </v>
      </c>
      <c r="I67" s="36"/>
      <c r="J67" s="37"/>
      <c r="K67" s="38"/>
      <c r="L67" s="37"/>
      <c r="M67" s="38"/>
      <c r="N67" s="42"/>
      <c r="O67" s="38"/>
      <c r="P67" s="37"/>
      <c r="Q67" s="38"/>
      <c r="R67" s="37"/>
      <c r="S67" s="39"/>
      <c r="T67" s="40"/>
      <c r="U67" s="39"/>
      <c r="V67" s="40"/>
      <c r="W67" s="39"/>
      <c r="X67" s="40"/>
      <c r="Y67" s="39"/>
      <c r="Z67" s="40"/>
      <c r="AA67" s="39"/>
      <c r="AB67" s="40"/>
      <c r="AC67" s="39"/>
      <c r="AD67" s="40"/>
      <c r="AE67" s="39"/>
      <c r="AF67" s="42"/>
      <c r="AG67" s="41">
        <f t="shared" ca="1" si="10"/>
        <v>0</v>
      </c>
      <c r="AH67" s="42">
        <v>0</v>
      </c>
      <c r="AI67" s="43">
        <f t="shared" ca="1" si="11"/>
        <v>0</v>
      </c>
      <c r="AJ67" s="41">
        <f t="shared" si="12"/>
        <v>0</v>
      </c>
      <c r="AK67" s="46">
        <f t="shared" si="13"/>
        <v>0</v>
      </c>
      <c r="AL67" s="45">
        <f t="shared" ca="1" si="14"/>
        <v>0</v>
      </c>
      <c r="AM67" s="52"/>
    </row>
    <row r="68" spans="1:39" s="23" customFormat="1">
      <c r="A68" s="24"/>
      <c r="B68" s="55"/>
      <c r="C68" s="32"/>
      <c r="D68" s="32"/>
      <c r="E68" s="25"/>
      <c r="F68" s="61" t="str">
        <f t="shared" ca="1" si="5"/>
        <v xml:space="preserve"> </v>
      </c>
      <c r="G68" s="62"/>
      <c r="H68" s="63" t="str">
        <f t="shared" ca="1" si="6"/>
        <v xml:space="preserve"> </v>
      </c>
      <c r="I68" s="36"/>
      <c r="J68" s="37"/>
      <c r="K68" s="38"/>
      <c r="L68" s="37"/>
      <c r="M68" s="38"/>
      <c r="N68" s="42"/>
      <c r="O68" s="38"/>
      <c r="P68" s="37"/>
      <c r="Q68" s="38"/>
      <c r="R68" s="37"/>
      <c r="S68" s="39"/>
      <c r="T68" s="40"/>
      <c r="U68" s="39"/>
      <c r="V68" s="40"/>
      <c r="W68" s="39"/>
      <c r="X68" s="40"/>
      <c r="Y68" s="39"/>
      <c r="Z68" s="40"/>
      <c r="AA68" s="39"/>
      <c r="AB68" s="40"/>
      <c r="AC68" s="39"/>
      <c r="AD68" s="40"/>
      <c r="AE68" s="39"/>
      <c r="AF68" s="42"/>
      <c r="AG68" s="41">
        <f t="shared" ca="1" si="10"/>
        <v>0</v>
      </c>
      <c r="AH68" s="42">
        <v>0</v>
      </c>
      <c r="AI68" s="43">
        <f t="shared" ca="1" si="11"/>
        <v>0</v>
      </c>
      <c r="AJ68" s="41">
        <f t="shared" si="12"/>
        <v>0</v>
      </c>
      <c r="AK68" s="46">
        <f t="shared" si="13"/>
        <v>0</v>
      </c>
      <c r="AL68" s="45">
        <f t="shared" ca="1" si="14"/>
        <v>0</v>
      </c>
      <c r="AM68" s="52"/>
    </row>
    <row r="69" spans="1:39" s="23" customFormat="1">
      <c r="A69" s="24"/>
      <c r="B69" s="55"/>
      <c r="C69" s="32"/>
      <c r="D69" s="32"/>
      <c r="E69" s="25"/>
      <c r="F69" s="61" t="str">
        <f t="shared" ca="1" si="5"/>
        <v xml:space="preserve"> </v>
      </c>
      <c r="G69" s="62"/>
      <c r="H69" s="63" t="str">
        <f t="shared" ca="1" si="6"/>
        <v xml:space="preserve"> </v>
      </c>
      <c r="I69" s="36"/>
      <c r="J69" s="37"/>
      <c r="K69" s="38"/>
      <c r="L69" s="37"/>
      <c r="M69" s="38"/>
      <c r="N69" s="42"/>
      <c r="O69" s="38"/>
      <c r="P69" s="37"/>
      <c r="Q69" s="38"/>
      <c r="R69" s="37"/>
      <c r="S69" s="39"/>
      <c r="T69" s="40"/>
      <c r="U69" s="39"/>
      <c r="V69" s="40"/>
      <c r="W69" s="39"/>
      <c r="X69" s="40"/>
      <c r="Y69" s="39"/>
      <c r="Z69" s="40"/>
      <c r="AA69" s="39"/>
      <c r="AB69" s="40"/>
      <c r="AC69" s="39"/>
      <c r="AD69" s="40"/>
      <c r="AE69" s="39"/>
      <c r="AF69" s="42"/>
      <c r="AG69" s="41">
        <f t="shared" ca="1" si="10"/>
        <v>0</v>
      </c>
      <c r="AH69" s="42">
        <v>0</v>
      </c>
      <c r="AI69" s="43">
        <f t="shared" ca="1" si="11"/>
        <v>0</v>
      </c>
      <c r="AJ69" s="41">
        <f t="shared" si="12"/>
        <v>0</v>
      </c>
      <c r="AK69" s="46">
        <f t="shared" si="13"/>
        <v>0</v>
      </c>
      <c r="AL69" s="45">
        <f t="shared" ca="1" si="14"/>
        <v>0</v>
      </c>
      <c r="AM69" s="52"/>
    </row>
    <row r="70" spans="1:39" s="23" customFormat="1">
      <c r="A70" s="24"/>
      <c r="B70" s="55"/>
      <c r="C70" s="32"/>
      <c r="D70" s="32"/>
      <c r="E70" s="25"/>
      <c r="F70" s="61" t="str">
        <f t="shared" ca="1" si="5"/>
        <v xml:space="preserve"> </v>
      </c>
      <c r="G70" s="62"/>
      <c r="H70" s="63" t="str">
        <f t="shared" ca="1" si="6"/>
        <v xml:space="preserve"> </v>
      </c>
      <c r="I70" s="36"/>
      <c r="J70" s="37"/>
      <c r="K70" s="38"/>
      <c r="L70" s="37"/>
      <c r="M70" s="38"/>
      <c r="N70" s="42"/>
      <c r="O70" s="38"/>
      <c r="P70" s="37"/>
      <c r="Q70" s="38"/>
      <c r="R70" s="37"/>
      <c r="S70" s="39"/>
      <c r="T70" s="40"/>
      <c r="U70" s="39"/>
      <c r="V70" s="40"/>
      <c r="W70" s="39"/>
      <c r="X70" s="40"/>
      <c r="Y70" s="39"/>
      <c r="Z70" s="40"/>
      <c r="AA70" s="39"/>
      <c r="AB70" s="40"/>
      <c r="AC70" s="39"/>
      <c r="AD70" s="40"/>
      <c r="AE70" s="39"/>
      <c r="AF70" s="42"/>
      <c r="AG70" s="41">
        <f t="shared" ca="1" si="10"/>
        <v>0</v>
      </c>
      <c r="AH70" s="42">
        <v>0</v>
      </c>
      <c r="AI70" s="43">
        <f t="shared" ca="1" si="11"/>
        <v>0</v>
      </c>
      <c r="AJ70" s="41">
        <f t="shared" si="12"/>
        <v>0</v>
      </c>
      <c r="AK70" s="46">
        <f t="shared" si="13"/>
        <v>0</v>
      </c>
      <c r="AL70" s="45">
        <f t="shared" ca="1" si="14"/>
        <v>0</v>
      </c>
      <c r="AM70" s="52"/>
    </row>
    <row r="71" spans="1:39" s="23" customFormat="1">
      <c r="A71" s="24"/>
      <c r="B71" s="55"/>
      <c r="C71" s="32"/>
      <c r="D71" s="32"/>
      <c r="E71" s="25"/>
      <c r="F71" s="61" t="str">
        <f t="shared" ca="1" si="5"/>
        <v xml:space="preserve"> </v>
      </c>
      <c r="G71" s="62"/>
      <c r="H71" s="63" t="str">
        <f t="shared" ca="1" si="6"/>
        <v xml:space="preserve"> </v>
      </c>
      <c r="I71" s="36"/>
      <c r="J71" s="37"/>
      <c r="K71" s="38"/>
      <c r="L71" s="37"/>
      <c r="M71" s="38"/>
      <c r="N71" s="42"/>
      <c r="O71" s="38"/>
      <c r="P71" s="37"/>
      <c r="Q71" s="38"/>
      <c r="R71" s="37"/>
      <c r="S71" s="39"/>
      <c r="T71" s="40"/>
      <c r="U71" s="39"/>
      <c r="V71" s="40"/>
      <c r="W71" s="39"/>
      <c r="X71" s="40"/>
      <c r="Y71" s="39"/>
      <c r="Z71" s="40"/>
      <c r="AA71" s="39"/>
      <c r="AB71" s="40"/>
      <c r="AC71" s="39"/>
      <c r="AD71" s="40"/>
      <c r="AE71" s="39"/>
      <c r="AF71" s="42"/>
      <c r="AG71" s="41">
        <f t="shared" ca="1" si="10"/>
        <v>0</v>
      </c>
      <c r="AH71" s="42">
        <v>0</v>
      </c>
      <c r="AI71" s="43">
        <f t="shared" ca="1" si="11"/>
        <v>0</v>
      </c>
      <c r="AJ71" s="41">
        <f t="shared" si="12"/>
        <v>0</v>
      </c>
      <c r="AK71" s="46">
        <f t="shared" si="13"/>
        <v>0</v>
      </c>
      <c r="AL71" s="45">
        <f t="shared" ca="1" si="14"/>
        <v>0</v>
      </c>
      <c r="AM71" s="52"/>
    </row>
    <row r="72" spans="1:39" s="23" customFormat="1">
      <c r="A72" s="24"/>
      <c r="B72" s="55"/>
      <c r="C72" s="32"/>
      <c r="D72" s="32"/>
      <c r="E72" s="25"/>
      <c r="F72" s="61" t="str">
        <f t="shared" ca="1" si="5"/>
        <v xml:space="preserve"> </v>
      </c>
      <c r="G72" s="62"/>
      <c r="H72" s="63" t="str">
        <f t="shared" ca="1" si="6"/>
        <v xml:space="preserve"> </v>
      </c>
      <c r="I72" s="36"/>
      <c r="J72" s="37"/>
      <c r="K72" s="38"/>
      <c r="L72" s="37"/>
      <c r="M72" s="38"/>
      <c r="N72" s="42"/>
      <c r="O72" s="38"/>
      <c r="P72" s="37"/>
      <c r="Q72" s="38"/>
      <c r="R72" s="37"/>
      <c r="S72" s="39"/>
      <c r="T72" s="40"/>
      <c r="U72" s="39"/>
      <c r="V72" s="40"/>
      <c r="W72" s="39"/>
      <c r="X72" s="40"/>
      <c r="Y72" s="39"/>
      <c r="Z72" s="40"/>
      <c r="AA72" s="39"/>
      <c r="AB72" s="40"/>
      <c r="AC72" s="39"/>
      <c r="AD72" s="40"/>
      <c r="AE72" s="39"/>
      <c r="AF72" s="42"/>
      <c r="AG72" s="41">
        <f t="shared" ca="1" si="10"/>
        <v>0</v>
      </c>
      <c r="AH72" s="42">
        <v>0</v>
      </c>
      <c r="AI72" s="43">
        <f t="shared" ca="1" si="11"/>
        <v>0</v>
      </c>
      <c r="AJ72" s="41">
        <f t="shared" si="12"/>
        <v>0</v>
      </c>
      <c r="AK72" s="46">
        <f t="shared" si="13"/>
        <v>0</v>
      </c>
      <c r="AL72" s="45">
        <f t="shared" ca="1" si="14"/>
        <v>0</v>
      </c>
      <c r="AM72" s="52"/>
    </row>
    <row r="73" spans="1:39" s="23" customFormat="1">
      <c r="A73" s="24"/>
      <c r="B73" s="55"/>
      <c r="C73" s="32"/>
      <c r="D73" s="32"/>
      <c r="E73" s="25"/>
      <c r="F73" s="61" t="str">
        <f t="shared" ref="F73" ca="1" si="43">IF(E73=0," ",(TODAY()-E73)/365)</f>
        <v xml:space="preserve"> </v>
      </c>
      <c r="G73" s="62"/>
      <c r="H73" s="63" t="str">
        <f t="shared" ref="H73" ca="1" si="44">IF(G73=0," ",(TODAY()-G73)/365)</f>
        <v xml:space="preserve"> </v>
      </c>
      <c r="I73" s="36"/>
      <c r="J73" s="37"/>
      <c r="K73" s="38"/>
      <c r="L73" s="37"/>
      <c r="M73" s="38"/>
      <c r="N73" s="42"/>
      <c r="O73" s="38"/>
      <c r="P73" s="37"/>
      <c r="Q73" s="38"/>
      <c r="R73" s="37"/>
      <c r="S73" s="39"/>
      <c r="T73" s="40"/>
      <c r="U73" s="39"/>
      <c r="V73" s="40"/>
      <c r="W73" s="39"/>
      <c r="X73" s="40"/>
      <c r="Y73" s="39"/>
      <c r="Z73" s="40"/>
      <c r="AA73" s="39"/>
      <c r="AB73" s="40"/>
      <c r="AC73" s="39"/>
      <c r="AD73" s="40"/>
      <c r="AE73" s="39"/>
      <c r="AF73" s="42"/>
      <c r="AG73" s="41">
        <f t="shared" ca="1" si="10"/>
        <v>0</v>
      </c>
      <c r="AH73" s="42">
        <v>0</v>
      </c>
      <c r="AI73" s="43">
        <f t="shared" ca="1" si="11"/>
        <v>0</v>
      </c>
      <c r="AJ73" s="41">
        <f t="shared" si="12"/>
        <v>0</v>
      </c>
      <c r="AK73" s="46">
        <f t="shared" si="13"/>
        <v>0</v>
      </c>
      <c r="AL73" s="45">
        <f t="shared" ca="1" si="14"/>
        <v>0</v>
      </c>
      <c r="AM73" s="52"/>
    </row>
    <row r="74" spans="1:39" s="23" customFormat="1">
      <c r="A74" s="24"/>
      <c r="B74" s="55"/>
      <c r="C74" s="32"/>
      <c r="D74" s="32"/>
      <c r="E74" s="25"/>
      <c r="F74" s="61" t="str">
        <f t="shared" ca="1" si="5"/>
        <v xml:space="preserve"> </v>
      </c>
      <c r="G74" s="62"/>
      <c r="H74" s="63" t="str">
        <f t="shared" ca="1" si="6"/>
        <v xml:space="preserve"> </v>
      </c>
      <c r="I74" s="36"/>
      <c r="J74" s="37"/>
      <c r="K74" s="38"/>
      <c r="L74" s="37"/>
      <c r="M74" s="38"/>
      <c r="N74" s="42"/>
      <c r="O74" s="38"/>
      <c r="P74" s="37"/>
      <c r="Q74" s="38"/>
      <c r="R74" s="37"/>
      <c r="S74" s="39"/>
      <c r="T74" s="40"/>
      <c r="U74" s="39"/>
      <c r="V74" s="40"/>
      <c r="W74" s="39"/>
      <c r="X74" s="40"/>
      <c r="Y74" s="39"/>
      <c r="Z74" s="40"/>
      <c r="AA74" s="39"/>
      <c r="AB74" s="40"/>
      <c r="AC74" s="39"/>
      <c r="AD74" s="40"/>
      <c r="AE74" s="39"/>
      <c r="AF74" s="42"/>
      <c r="AG74" s="41">
        <f t="shared" ref="AG74:AG137" ca="1" si="45">AI74-AH74</f>
        <v>0</v>
      </c>
      <c r="AH74" s="42">
        <v>0</v>
      </c>
      <c r="AI74" s="43">
        <f t="shared" ref="AI74:AI137" ca="1" si="46">IF(AND(F74&lt;9.99,H74&lt;50),21,IF(AND(F74&lt;9.99,H74&gt;=50),30,IF(AND(F74&gt;=10,H74&lt;50),30,0)))</f>
        <v>0</v>
      </c>
      <c r="AJ74" s="41">
        <f t="shared" ref="AJ74:AJ137" si="47">(I74+K74+M74+O74+Q74+S74+U74+W74+Y74+AA74+AC74+AE74)</f>
        <v>0</v>
      </c>
      <c r="AK74" s="46">
        <f t="shared" ref="AK74:AK137" si="48">(J74+L74+N74+P74+R74+T74+V74+X74+Z74+AB74+AD74+AF74)</f>
        <v>0</v>
      </c>
      <c r="AL74" s="45">
        <f t="shared" ref="AL74:AL137" ca="1" si="49">(AI74)-(AJ74+AK74)</f>
        <v>0</v>
      </c>
      <c r="AM74" s="52"/>
    </row>
    <row r="75" spans="1:39" s="23" customFormat="1">
      <c r="A75" s="24"/>
      <c r="B75" s="55"/>
      <c r="C75" s="32"/>
      <c r="D75" s="32"/>
      <c r="E75" s="25"/>
      <c r="F75" s="61" t="str">
        <f t="shared" ca="1" si="5"/>
        <v xml:space="preserve"> </v>
      </c>
      <c r="G75" s="62"/>
      <c r="H75" s="63" t="str">
        <f t="shared" ca="1" si="6"/>
        <v xml:space="preserve"> </v>
      </c>
      <c r="I75" s="36"/>
      <c r="J75" s="37"/>
      <c r="K75" s="38"/>
      <c r="L75" s="37"/>
      <c r="M75" s="38"/>
      <c r="N75" s="42"/>
      <c r="O75" s="38"/>
      <c r="P75" s="37"/>
      <c r="Q75" s="38"/>
      <c r="R75" s="37"/>
      <c r="S75" s="39"/>
      <c r="T75" s="40"/>
      <c r="U75" s="39"/>
      <c r="V75" s="40"/>
      <c r="W75" s="39"/>
      <c r="X75" s="40"/>
      <c r="Y75" s="39"/>
      <c r="Z75" s="40"/>
      <c r="AA75" s="39"/>
      <c r="AB75" s="40"/>
      <c r="AC75" s="39"/>
      <c r="AD75" s="40"/>
      <c r="AE75" s="39"/>
      <c r="AF75" s="42"/>
      <c r="AG75" s="41">
        <f t="shared" ca="1" si="45"/>
        <v>0</v>
      </c>
      <c r="AH75" s="42">
        <v>0</v>
      </c>
      <c r="AI75" s="43">
        <f t="shared" ca="1" si="46"/>
        <v>0</v>
      </c>
      <c r="AJ75" s="41">
        <f t="shared" si="47"/>
        <v>0</v>
      </c>
      <c r="AK75" s="46">
        <f t="shared" si="48"/>
        <v>0</v>
      </c>
      <c r="AL75" s="45">
        <f t="shared" ca="1" si="49"/>
        <v>0</v>
      </c>
      <c r="AM75" s="52"/>
    </row>
    <row r="76" spans="1:39" s="23" customFormat="1">
      <c r="A76" s="24"/>
      <c r="B76" s="65"/>
      <c r="C76" s="32"/>
      <c r="D76" s="32"/>
      <c r="E76" s="25"/>
      <c r="F76" s="61" t="str">
        <f t="shared" ca="1" si="5"/>
        <v xml:space="preserve"> </v>
      </c>
      <c r="G76" s="62"/>
      <c r="H76" s="63" t="str">
        <f t="shared" ca="1" si="6"/>
        <v xml:space="preserve"> </v>
      </c>
      <c r="I76" s="36"/>
      <c r="J76" s="37"/>
      <c r="K76" s="38"/>
      <c r="L76" s="37"/>
      <c r="M76" s="38"/>
      <c r="N76" s="42"/>
      <c r="O76" s="38"/>
      <c r="P76" s="37"/>
      <c r="Q76" s="38"/>
      <c r="R76" s="37"/>
      <c r="S76" s="39"/>
      <c r="T76" s="40"/>
      <c r="U76" s="39"/>
      <c r="V76" s="40"/>
      <c r="W76" s="39"/>
      <c r="X76" s="40"/>
      <c r="Y76" s="39"/>
      <c r="Z76" s="40"/>
      <c r="AA76" s="39"/>
      <c r="AB76" s="40"/>
      <c r="AC76" s="39"/>
      <c r="AD76" s="40"/>
      <c r="AE76" s="39"/>
      <c r="AF76" s="42"/>
      <c r="AG76" s="41">
        <f t="shared" ca="1" si="45"/>
        <v>0</v>
      </c>
      <c r="AH76" s="42">
        <v>0</v>
      </c>
      <c r="AI76" s="43">
        <f t="shared" ca="1" si="46"/>
        <v>0</v>
      </c>
      <c r="AJ76" s="41">
        <f t="shared" si="47"/>
        <v>0</v>
      </c>
      <c r="AK76" s="46">
        <f t="shared" si="48"/>
        <v>0</v>
      </c>
      <c r="AL76" s="45">
        <f t="shared" ca="1" si="49"/>
        <v>0</v>
      </c>
      <c r="AM76" s="52"/>
    </row>
    <row r="77" spans="1:39" s="23" customFormat="1">
      <c r="A77" s="24"/>
      <c r="B77" s="55"/>
      <c r="C77" s="32"/>
      <c r="D77" s="32"/>
      <c r="E77" s="25"/>
      <c r="F77" s="61" t="str">
        <f t="shared" ca="1" si="5"/>
        <v xml:space="preserve"> </v>
      </c>
      <c r="G77" s="62"/>
      <c r="H77" s="63" t="str">
        <f t="shared" ca="1" si="6"/>
        <v xml:space="preserve"> </v>
      </c>
      <c r="I77" s="36"/>
      <c r="J77" s="37"/>
      <c r="K77" s="38"/>
      <c r="L77" s="37"/>
      <c r="M77" s="38"/>
      <c r="N77" s="42"/>
      <c r="O77" s="38"/>
      <c r="P77" s="37"/>
      <c r="Q77" s="38"/>
      <c r="R77" s="37"/>
      <c r="S77" s="39"/>
      <c r="T77" s="40"/>
      <c r="U77" s="39"/>
      <c r="V77" s="40"/>
      <c r="W77" s="39"/>
      <c r="X77" s="40"/>
      <c r="Y77" s="39"/>
      <c r="Z77" s="40"/>
      <c r="AA77" s="39"/>
      <c r="AB77" s="40"/>
      <c r="AC77" s="39"/>
      <c r="AD77" s="40"/>
      <c r="AE77" s="39"/>
      <c r="AF77" s="42"/>
      <c r="AG77" s="41">
        <f t="shared" ca="1" si="45"/>
        <v>0</v>
      </c>
      <c r="AH77" s="42">
        <v>0</v>
      </c>
      <c r="AI77" s="43">
        <f t="shared" ca="1" si="46"/>
        <v>0</v>
      </c>
      <c r="AJ77" s="41">
        <f t="shared" si="47"/>
        <v>0</v>
      </c>
      <c r="AK77" s="46">
        <f t="shared" si="48"/>
        <v>0</v>
      </c>
      <c r="AL77" s="45">
        <f t="shared" ca="1" si="49"/>
        <v>0</v>
      </c>
      <c r="AM77" s="52"/>
    </row>
    <row r="78" spans="1:39" s="23" customFormat="1">
      <c r="A78" s="24"/>
      <c r="B78" s="55"/>
      <c r="C78" s="32"/>
      <c r="D78" s="32"/>
      <c r="E78" s="25"/>
      <c r="F78" s="61" t="str">
        <f t="shared" ca="1" si="5"/>
        <v xml:space="preserve"> </v>
      </c>
      <c r="G78" s="62"/>
      <c r="H78" s="63" t="str">
        <f t="shared" ca="1" si="6"/>
        <v xml:space="preserve"> </v>
      </c>
      <c r="I78" s="36"/>
      <c r="J78" s="37"/>
      <c r="K78" s="38"/>
      <c r="L78" s="37"/>
      <c r="M78" s="38"/>
      <c r="N78" s="42"/>
      <c r="O78" s="38"/>
      <c r="P78" s="37"/>
      <c r="Q78" s="38"/>
      <c r="R78" s="37"/>
      <c r="S78" s="39"/>
      <c r="T78" s="40"/>
      <c r="U78" s="39"/>
      <c r="V78" s="40"/>
      <c r="W78" s="39"/>
      <c r="X78" s="40"/>
      <c r="Y78" s="39"/>
      <c r="Z78" s="40"/>
      <c r="AA78" s="39"/>
      <c r="AB78" s="40"/>
      <c r="AC78" s="39"/>
      <c r="AD78" s="40"/>
      <c r="AE78" s="39"/>
      <c r="AF78" s="42"/>
      <c r="AG78" s="41">
        <f t="shared" ca="1" si="45"/>
        <v>0</v>
      </c>
      <c r="AH78" s="42">
        <v>0</v>
      </c>
      <c r="AI78" s="43">
        <f t="shared" ca="1" si="46"/>
        <v>0</v>
      </c>
      <c r="AJ78" s="41">
        <f t="shared" si="47"/>
        <v>0</v>
      </c>
      <c r="AK78" s="46">
        <f t="shared" si="48"/>
        <v>0</v>
      </c>
      <c r="AL78" s="45">
        <f t="shared" ca="1" si="49"/>
        <v>0</v>
      </c>
      <c r="AM78" s="52"/>
    </row>
    <row r="79" spans="1:39" s="23" customFormat="1">
      <c r="A79" s="24"/>
      <c r="B79" s="55"/>
      <c r="C79" s="32"/>
      <c r="D79" s="32"/>
      <c r="E79" s="25"/>
      <c r="F79" s="61" t="str">
        <f t="shared" ca="1" si="5"/>
        <v xml:space="preserve"> </v>
      </c>
      <c r="G79" s="62"/>
      <c r="H79" s="63" t="str">
        <f t="shared" ca="1" si="6"/>
        <v xml:space="preserve"> </v>
      </c>
      <c r="I79" s="36"/>
      <c r="J79" s="37"/>
      <c r="K79" s="38"/>
      <c r="L79" s="37"/>
      <c r="M79" s="38"/>
      <c r="N79" s="42"/>
      <c r="O79" s="38"/>
      <c r="P79" s="37"/>
      <c r="Q79" s="38"/>
      <c r="R79" s="37"/>
      <c r="S79" s="39"/>
      <c r="T79" s="40"/>
      <c r="U79" s="39"/>
      <c r="V79" s="40"/>
      <c r="W79" s="39"/>
      <c r="X79" s="40"/>
      <c r="Y79" s="39"/>
      <c r="Z79" s="40"/>
      <c r="AA79" s="39"/>
      <c r="AB79" s="40"/>
      <c r="AC79" s="39"/>
      <c r="AD79" s="40"/>
      <c r="AE79" s="39"/>
      <c r="AF79" s="42"/>
      <c r="AG79" s="41">
        <f t="shared" ca="1" si="45"/>
        <v>0</v>
      </c>
      <c r="AH79" s="42">
        <v>0</v>
      </c>
      <c r="AI79" s="43">
        <f t="shared" ca="1" si="46"/>
        <v>0</v>
      </c>
      <c r="AJ79" s="41">
        <f t="shared" si="47"/>
        <v>0</v>
      </c>
      <c r="AK79" s="46">
        <f t="shared" si="48"/>
        <v>0</v>
      </c>
      <c r="AL79" s="45">
        <f t="shared" ca="1" si="49"/>
        <v>0</v>
      </c>
      <c r="AM79" s="52"/>
    </row>
    <row r="80" spans="1:39" s="23" customFormat="1">
      <c r="A80" s="24"/>
      <c r="B80" s="55"/>
      <c r="C80" s="32"/>
      <c r="D80" s="32"/>
      <c r="E80" s="25"/>
      <c r="F80" s="61" t="str">
        <f t="shared" ca="1" si="5"/>
        <v xml:space="preserve"> </v>
      </c>
      <c r="G80" s="62"/>
      <c r="H80" s="63" t="str">
        <f t="shared" ca="1" si="6"/>
        <v xml:space="preserve"> </v>
      </c>
      <c r="I80" s="36"/>
      <c r="J80" s="37"/>
      <c r="K80" s="38"/>
      <c r="L80" s="37"/>
      <c r="M80" s="38"/>
      <c r="N80" s="42"/>
      <c r="O80" s="38"/>
      <c r="P80" s="37"/>
      <c r="Q80" s="38"/>
      <c r="R80" s="37"/>
      <c r="S80" s="39"/>
      <c r="T80" s="40"/>
      <c r="U80" s="39"/>
      <c r="V80" s="40"/>
      <c r="W80" s="39"/>
      <c r="X80" s="40"/>
      <c r="Y80" s="39"/>
      <c r="Z80" s="40"/>
      <c r="AA80" s="39"/>
      <c r="AB80" s="40"/>
      <c r="AC80" s="39"/>
      <c r="AD80" s="40"/>
      <c r="AE80" s="39"/>
      <c r="AF80" s="42"/>
      <c r="AG80" s="41">
        <f t="shared" ca="1" si="45"/>
        <v>0</v>
      </c>
      <c r="AH80" s="42">
        <v>0</v>
      </c>
      <c r="AI80" s="43">
        <f t="shared" ca="1" si="46"/>
        <v>0</v>
      </c>
      <c r="AJ80" s="41">
        <f t="shared" si="47"/>
        <v>0</v>
      </c>
      <c r="AK80" s="46">
        <f t="shared" si="48"/>
        <v>0</v>
      </c>
      <c r="AL80" s="45">
        <f t="shared" ca="1" si="49"/>
        <v>0</v>
      </c>
      <c r="AM80" s="52"/>
    </row>
    <row r="81" spans="1:39" s="23" customFormat="1">
      <c r="A81" s="24"/>
      <c r="B81" s="55"/>
      <c r="C81" s="32"/>
      <c r="D81" s="32"/>
      <c r="E81" s="25"/>
      <c r="F81" s="61" t="str">
        <f t="shared" ca="1" si="5"/>
        <v xml:space="preserve"> </v>
      </c>
      <c r="G81" s="62"/>
      <c r="H81" s="63" t="str">
        <f t="shared" ca="1" si="6"/>
        <v xml:space="preserve"> </v>
      </c>
      <c r="I81" s="36"/>
      <c r="J81" s="37"/>
      <c r="K81" s="38"/>
      <c r="L81" s="37"/>
      <c r="M81" s="38"/>
      <c r="N81" s="42"/>
      <c r="O81" s="38"/>
      <c r="P81" s="37"/>
      <c r="Q81" s="38"/>
      <c r="R81" s="37"/>
      <c r="S81" s="39"/>
      <c r="T81" s="40"/>
      <c r="U81" s="39"/>
      <c r="V81" s="40"/>
      <c r="W81" s="39"/>
      <c r="X81" s="40"/>
      <c r="Y81" s="39"/>
      <c r="Z81" s="40"/>
      <c r="AA81" s="39"/>
      <c r="AB81" s="40"/>
      <c r="AC81" s="39"/>
      <c r="AD81" s="40"/>
      <c r="AE81" s="39"/>
      <c r="AF81" s="42"/>
      <c r="AG81" s="41">
        <f t="shared" ca="1" si="45"/>
        <v>0</v>
      </c>
      <c r="AH81" s="42">
        <v>0</v>
      </c>
      <c r="AI81" s="43">
        <f t="shared" ca="1" si="46"/>
        <v>0</v>
      </c>
      <c r="AJ81" s="41">
        <f t="shared" si="47"/>
        <v>0</v>
      </c>
      <c r="AK81" s="46">
        <f t="shared" si="48"/>
        <v>0</v>
      </c>
      <c r="AL81" s="45">
        <f t="shared" ca="1" si="49"/>
        <v>0</v>
      </c>
      <c r="AM81" s="52"/>
    </row>
    <row r="82" spans="1:39" s="23" customFormat="1">
      <c r="A82" s="24"/>
      <c r="B82" s="55"/>
      <c r="C82" s="32"/>
      <c r="D82" s="32"/>
      <c r="E82" s="25"/>
      <c r="F82" s="61" t="str">
        <f t="shared" ca="1" si="5"/>
        <v xml:space="preserve"> </v>
      </c>
      <c r="G82" s="62"/>
      <c r="H82" s="63" t="str">
        <f t="shared" ca="1" si="6"/>
        <v xml:space="preserve"> </v>
      </c>
      <c r="I82" s="36"/>
      <c r="J82" s="37"/>
      <c r="K82" s="38"/>
      <c r="L82" s="37"/>
      <c r="M82" s="38"/>
      <c r="N82" s="42"/>
      <c r="O82" s="38"/>
      <c r="P82" s="37"/>
      <c r="Q82" s="38"/>
      <c r="R82" s="37"/>
      <c r="S82" s="39"/>
      <c r="T82" s="40"/>
      <c r="U82" s="39"/>
      <c r="V82" s="40"/>
      <c r="W82" s="39"/>
      <c r="X82" s="40"/>
      <c r="Y82" s="39"/>
      <c r="Z82" s="40"/>
      <c r="AA82" s="39"/>
      <c r="AB82" s="40"/>
      <c r="AC82" s="39"/>
      <c r="AD82" s="40"/>
      <c r="AE82" s="39"/>
      <c r="AF82" s="42"/>
      <c r="AG82" s="41">
        <f t="shared" ca="1" si="45"/>
        <v>0</v>
      </c>
      <c r="AH82" s="42">
        <v>0</v>
      </c>
      <c r="AI82" s="43">
        <f t="shared" ca="1" si="46"/>
        <v>0</v>
      </c>
      <c r="AJ82" s="41">
        <f t="shared" si="47"/>
        <v>0</v>
      </c>
      <c r="AK82" s="46">
        <f t="shared" si="48"/>
        <v>0</v>
      </c>
      <c r="AL82" s="45">
        <f t="shared" ca="1" si="49"/>
        <v>0</v>
      </c>
      <c r="AM82" s="52"/>
    </row>
    <row r="83" spans="1:39" s="23" customFormat="1">
      <c r="A83" s="24"/>
      <c r="B83" s="55"/>
      <c r="C83" s="32"/>
      <c r="D83" s="32"/>
      <c r="E83" s="25"/>
      <c r="F83" s="61" t="str">
        <f t="shared" ca="1" si="5"/>
        <v xml:space="preserve"> </v>
      </c>
      <c r="G83" s="62"/>
      <c r="H83" s="63" t="str">
        <f t="shared" ca="1" si="6"/>
        <v xml:space="preserve"> </v>
      </c>
      <c r="I83" s="36"/>
      <c r="J83" s="37"/>
      <c r="K83" s="38"/>
      <c r="L83" s="37"/>
      <c r="M83" s="38"/>
      <c r="N83" s="42"/>
      <c r="O83" s="38"/>
      <c r="P83" s="37"/>
      <c r="Q83" s="38"/>
      <c r="R83" s="37"/>
      <c r="S83" s="39"/>
      <c r="T83" s="40"/>
      <c r="U83" s="39"/>
      <c r="V83" s="40"/>
      <c r="W83" s="39"/>
      <c r="X83" s="40"/>
      <c r="Y83" s="39"/>
      <c r="Z83" s="40"/>
      <c r="AA83" s="39"/>
      <c r="AB83" s="40"/>
      <c r="AC83" s="39"/>
      <c r="AD83" s="40"/>
      <c r="AE83" s="39"/>
      <c r="AF83" s="42"/>
      <c r="AG83" s="41">
        <f t="shared" ca="1" si="45"/>
        <v>0</v>
      </c>
      <c r="AH83" s="42">
        <v>0</v>
      </c>
      <c r="AI83" s="43">
        <f t="shared" ca="1" si="46"/>
        <v>0</v>
      </c>
      <c r="AJ83" s="41">
        <f t="shared" si="47"/>
        <v>0</v>
      </c>
      <c r="AK83" s="46">
        <f t="shared" si="48"/>
        <v>0</v>
      </c>
      <c r="AL83" s="45">
        <f t="shared" ca="1" si="49"/>
        <v>0</v>
      </c>
      <c r="AM83" s="52"/>
    </row>
    <row r="84" spans="1:39" s="23" customFormat="1">
      <c r="A84" s="24"/>
      <c r="B84" s="55"/>
      <c r="C84" s="32"/>
      <c r="D84" s="32"/>
      <c r="E84" s="25"/>
      <c r="F84" s="61" t="str">
        <f t="shared" ca="1" si="5"/>
        <v xml:space="preserve"> </v>
      </c>
      <c r="G84" s="62"/>
      <c r="H84" s="63" t="str">
        <f t="shared" ca="1" si="6"/>
        <v xml:space="preserve"> </v>
      </c>
      <c r="I84" s="36"/>
      <c r="J84" s="37"/>
      <c r="K84" s="38"/>
      <c r="L84" s="37"/>
      <c r="M84" s="38"/>
      <c r="N84" s="42"/>
      <c r="O84" s="38"/>
      <c r="P84" s="37"/>
      <c r="Q84" s="38"/>
      <c r="R84" s="37"/>
      <c r="S84" s="39"/>
      <c r="T84" s="40"/>
      <c r="U84" s="39"/>
      <c r="V84" s="40"/>
      <c r="W84" s="39"/>
      <c r="X84" s="40"/>
      <c r="Y84" s="39"/>
      <c r="Z84" s="40"/>
      <c r="AA84" s="39"/>
      <c r="AB84" s="40"/>
      <c r="AC84" s="39"/>
      <c r="AD84" s="40"/>
      <c r="AE84" s="39"/>
      <c r="AF84" s="42"/>
      <c r="AG84" s="41">
        <f t="shared" ca="1" si="45"/>
        <v>0</v>
      </c>
      <c r="AH84" s="42">
        <v>0</v>
      </c>
      <c r="AI84" s="43">
        <f t="shared" ca="1" si="46"/>
        <v>0</v>
      </c>
      <c r="AJ84" s="41">
        <f t="shared" si="47"/>
        <v>0</v>
      </c>
      <c r="AK84" s="46">
        <f t="shared" si="48"/>
        <v>0</v>
      </c>
      <c r="AL84" s="45">
        <f t="shared" ca="1" si="49"/>
        <v>0</v>
      </c>
      <c r="AM84" s="52"/>
    </row>
    <row r="85" spans="1:39" s="23" customFormat="1">
      <c r="A85" s="24"/>
      <c r="B85" s="55"/>
      <c r="C85" s="32"/>
      <c r="D85" s="32"/>
      <c r="E85" s="25"/>
      <c r="F85" s="61" t="str">
        <f t="shared" ca="1" si="5"/>
        <v xml:space="preserve"> </v>
      </c>
      <c r="G85" s="62"/>
      <c r="H85" s="63" t="str">
        <f t="shared" ca="1" si="6"/>
        <v xml:space="preserve"> </v>
      </c>
      <c r="I85" s="36"/>
      <c r="J85" s="37"/>
      <c r="K85" s="38"/>
      <c r="L85" s="37"/>
      <c r="M85" s="38"/>
      <c r="N85" s="42"/>
      <c r="O85" s="38"/>
      <c r="P85" s="37"/>
      <c r="Q85" s="38"/>
      <c r="R85" s="37"/>
      <c r="S85" s="39"/>
      <c r="T85" s="40"/>
      <c r="U85" s="39"/>
      <c r="V85" s="40"/>
      <c r="W85" s="39"/>
      <c r="X85" s="40"/>
      <c r="Y85" s="39"/>
      <c r="Z85" s="40"/>
      <c r="AA85" s="39"/>
      <c r="AB85" s="40"/>
      <c r="AC85" s="39"/>
      <c r="AD85" s="40"/>
      <c r="AE85" s="39"/>
      <c r="AF85" s="42"/>
      <c r="AG85" s="41">
        <f t="shared" ca="1" si="45"/>
        <v>0</v>
      </c>
      <c r="AH85" s="42">
        <v>0</v>
      </c>
      <c r="AI85" s="43">
        <f t="shared" ca="1" si="46"/>
        <v>0</v>
      </c>
      <c r="AJ85" s="41">
        <f t="shared" si="47"/>
        <v>0</v>
      </c>
      <c r="AK85" s="46">
        <f t="shared" si="48"/>
        <v>0</v>
      </c>
      <c r="AL85" s="45">
        <f t="shared" ca="1" si="49"/>
        <v>0</v>
      </c>
      <c r="AM85" s="52"/>
    </row>
    <row r="86" spans="1:39" s="23" customFormat="1">
      <c r="A86" s="24"/>
      <c r="B86" s="55"/>
      <c r="C86" s="32"/>
      <c r="D86" s="32"/>
      <c r="E86" s="25"/>
      <c r="F86" s="61" t="str">
        <f t="shared" ca="1" si="5"/>
        <v xml:space="preserve"> </v>
      </c>
      <c r="G86" s="62"/>
      <c r="H86" s="63" t="str">
        <f t="shared" ca="1" si="6"/>
        <v xml:space="preserve"> </v>
      </c>
      <c r="I86" s="36"/>
      <c r="J86" s="37"/>
      <c r="K86" s="38"/>
      <c r="L86" s="37"/>
      <c r="M86" s="38"/>
      <c r="N86" s="42"/>
      <c r="O86" s="38"/>
      <c r="P86" s="37"/>
      <c r="Q86" s="38"/>
      <c r="R86" s="37"/>
      <c r="S86" s="39"/>
      <c r="T86" s="40"/>
      <c r="U86" s="39"/>
      <c r="V86" s="40"/>
      <c r="W86" s="39"/>
      <c r="X86" s="40"/>
      <c r="Y86" s="39"/>
      <c r="Z86" s="40"/>
      <c r="AA86" s="39"/>
      <c r="AB86" s="40"/>
      <c r="AC86" s="39"/>
      <c r="AD86" s="40"/>
      <c r="AE86" s="39"/>
      <c r="AF86" s="42"/>
      <c r="AG86" s="41">
        <f t="shared" ca="1" si="45"/>
        <v>0</v>
      </c>
      <c r="AH86" s="42">
        <v>0</v>
      </c>
      <c r="AI86" s="43">
        <f t="shared" ca="1" si="46"/>
        <v>0</v>
      </c>
      <c r="AJ86" s="41">
        <f t="shared" si="47"/>
        <v>0</v>
      </c>
      <c r="AK86" s="46">
        <f t="shared" si="48"/>
        <v>0</v>
      </c>
      <c r="AL86" s="45">
        <f t="shared" ca="1" si="49"/>
        <v>0</v>
      </c>
      <c r="AM86" s="52"/>
    </row>
    <row r="87" spans="1:39" s="23" customFormat="1">
      <c r="A87" s="24"/>
      <c r="B87" s="55"/>
      <c r="C87" s="32"/>
      <c r="D87" s="32"/>
      <c r="E87" s="25"/>
      <c r="F87" s="61" t="str">
        <f t="shared" ca="1" si="5"/>
        <v xml:space="preserve"> </v>
      </c>
      <c r="G87" s="62"/>
      <c r="H87" s="63" t="str">
        <f t="shared" ca="1" si="6"/>
        <v xml:space="preserve"> </v>
      </c>
      <c r="I87" s="36"/>
      <c r="J87" s="37"/>
      <c r="K87" s="38"/>
      <c r="L87" s="37"/>
      <c r="M87" s="38"/>
      <c r="N87" s="42"/>
      <c r="O87" s="38"/>
      <c r="P87" s="37"/>
      <c r="Q87" s="38"/>
      <c r="R87" s="37"/>
      <c r="S87" s="39"/>
      <c r="T87" s="40"/>
      <c r="U87" s="39"/>
      <c r="V87" s="40"/>
      <c r="W87" s="39"/>
      <c r="X87" s="40"/>
      <c r="Y87" s="39"/>
      <c r="Z87" s="40"/>
      <c r="AA87" s="39"/>
      <c r="AB87" s="40"/>
      <c r="AC87" s="39"/>
      <c r="AD87" s="40"/>
      <c r="AE87" s="39"/>
      <c r="AF87" s="42"/>
      <c r="AG87" s="41">
        <f t="shared" ca="1" si="45"/>
        <v>0</v>
      </c>
      <c r="AH87" s="42">
        <v>0</v>
      </c>
      <c r="AI87" s="43">
        <f t="shared" ca="1" si="46"/>
        <v>0</v>
      </c>
      <c r="AJ87" s="41">
        <f t="shared" si="47"/>
        <v>0</v>
      </c>
      <c r="AK87" s="46">
        <f t="shared" si="48"/>
        <v>0</v>
      </c>
      <c r="AL87" s="45">
        <f t="shared" ca="1" si="49"/>
        <v>0</v>
      </c>
      <c r="AM87" s="52"/>
    </row>
    <row r="88" spans="1:39" s="23" customFormat="1">
      <c r="A88" s="24"/>
      <c r="B88" s="55"/>
      <c r="C88" s="32"/>
      <c r="D88" s="32"/>
      <c r="E88" s="25"/>
      <c r="F88" s="61" t="str">
        <f t="shared" ca="1" si="5"/>
        <v xml:space="preserve"> </v>
      </c>
      <c r="G88" s="62"/>
      <c r="H88" s="63" t="str">
        <f t="shared" ca="1" si="6"/>
        <v xml:space="preserve"> </v>
      </c>
      <c r="I88" s="36"/>
      <c r="J88" s="37"/>
      <c r="K88" s="38"/>
      <c r="L88" s="37"/>
      <c r="M88" s="38"/>
      <c r="N88" s="42"/>
      <c r="O88" s="38"/>
      <c r="P88" s="37"/>
      <c r="Q88" s="38"/>
      <c r="R88" s="37"/>
      <c r="S88" s="39"/>
      <c r="T88" s="40"/>
      <c r="U88" s="39"/>
      <c r="V88" s="40"/>
      <c r="W88" s="39"/>
      <c r="X88" s="40"/>
      <c r="Y88" s="39"/>
      <c r="Z88" s="40"/>
      <c r="AA88" s="39"/>
      <c r="AB88" s="40"/>
      <c r="AC88" s="39"/>
      <c r="AD88" s="40"/>
      <c r="AE88" s="39"/>
      <c r="AF88" s="42"/>
      <c r="AG88" s="41">
        <f t="shared" ca="1" si="45"/>
        <v>0</v>
      </c>
      <c r="AH88" s="42">
        <v>0</v>
      </c>
      <c r="AI88" s="43">
        <f t="shared" ca="1" si="46"/>
        <v>0</v>
      </c>
      <c r="AJ88" s="41">
        <f t="shared" si="47"/>
        <v>0</v>
      </c>
      <c r="AK88" s="46">
        <f t="shared" si="48"/>
        <v>0</v>
      </c>
      <c r="AL88" s="45">
        <f t="shared" ca="1" si="49"/>
        <v>0</v>
      </c>
      <c r="AM88" s="52"/>
    </row>
    <row r="89" spans="1:39" s="23" customFormat="1">
      <c r="A89" s="24"/>
      <c r="B89" s="55"/>
      <c r="C89" s="32"/>
      <c r="D89" s="32"/>
      <c r="E89" s="25"/>
      <c r="F89" s="61" t="str">
        <f t="shared" ca="1" si="5"/>
        <v xml:space="preserve"> </v>
      </c>
      <c r="G89" s="62"/>
      <c r="H89" s="63" t="str">
        <f t="shared" ca="1" si="6"/>
        <v xml:space="preserve"> </v>
      </c>
      <c r="I89" s="36"/>
      <c r="J89" s="37"/>
      <c r="K89" s="38"/>
      <c r="L89" s="37"/>
      <c r="M89" s="38"/>
      <c r="N89" s="42"/>
      <c r="O89" s="38"/>
      <c r="P89" s="37"/>
      <c r="Q89" s="38"/>
      <c r="R89" s="37"/>
      <c r="S89" s="39"/>
      <c r="T89" s="40"/>
      <c r="U89" s="39"/>
      <c r="V89" s="40"/>
      <c r="W89" s="39"/>
      <c r="X89" s="40"/>
      <c r="Y89" s="39"/>
      <c r="Z89" s="40"/>
      <c r="AA89" s="39"/>
      <c r="AB89" s="40"/>
      <c r="AC89" s="39"/>
      <c r="AD89" s="40"/>
      <c r="AE89" s="39"/>
      <c r="AF89" s="42"/>
      <c r="AG89" s="41">
        <f t="shared" ca="1" si="45"/>
        <v>0</v>
      </c>
      <c r="AH89" s="42">
        <v>0</v>
      </c>
      <c r="AI89" s="43">
        <f t="shared" ca="1" si="46"/>
        <v>0</v>
      </c>
      <c r="AJ89" s="41">
        <f t="shared" si="47"/>
        <v>0</v>
      </c>
      <c r="AK89" s="46">
        <f t="shared" si="48"/>
        <v>0</v>
      </c>
      <c r="AL89" s="45">
        <f t="shared" ca="1" si="49"/>
        <v>0</v>
      </c>
      <c r="AM89" s="52"/>
    </row>
    <row r="90" spans="1:39" s="23" customFormat="1">
      <c r="A90" s="24"/>
      <c r="B90" s="55"/>
      <c r="C90" s="32"/>
      <c r="D90" s="32"/>
      <c r="E90" s="25"/>
      <c r="F90" s="61" t="str">
        <f t="shared" ca="1" si="5"/>
        <v xml:space="preserve"> </v>
      </c>
      <c r="G90" s="62"/>
      <c r="H90" s="63" t="str">
        <f t="shared" ca="1" si="6"/>
        <v xml:space="preserve"> </v>
      </c>
      <c r="I90" s="36"/>
      <c r="J90" s="37"/>
      <c r="K90" s="38"/>
      <c r="L90" s="37"/>
      <c r="M90" s="38"/>
      <c r="N90" s="42"/>
      <c r="O90" s="38"/>
      <c r="P90" s="37"/>
      <c r="Q90" s="38"/>
      <c r="R90" s="37"/>
      <c r="S90" s="39"/>
      <c r="T90" s="40"/>
      <c r="U90" s="39"/>
      <c r="V90" s="40"/>
      <c r="W90" s="39"/>
      <c r="X90" s="40"/>
      <c r="Y90" s="39"/>
      <c r="Z90" s="40"/>
      <c r="AA90" s="39"/>
      <c r="AB90" s="40"/>
      <c r="AC90" s="39"/>
      <c r="AD90" s="40"/>
      <c r="AE90" s="39"/>
      <c r="AF90" s="42"/>
      <c r="AG90" s="41">
        <f t="shared" ca="1" si="45"/>
        <v>0</v>
      </c>
      <c r="AH90" s="42">
        <v>0</v>
      </c>
      <c r="AI90" s="43">
        <f t="shared" ca="1" si="46"/>
        <v>0</v>
      </c>
      <c r="AJ90" s="41">
        <f t="shared" si="47"/>
        <v>0</v>
      </c>
      <c r="AK90" s="46">
        <f t="shared" si="48"/>
        <v>0</v>
      </c>
      <c r="AL90" s="45">
        <f t="shared" ca="1" si="49"/>
        <v>0</v>
      </c>
      <c r="AM90" s="52"/>
    </row>
    <row r="91" spans="1:39" s="23" customFormat="1">
      <c r="A91" s="24"/>
      <c r="B91" s="55"/>
      <c r="C91" s="32"/>
      <c r="D91" s="32"/>
      <c r="E91" s="25"/>
      <c r="F91" s="61" t="str">
        <f t="shared" ca="1" si="5"/>
        <v xml:space="preserve"> </v>
      </c>
      <c r="G91" s="62"/>
      <c r="H91" s="63" t="str">
        <f t="shared" ca="1" si="6"/>
        <v xml:space="preserve"> </v>
      </c>
      <c r="I91" s="36"/>
      <c r="J91" s="37"/>
      <c r="K91" s="38"/>
      <c r="L91" s="37"/>
      <c r="M91" s="38"/>
      <c r="N91" s="42"/>
      <c r="O91" s="38"/>
      <c r="P91" s="37"/>
      <c r="Q91" s="38"/>
      <c r="R91" s="37"/>
      <c r="S91" s="39"/>
      <c r="T91" s="40"/>
      <c r="U91" s="39"/>
      <c r="V91" s="40"/>
      <c r="W91" s="39"/>
      <c r="X91" s="40"/>
      <c r="Y91" s="39"/>
      <c r="Z91" s="40"/>
      <c r="AA91" s="39"/>
      <c r="AB91" s="40"/>
      <c r="AC91" s="39"/>
      <c r="AD91" s="40"/>
      <c r="AE91" s="39"/>
      <c r="AF91" s="42"/>
      <c r="AG91" s="41">
        <f t="shared" ca="1" si="45"/>
        <v>0</v>
      </c>
      <c r="AH91" s="42">
        <v>0</v>
      </c>
      <c r="AI91" s="43">
        <f t="shared" ca="1" si="46"/>
        <v>0</v>
      </c>
      <c r="AJ91" s="41">
        <f t="shared" si="47"/>
        <v>0</v>
      </c>
      <c r="AK91" s="46">
        <f t="shared" si="48"/>
        <v>0</v>
      </c>
      <c r="AL91" s="45">
        <f t="shared" ca="1" si="49"/>
        <v>0</v>
      </c>
      <c r="AM91" s="52"/>
    </row>
    <row r="92" spans="1:39" s="23" customFormat="1">
      <c r="A92" s="24"/>
      <c r="B92" s="55"/>
      <c r="C92" s="32"/>
      <c r="D92" s="32"/>
      <c r="E92" s="25"/>
      <c r="F92" s="61" t="str">
        <f t="shared" ca="1" si="5"/>
        <v xml:space="preserve"> </v>
      </c>
      <c r="G92" s="62"/>
      <c r="H92" s="63" t="str">
        <f t="shared" ca="1" si="6"/>
        <v xml:space="preserve"> </v>
      </c>
      <c r="I92" s="36"/>
      <c r="J92" s="37"/>
      <c r="K92" s="38"/>
      <c r="L92" s="37"/>
      <c r="M92" s="38"/>
      <c r="N92" s="42"/>
      <c r="O92" s="38"/>
      <c r="P92" s="37"/>
      <c r="Q92" s="38"/>
      <c r="R92" s="37"/>
      <c r="S92" s="39"/>
      <c r="T92" s="40"/>
      <c r="U92" s="39"/>
      <c r="V92" s="40"/>
      <c r="W92" s="39"/>
      <c r="X92" s="40"/>
      <c r="Y92" s="39"/>
      <c r="Z92" s="40"/>
      <c r="AA92" s="39"/>
      <c r="AB92" s="40"/>
      <c r="AC92" s="39"/>
      <c r="AD92" s="40"/>
      <c r="AE92" s="39"/>
      <c r="AF92" s="42"/>
      <c r="AG92" s="41">
        <f t="shared" ca="1" si="45"/>
        <v>0</v>
      </c>
      <c r="AH92" s="42">
        <v>0</v>
      </c>
      <c r="AI92" s="43">
        <f t="shared" ca="1" si="46"/>
        <v>0</v>
      </c>
      <c r="AJ92" s="41">
        <f t="shared" si="47"/>
        <v>0</v>
      </c>
      <c r="AK92" s="46">
        <f t="shared" si="48"/>
        <v>0</v>
      </c>
      <c r="AL92" s="45">
        <f t="shared" ca="1" si="49"/>
        <v>0</v>
      </c>
      <c r="AM92" s="52"/>
    </row>
    <row r="93" spans="1:39" s="23" customFormat="1">
      <c r="A93" s="24"/>
      <c r="B93" s="55"/>
      <c r="C93" s="32"/>
      <c r="D93" s="32"/>
      <c r="E93" s="25"/>
      <c r="F93" s="61" t="str">
        <f t="shared" ca="1" si="5"/>
        <v xml:space="preserve"> </v>
      </c>
      <c r="G93" s="62"/>
      <c r="H93" s="63" t="str">
        <f t="shared" ca="1" si="6"/>
        <v xml:space="preserve"> </v>
      </c>
      <c r="I93" s="36"/>
      <c r="J93" s="37"/>
      <c r="K93" s="38"/>
      <c r="L93" s="37"/>
      <c r="M93" s="38"/>
      <c r="N93" s="42"/>
      <c r="O93" s="38"/>
      <c r="P93" s="37"/>
      <c r="Q93" s="38"/>
      <c r="R93" s="37"/>
      <c r="S93" s="39"/>
      <c r="T93" s="40"/>
      <c r="U93" s="39"/>
      <c r="V93" s="40"/>
      <c r="W93" s="39"/>
      <c r="X93" s="40"/>
      <c r="Y93" s="39"/>
      <c r="Z93" s="40"/>
      <c r="AA93" s="39"/>
      <c r="AB93" s="40"/>
      <c r="AC93" s="39"/>
      <c r="AD93" s="40"/>
      <c r="AE93" s="39"/>
      <c r="AF93" s="42"/>
      <c r="AG93" s="41">
        <f t="shared" ca="1" si="45"/>
        <v>0</v>
      </c>
      <c r="AH93" s="42">
        <v>0</v>
      </c>
      <c r="AI93" s="43">
        <f t="shared" ca="1" si="46"/>
        <v>0</v>
      </c>
      <c r="AJ93" s="41">
        <f t="shared" si="47"/>
        <v>0</v>
      </c>
      <c r="AK93" s="46">
        <f t="shared" si="48"/>
        <v>0</v>
      </c>
      <c r="AL93" s="45">
        <f t="shared" ca="1" si="49"/>
        <v>0</v>
      </c>
      <c r="AM93" s="52"/>
    </row>
    <row r="94" spans="1:39" s="23" customFormat="1">
      <c r="A94" s="24"/>
      <c r="B94" s="55"/>
      <c r="C94" s="32"/>
      <c r="D94" s="32"/>
      <c r="E94" s="25"/>
      <c r="F94" s="61" t="str">
        <f t="shared" ca="1" si="5"/>
        <v xml:space="preserve"> </v>
      </c>
      <c r="G94" s="62"/>
      <c r="H94" s="63" t="str">
        <f t="shared" ca="1" si="6"/>
        <v xml:space="preserve"> </v>
      </c>
      <c r="I94" s="36"/>
      <c r="J94" s="37"/>
      <c r="K94" s="38"/>
      <c r="L94" s="37"/>
      <c r="M94" s="38"/>
      <c r="N94" s="42"/>
      <c r="O94" s="38"/>
      <c r="P94" s="37"/>
      <c r="Q94" s="38"/>
      <c r="R94" s="37"/>
      <c r="S94" s="39"/>
      <c r="T94" s="40"/>
      <c r="U94" s="39"/>
      <c r="V94" s="40"/>
      <c r="W94" s="39"/>
      <c r="X94" s="40"/>
      <c r="Y94" s="39"/>
      <c r="Z94" s="40"/>
      <c r="AA94" s="39"/>
      <c r="AB94" s="40"/>
      <c r="AC94" s="39"/>
      <c r="AD94" s="40"/>
      <c r="AE94" s="39"/>
      <c r="AF94" s="42"/>
      <c r="AG94" s="41">
        <f t="shared" ca="1" si="45"/>
        <v>0</v>
      </c>
      <c r="AH94" s="42">
        <v>0</v>
      </c>
      <c r="AI94" s="43">
        <f t="shared" ca="1" si="46"/>
        <v>0</v>
      </c>
      <c r="AJ94" s="41">
        <f t="shared" si="47"/>
        <v>0</v>
      </c>
      <c r="AK94" s="46">
        <f t="shared" si="48"/>
        <v>0</v>
      </c>
      <c r="AL94" s="45">
        <f t="shared" ca="1" si="49"/>
        <v>0</v>
      </c>
      <c r="AM94" s="52"/>
    </row>
    <row r="95" spans="1:39" s="23" customFormat="1">
      <c r="A95" s="24"/>
      <c r="B95" s="55"/>
      <c r="C95" s="32"/>
      <c r="D95" s="32"/>
      <c r="E95" s="25"/>
      <c r="F95" s="61" t="str">
        <f t="shared" ca="1" si="5"/>
        <v xml:space="preserve"> </v>
      </c>
      <c r="G95" s="62"/>
      <c r="H95" s="63" t="str">
        <f t="shared" ca="1" si="6"/>
        <v xml:space="preserve"> </v>
      </c>
      <c r="I95" s="36"/>
      <c r="J95" s="37"/>
      <c r="K95" s="38"/>
      <c r="L95" s="37"/>
      <c r="M95" s="38"/>
      <c r="N95" s="42"/>
      <c r="O95" s="38"/>
      <c r="P95" s="37"/>
      <c r="Q95" s="38"/>
      <c r="R95" s="37"/>
      <c r="S95" s="39"/>
      <c r="T95" s="40"/>
      <c r="U95" s="39"/>
      <c r="V95" s="40"/>
      <c r="W95" s="39"/>
      <c r="X95" s="40"/>
      <c r="Y95" s="39"/>
      <c r="Z95" s="40"/>
      <c r="AA95" s="39"/>
      <c r="AB95" s="40"/>
      <c r="AC95" s="39"/>
      <c r="AD95" s="40"/>
      <c r="AE95" s="39"/>
      <c r="AF95" s="42"/>
      <c r="AG95" s="41">
        <f t="shared" ca="1" si="45"/>
        <v>0</v>
      </c>
      <c r="AH95" s="42">
        <v>0</v>
      </c>
      <c r="AI95" s="43">
        <f t="shared" ca="1" si="46"/>
        <v>0</v>
      </c>
      <c r="AJ95" s="41">
        <f t="shared" si="47"/>
        <v>0</v>
      </c>
      <c r="AK95" s="46">
        <f t="shared" si="48"/>
        <v>0</v>
      </c>
      <c r="AL95" s="45">
        <f t="shared" ca="1" si="49"/>
        <v>0</v>
      </c>
      <c r="AM95" s="52"/>
    </row>
    <row r="96" spans="1:39" s="23" customFormat="1">
      <c r="A96" s="24"/>
      <c r="B96" s="55"/>
      <c r="C96" s="32"/>
      <c r="D96" s="32"/>
      <c r="E96" s="25"/>
      <c r="F96" s="61" t="str">
        <f t="shared" ca="1" si="5"/>
        <v xml:space="preserve"> </v>
      </c>
      <c r="G96" s="62"/>
      <c r="H96" s="63" t="str">
        <f t="shared" ca="1" si="6"/>
        <v xml:space="preserve"> </v>
      </c>
      <c r="I96" s="36"/>
      <c r="J96" s="37"/>
      <c r="K96" s="38"/>
      <c r="L96" s="37"/>
      <c r="M96" s="38"/>
      <c r="N96" s="42"/>
      <c r="O96" s="38"/>
      <c r="P96" s="37"/>
      <c r="Q96" s="38"/>
      <c r="R96" s="37"/>
      <c r="S96" s="39"/>
      <c r="T96" s="40"/>
      <c r="U96" s="39"/>
      <c r="V96" s="40"/>
      <c r="W96" s="39"/>
      <c r="X96" s="40"/>
      <c r="Y96" s="39"/>
      <c r="Z96" s="40"/>
      <c r="AA96" s="39"/>
      <c r="AB96" s="40"/>
      <c r="AC96" s="39"/>
      <c r="AD96" s="40"/>
      <c r="AE96" s="39"/>
      <c r="AF96" s="42"/>
      <c r="AG96" s="41">
        <f t="shared" ca="1" si="45"/>
        <v>0</v>
      </c>
      <c r="AH96" s="42">
        <v>0</v>
      </c>
      <c r="AI96" s="43">
        <f t="shared" ca="1" si="46"/>
        <v>0</v>
      </c>
      <c r="AJ96" s="41">
        <f t="shared" si="47"/>
        <v>0</v>
      </c>
      <c r="AK96" s="46">
        <f t="shared" si="48"/>
        <v>0</v>
      </c>
      <c r="AL96" s="45">
        <f t="shared" ca="1" si="49"/>
        <v>0</v>
      </c>
      <c r="AM96" s="52"/>
    </row>
    <row r="97" spans="1:39" s="23" customFormat="1">
      <c r="A97" s="24"/>
      <c r="B97" s="55"/>
      <c r="C97" s="32"/>
      <c r="D97" s="32"/>
      <c r="E97" s="25"/>
      <c r="F97" s="61" t="str">
        <f t="shared" ca="1" si="5"/>
        <v xml:space="preserve"> </v>
      </c>
      <c r="G97" s="62"/>
      <c r="H97" s="63" t="str">
        <f t="shared" ca="1" si="6"/>
        <v xml:space="preserve"> </v>
      </c>
      <c r="I97" s="36"/>
      <c r="J97" s="37"/>
      <c r="K97" s="38"/>
      <c r="L97" s="37"/>
      <c r="M97" s="38"/>
      <c r="N97" s="42"/>
      <c r="O97" s="38"/>
      <c r="P97" s="37"/>
      <c r="Q97" s="38"/>
      <c r="R97" s="37"/>
      <c r="S97" s="39"/>
      <c r="T97" s="40"/>
      <c r="U97" s="39"/>
      <c r="V97" s="40"/>
      <c r="W97" s="39"/>
      <c r="X97" s="40"/>
      <c r="Y97" s="39"/>
      <c r="Z97" s="40"/>
      <c r="AA97" s="39"/>
      <c r="AB97" s="40"/>
      <c r="AC97" s="39"/>
      <c r="AD97" s="40"/>
      <c r="AE97" s="39"/>
      <c r="AF97" s="42"/>
      <c r="AG97" s="41">
        <f t="shared" ca="1" si="45"/>
        <v>0</v>
      </c>
      <c r="AH97" s="42">
        <v>0</v>
      </c>
      <c r="AI97" s="43">
        <f t="shared" ca="1" si="46"/>
        <v>0</v>
      </c>
      <c r="AJ97" s="41">
        <f t="shared" si="47"/>
        <v>0</v>
      </c>
      <c r="AK97" s="46">
        <f t="shared" si="48"/>
        <v>0</v>
      </c>
      <c r="AL97" s="45">
        <f t="shared" ca="1" si="49"/>
        <v>0</v>
      </c>
      <c r="AM97" s="52"/>
    </row>
    <row r="98" spans="1:39" s="23" customFormat="1">
      <c r="A98" s="24"/>
      <c r="B98" s="55"/>
      <c r="C98" s="32"/>
      <c r="D98" s="32"/>
      <c r="E98" s="25"/>
      <c r="F98" s="61" t="str">
        <f t="shared" ca="1" si="5"/>
        <v xml:space="preserve"> </v>
      </c>
      <c r="G98" s="62"/>
      <c r="H98" s="63" t="str">
        <f t="shared" ca="1" si="6"/>
        <v xml:space="preserve"> </v>
      </c>
      <c r="I98" s="36"/>
      <c r="J98" s="37"/>
      <c r="K98" s="38"/>
      <c r="L98" s="37"/>
      <c r="M98" s="38"/>
      <c r="N98" s="42"/>
      <c r="O98" s="38"/>
      <c r="P98" s="37"/>
      <c r="Q98" s="38"/>
      <c r="R98" s="37"/>
      <c r="S98" s="39"/>
      <c r="T98" s="40"/>
      <c r="U98" s="39"/>
      <c r="V98" s="40"/>
      <c r="W98" s="39"/>
      <c r="X98" s="40"/>
      <c r="Y98" s="39"/>
      <c r="Z98" s="40"/>
      <c r="AA98" s="39"/>
      <c r="AB98" s="40"/>
      <c r="AC98" s="39"/>
      <c r="AD98" s="40"/>
      <c r="AE98" s="39"/>
      <c r="AF98" s="42"/>
      <c r="AG98" s="41">
        <f t="shared" ca="1" si="45"/>
        <v>0</v>
      </c>
      <c r="AH98" s="42">
        <v>0</v>
      </c>
      <c r="AI98" s="43">
        <f t="shared" ca="1" si="46"/>
        <v>0</v>
      </c>
      <c r="AJ98" s="41">
        <f t="shared" si="47"/>
        <v>0</v>
      </c>
      <c r="AK98" s="46">
        <f t="shared" si="48"/>
        <v>0</v>
      </c>
      <c r="AL98" s="45">
        <f t="shared" ca="1" si="49"/>
        <v>0</v>
      </c>
      <c r="AM98" s="52"/>
    </row>
    <row r="99" spans="1:39" s="23" customFormat="1">
      <c r="A99" s="24"/>
      <c r="B99" s="55"/>
      <c r="C99" s="32"/>
      <c r="D99" s="32"/>
      <c r="E99" s="25"/>
      <c r="F99" s="61" t="str">
        <f t="shared" ca="1" si="5"/>
        <v xml:space="preserve"> </v>
      </c>
      <c r="G99" s="62"/>
      <c r="H99" s="63" t="str">
        <f t="shared" ca="1" si="6"/>
        <v xml:space="preserve"> </v>
      </c>
      <c r="I99" s="36"/>
      <c r="J99" s="37"/>
      <c r="K99" s="38"/>
      <c r="L99" s="37"/>
      <c r="M99" s="38"/>
      <c r="N99" s="42"/>
      <c r="O99" s="38"/>
      <c r="P99" s="37"/>
      <c r="Q99" s="38"/>
      <c r="R99" s="37"/>
      <c r="S99" s="39"/>
      <c r="T99" s="40"/>
      <c r="U99" s="39"/>
      <c r="V99" s="40"/>
      <c r="W99" s="39"/>
      <c r="X99" s="40"/>
      <c r="Y99" s="39"/>
      <c r="Z99" s="40"/>
      <c r="AA99" s="39"/>
      <c r="AB99" s="40"/>
      <c r="AC99" s="39"/>
      <c r="AD99" s="40"/>
      <c r="AE99" s="39"/>
      <c r="AF99" s="42"/>
      <c r="AG99" s="41">
        <f t="shared" ca="1" si="45"/>
        <v>0</v>
      </c>
      <c r="AH99" s="42">
        <v>0</v>
      </c>
      <c r="AI99" s="43">
        <f t="shared" ca="1" si="46"/>
        <v>0</v>
      </c>
      <c r="AJ99" s="41">
        <f t="shared" si="47"/>
        <v>0</v>
      </c>
      <c r="AK99" s="46">
        <f t="shared" si="48"/>
        <v>0</v>
      </c>
      <c r="AL99" s="45">
        <f t="shared" ca="1" si="49"/>
        <v>0</v>
      </c>
      <c r="AM99" s="52"/>
    </row>
    <row r="100" spans="1:39" s="23" customFormat="1">
      <c r="A100" s="24"/>
      <c r="B100" s="55"/>
      <c r="C100" s="32"/>
      <c r="D100" s="32"/>
      <c r="E100" s="25"/>
      <c r="F100" s="61" t="str">
        <f t="shared" ca="1" si="5"/>
        <v xml:space="preserve"> </v>
      </c>
      <c r="G100" s="62"/>
      <c r="H100" s="63" t="str">
        <f t="shared" ca="1" si="6"/>
        <v xml:space="preserve"> </v>
      </c>
      <c r="I100" s="36"/>
      <c r="J100" s="37"/>
      <c r="K100" s="38"/>
      <c r="L100" s="37"/>
      <c r="M100" s="38"/>
      <c r="N100" s="42"/>
      <c r="O100" s="38"/>
      <c r="P100" s="37"/>
      <c r="Q100" s="38"/>
      <c r="R100" s="37"/>
      <c r="S100" s="39"/>
      <c r="T100" s="40"/>
      <c r="U100" s="39"/>
      <c r="V100" s="40"/>
      <c r="W100" s="39"/>
      <c r="X100" s="40"/>
      <c r="Y100" s="39"/>
      <c r="Z100" s="40"/>
      <c r="AA100" s="39"/>
      <c r="AB100" s="40"/>
      <c r="AC100" s="39"/>
      <c r="AD100" s="40"/>
      <c r="AE100" s="39"/>
      <c r="AF100" s="42"/>
      <c r="AG100" s="41">
        <f t="shared" ca="1" si="45"/>
        <v>0</v>
      </c>
      <c r="AH100" s="42">
        <v>0</v>
      </c>
      <c r="AI100" s="43">
        <f t="shared" ca="1" si="46"/>
        <v>0</v>
      </c>
      <c r="AJ100" s="41">
        <f t="shared" si="47"/>
        <v>0</v>
      </c>
      <c r="AK100" s="46">
        <f t="shared" si="48"/>
        <v>0</v>
      </c>
      <c r="AL100" s="45">
        <f t="shared" ca="1" si="49"/>
        <v>0</v>
      </c>
      <c r="AM100" s="52"/>
    </row>
    <row r="101" spans="1:39" s="23" customFormat="1">
      <c r="A101" s="24"/>
      <c r="B101" s="55"/>
      <c r="C101" s="32"/>
      <c r="D101" s="32"/>
      <c r="E101" s="25"/>
      <c r="F101" s="61" t="str">
        <f t="shared" ca="1" si="5"/>
        <v xml:space="preserve"> </v>
      </c>
      <c r="G101" s="62"/>
      <c r="H101" s="63" t="str">
        <f t="shared" ca="1" si="6"/>
        <v xml:space="preserve"> </v>
      </c>
      <c r="I101" s="36"/>
      <c r="J101" s="37"/>
      <c r="K101" s="38"/>
      <c r="L101" s="37"/>
      <c r="M101" s="38"/>
      <c r="N101" s="42"/>
      <c r="O101" s="38"/>
      <c r="P101" s="37"/>
      <c r="Q101" s="38"/>
      <c r="R101" s="37"/>
      <c r="S101" s="39"/>
      <c r="T101" s="40"/>
      <c r="U101" s="39"/>
      <c r="V101" s="40"/>
      <c r="W101" s="39"/>
      <c r="X101" s="40"/>
      <c r="Y101" s="39"/>
      <c r="Z101" s="40"/>
      <c r="AA101" s="39"/>
      <c r="AB101" s="40"/>
      <c r="AC101" s="39"/>
      <c r="AD101" s="40"/>
      <c r="AE101" s="39"/>
      <c r="AF101" s="42"/>
      <c r="AG101" s="41">
        <f t="shared" ca="1" si="45"/>
        <v>0</v>
      </c>
      <c r="AH101" s="42">
        <v>0</v>
      </c>
      <c r="AI101" s="43">
        <f t="shared" ca="1" si="46"/>
        <v>0</v>
      </c>
      <c r="AJ101" s="41">
        <f t="shared" si="47"/>
        <v>0</v>
      </c>
      <c r="AK101" s="46">
        <f t="shared" si="48"/>
        <v>0</v>
      </c>
      <c r="AL101" s="45">
        <f t="shared" ca="1" si="49"/>
        <v>0</v>
      </c>
      <c r="AM101" s="52"/>
    </row>
    <row r="102" spans="1:39" s="23" customFormat="1">
      <c r="A102" s="24"/>
      <c r="B102" s="55"/>
      <c r="C102" s="32"/>
      <c r="D102" s="32"/>
      <c r="E102" s="25"/>
      <c r="F102" s="61" t="str">
        <f t="shared" ca="1" si="5"/>
        <v xml:space="preserve"> </v>
      </c>
      <c r="G102" s="62"/>
      <c r="H102" s="63" t="str">
        <f t="shared" ca="1" si="6"/>
        <v xml:space="preserve"> </v>
      </c>
      <c r="I102" s="36"/>
      <c r="J102" s="37"/>
      <c r="K102" s="38"/>
      <c r="L102" s="37"/>
      <c r="M102" s="38"/>
      <c r="N102" s="42"/>
      <c r="O102" s="38"/>
      <c r="P102" s="37"/>
      <c r="Q102" s="38"/>
      <c r="R102" s="37"/>
      <c r="S102" s="39"/>
      <c r="T102" s="40"/>
      <c r="U102" s="39"/>
      <c r="V102" s="40"/>
      <c r="W102" s="39"/>
      <c r="X102" s="40"/>
      <c r="Y102" s="39"/>
      <c r="Z102" s="40"/>
      <c r="AA102" s="39"/>
      <c r="AB102" s="40"/>
      <c r="AC102" s="39"/>
      <c r="AD102" s="40"/>
      <c r="AE102" s="39"/>
      <c r="AF102" s="42"/>
      <c r="AG102" s="41">
        <f t="shared" ca="1" si="45"/>
        <v>0</v>
      </c>
      <c r="AH102" s="42">
        <v>0</v>
      </c>
      <c r="AI102" s="43">
        <f t="shared" ca="1" si="46"/>
        <v>0</v>
      </c>
      <c r="AJ102" s="41">
        <f t="shared" si="47"/>
        <v>0</v>
      </c>
      <c r="AK102" s="46">
        <f t="shared" si="48"/>
        <v>0</v>
      </c>
      <c r="AL102" s="45">
        <f t="shared" ca="1" si="49"/>
        <v>0</v>
      </c>
      <c r="AM102" s="52"/>
    </row>
    <row r="103" spans="1:39" s="23" customFormat="1">
      <c r="A103" s="24"/>
      <c r="B103" s="55"/>
      <c r="C103" s="32"/>
      <c r="D103" s="32"/>
      <c r="E103" s="25"/>
      <c r="F103" s="61" t="str">
        <f t="shared" ca="1" si="5"/>
        <v xml:space="preserve"> </v>
      </c>
      <c r="G103" s="62"/>
      <c r="H103" s="63" t="str">
        <f t="shared" ca="1" si="6"/>
        <v xml:space="preserve"> </v>
      </c>
      <c r="I103" s="36"/>
      <c r="J103" s="37"/>
      <c r="K103" s="38"/>
      <c r="L103" s="37"/>
      <c r="M103" s="38"/>
      <c r="N103" s="42"/>
      <c r="O103" s="38"/>
      <c r="P103" s="37"/>
      <c r="Q103" s="38"/>
      <c r="R103" s="37"/>
      <c r="S103" s="39"/>
      <c r="T103" s="40"/>
      <c r="U103" s="39"/>
      <c r="V103" s="40"/>
      <c r="W103" s="39"/>
      <c r="X103" s="40"/>
      <c r="Y103" s="39"/>
      <c r="Z103" s="40"/>
      <c r="AA103" s="39"/>
      <c r="AB103" s="40"/>
      <c r="AC103" s="39"/>
      <c r="AD103" s="40"/>
      <c r="AE103" s="39"/>
      <c r="AF103" s="42"/>
      <c r="AG103" s="41">
        <f t="shared" ca="1" si="45"/>
        <v>0</v>
      </c>
      <c r="AH103" s="42">
        <v>0</v>
      </c>
      <c r="AI103" s="43">
        <f t="shared" ca="1" si="46"/>
        <v>0</v>
      </c>
      <c r="AJ103" s="41">
        <f t="shared" si="47"/>
        <v>0</v>
      </c>
      <c r="AK103" s="46">
        <f t="shared" si="48"/>
        <v>0</v>
      </c>
      <c r="AL103" s="45">
        <f t="shared" ca="1" si="49"/>
        <v>0</v>
      </c>
      <c r="AM103" s="52"/>
    </row>
    <row r="104" spans="1:39" s="23" customFormat="1">
      <c r="A104" s="24"/>
      <c r="B104" s="55"/>
      <c r="C104" s="32"/>
      <c r="D104" s="32"/>
      <c r="E104" s="25"/>
      <c r="F104" s="61" t="str">
        <f t="shared" ca="1" si="5"/>
        <v xml:space="preserve"> </v>
      </c>
      <c r="G104" s="62"/>
      <c r="H104" s="63" t="str">
        <f t="shared" ca="1" si="6"/>
        <v xml:space="preserve"> </v>
      </c>
      <c r="I104" s="36"/>
      <c r="J104" s="37"/>
      <c r="K104" s="38"/>
      <c r="L104" s="37"/>
      <c r="M104" s="38"/>
      <c r="N104" s="42"/>
      <c r="O104" s="38"/>
      <c r="P104" s="37"/>
      <c r="Q104" s="38"/>
      <c r="R104" s="37"/>
      <c r="S104" s="39"/>
      <c r="T104" s="40"/>
      <c r="U104" s="39"/>
      <c r="V104" s="40"/>
      <c r="W104" s="39"/>
      <c r="X104" s="40"/>
      <c r="Y104" s="39"/>
      <c r="Z104" s="40"/>
      <c r="AA104" s="39"/>
      <c r="AB104" s="40"/>
      <c r="AC104" s="39"/>
      <c r="AD104" s="40"/>
      <c r="AE104" s="39"/>
      <c r="AF104" s="42"/>
      <c r="AG104" s="41">
        <f t="shared" ca="1" si="45"/>
        <v>0</v>
      </c>
      <c r="AH104" s="42">
        <v>0</v>
      </c>
      <c r="AI104" s="43">
        <f t="shared" ca="1" si="46"/>
        <v>0</v>
      </c>
      <c r="AJ104" s="41">
        <f t="shared" si="47"/>
        <v>0</v>
      </c>
      <c r="AK104" s="46">
        <f t="shared" si="48"/>
        <v>0</v>
      </c>
      <c r="AL104" s="45">
        <f t="shared" ca="1" si="49"/>
        <v>0</v>
      </c>
      <c r="AM104" s="52"/>
    </row>
    <row r="105" spans="1:39" s="23" customFormat="1">
      <c r="A105" s="24"/>
      <c r="B105" s="55"/>
      <c r="C105" s="32"/>
      <c r="D105" s="32"/>
      <c r="E105" s="25"/>
      <c r="F105" s="61" t="str">
        <f t="shared" ca="1" si="5"/>
        <v xml:space="preserve"> </v>
      </c>
      <c r="G105" s="62"/>
      <c r="H105" s="63" t="str">
        <f t="shared" ca="1" si="6"/>
        <v xml:space="preserve"> </v>
      </c>
      <c r="I105" s="36"/>
      <c r="J105" s="37"/>
      <c r="K105" s="38"/>
      <c r="L105" s="37"/>
      <c r="M105" s="38"/>
      <c r="N105" s="42"/>
      <c r="O105" s="38"/>
      <c r="P105" s="37"/>
      <c r="Q105" s="38"/>
      <c r="R105" s="37"/>
      <c r="S105" s="39"/>
      <c r="T105" s="40"/>
      <c r="U105" s="39"/>
      <c r="V105" s="40"/>
      <c r="W105" s="39"/>
      <c r="X105" s="40"/>
      <c r="Y105" s="39"/>
      <c r="Z105" s="40"/>
      <c r="AA105" s="39"/>
      <c r="AB105" s="40"/>
      <c r="AC105" s="39"/>
      <c r="AD105" s="40"/>
      <c r="AE105" s="39"/>
      <c r="AF105" s="42"/>
      <c r="AG105" s="41">
        <f t="shared" ca="1" si="45"/>
        <v>0</v>
      </c>
      <c r="AH105" s="42">
        <v>0</v>
      </c>
      <c r="AI105" s="43">
        <f t="shared" ca="1" si="46"/>
        <v>0</v>
      </c>
      <c r="AJ105" s="41">
        <f t="shared" si="47"/>
        <v>0</v>
      </c>
      <c r="AK105" s="46">
        <f t="shared" si="48"/>
        <v>0</v>
      </c>
      <c r="AL105" s="45">
        <f t="shared" ca="1" si="49"/>
        <v>0</v>
      </c>
      <c r="AM105" s="52"/>
    </row>
    <row r="106" spans="1:39" s="23" customFormat="1">
      <c r="A106" s="24"/>
      <c r="B106" s="55"/>
      <c r="C106" s="32"/>
      <c r="D106" s="32"/>
      <c r="E106" s="25"/>
      <c r="F106" s="61" t="str">
        <f t="shared" ca="1" si="5"/>
        <v xml:space="preserve"> </v>
      </c>
      <c r="G106" s="62"/>
      <c r="H106" s="63" t="str">
        <f t="shared" ca="1" si="6"/>
        <v xml:space="preserve"> </v>
      </c>
      <c r="I106" s="36"/>
      <c r="J106" s="37"/>
      <c r="K106" s="38"/>
      <c r="L106" s="37"/>
      <c r="M106" s="38"/>
      <c r="N106" s="42"/>
      <c r="O106" s="38"/>
      <c r="P106" s="37"/>
      <c r="Q106" s="38"/>
      <c r="R106" s="37"/>
      <c r="S106" s="39"/>
      <c r="T106" s="40"/>
      <c r="U106" s="39"/>
      <c r="V106" s="40"/>
      <c r="W106" s="39"/>
      <c r="X106" s="40"/>
      <c r="Y106" s="39"/>
      <c r="Z106" s="40"/>
      <c r="AA106" s="39"/>
      <c r="AB106" s="40"/>
      <c r="AC106" s="39"/>
      <c r="AD106" s="40"/>
      <c r="AE106" s="39"/>
      <c r="AF106" s="42"/>
      <c r="AG106" s="41">
        <f t="shared" ca="1" si="45"/>
        <v>0</v>
      </c>
      <c r="AH106" s="42">
        <v>0</v>
      </c>
      <c r="AI106" s="43">
        <f t="shared" ca="1" si="46"/>
        <v>0</v>
      </c>
      <c r="AJ106" s="41">
        <f t="shared" si="47"/>
        <v>0</v>
      </c>
      <c r="AK106" s="46">
        <f t="shared" si="48"/>
        <v>0</v>
      </c>
      <c r="AL106" s="45">
        <f t="shared" ca="1" si="49"/>
        <v>0</v>
      </c>
      <c r="AM106" s="52"/>
    </row>
    <row r="107" spans="1:39" s="23" customFormat="1">
      <c r="A107" s="24"/>
      <c r="B107" s="55"/>
      <c r="C107" s="32"/>
      <c r="D107" s="32"/>
      <c r="E107" s="25"/>
      <c r="F107" s="61" t="str">
        <f t="shared" ca="1" si="5"/>
        <v xml:space="preserve"> </v>
      </c>
      <c r="G107" s="62"/>
      <c r="H107" s="63" t="str">
        <f t="shared" ca="1" si="6"/>
        <v xml:space="preserve"> </v>
      </c>
      <c r="I107" s="36"/>
      <c r="J107" s="37"/>
      <c r="K107" s="38"/>
      <c r="L107" s="37"/>
      <c r="M107" s="38"/>
      <c r="N107" s="42"/>
      <c r="O107" s="38"/>
      <c r="P107" s="37"/>
      <c r="Q107" s="38"/>
      <c r="R107" s="37"/>
      <c r="S107" s="39"/>
      <c r="T107" s="40"/>
      <c r="U107" s="39"/>
      <c r="V107" s="40"/>
      <c r="W107" s="39"/>
      <c r="X107" s="40"/>
      <c r="Y107" s="39"/>
      <c r="Z107" s="40"/>
      <c r="AA107" s="39"/>
      <c r="AB107" s="40"/>
      <c r="AC107" s="39"/>
      <c r="AD107" s="40"/>
      <c r="AE107" s="39"/>
      <c r="AF107" s="42"/>
      <c r="AG107" s="41">
        <f t="shared" ca="1" si="45"/>
        <v>0</v>
      </c>
      <c r="AH107" s="42">
        <v>0</v>
      </c>
      <c r="AI107" s="43">
        <f t="shared" ca="1" si="46"/>
        <v>0</v>
      </c>
      <c r="AJ107" s="41">
        <f t="shared" si="47"/>
        <v>0</v>
      </c>
      <c r="AK107" s="46">
        <f t="shared" si="48"/>
        <v>0</v>
      </c>
      <c r="AL107" s="45">
        <f t="shared" ca="1" si="49"/>
        <v>0</v>
      </c>
      <c r="AM107" s="52"/>
    </row>
    <row r="108" spans="1:39" s="23" customFormat="1">
      <c r="A108" s="24"/>
      <c r="B108" s="55"/>
      <c r="C108" s="32"/>
      <c r="D108" s="32"/>
      <c r="E108" s="25"/>
      <c r="F108" s="61" t="str">
        <f t="shared" ca="1" si="5"/>
        <v xml:space="preserve"> </v>
      </c>
      <c r="G108" s="62"/>
      <c r="H108" s="63" t="str">
        <f t="shared" ca="1" si="6"/>
        <v xml:space="preserve"> </v>
      </c>
      <c r="I108" s="36"/>
      <c r="J108" s="37"/>
      <c r="K108" s="38"/>
      <c r="L108" s="37"/>
      <c r="M108" s="38"/>
      <c r="N108" s="42"/>
      <c r="O108" s="38"/>
      <c r="P108" s="37"/>
      <c r="Q108" s="38"/>
      <c r="R108" s="37"/>
      <c r="S108" s="39"/>
      <c r="T108" s="40"/>
      <c r="U108" s="39"/>
      <c r="V108" s="40"/>
      <c r="W108" s="39"/>
      <c r="X108" s="40"/>
      <c r="Y108" s="39"/>
      <c r="Z108" s="40"/>
      <c r="AA108" s="39"/>
      <c r="AB108" s="40"/>
      <c r="AC108" s="39"/>
      <c r="AD108" s="40"/>
      <c r="AE108" s="39"/>
      <c r="AF108" s="42"/>
      <c r="AG108" s="41">
        <f t="shared" ca="1" si="45"/>
        <v>0</v>
      </c>
      <c r="AH108" s="42">
        <v>0</v>
      </c>
      <c r="AI108" s="43">
        <f t="shared" ca="1" si="46"/>
        <v>0</v>
      </c>
      <c r="AJ108" s="41">
        <f t="shared" si="47"/>
        <v>0</v>
      </c>
      <c r="AK108" s="46">
        <f t="shared" si="48"/>
        <v>0</v>
      </c>
      <c r="AL108" s="45">
        <f t="shared" ca="1" si="49"/>
        <v>0</v>
      </c>
      <c r="AM108" s="52"/>
    </row>
    <row r="109" spans="1:39" s="23" customFormat="1">
      <c r="A109" s="24"/>
      <c r="B109" s="55"/>
      <c r="C109" s="32"/>
      <c r="D109" s="32"/>
      <c r="E109" s="25"/>
      <c r="F109" s="61" t="str">
        <f t="shared" ca="1" si="5"/>
        <v xml:space="preserve"> </v>
      </c>
      <c r="G109" s="62"/>
      <c r="H109" s="63" t="str">
        <f t="shared" ca="1" si="6"/>
        <v xml:space="preserve"> </v>
      </c>
      <c r="I109" s="36"/>
      <c r="J109" s="37"/>
      <c r="K109" s="38"/>
      <c r="L109" s="37"/>
      <c r="M109" s="38"/>
      <c r="N109" s="42"/>
      <c r="O109" s="38"/>
      <c r="P109" s="37"/>
      <c r="Q109" s="38"/>
      <c r="R109" s="37"/>
      <c r="S109" s="39"/>
      <c r="T109" s="40"/>
      <c r="U109" s="39"/>
      <c r="V109" s="40"/>
      <c r="W109" s="39"/>
      <c r="X109" s="40"/>
      <c r="Y109" s="39"/>
      <c r="Z109" s="40"/>
      <c r="AA109" s="39"/>
      <c r="AB109" s="40"/>
      <c r="AC109" s="39"/>
      <c r="AD109" s="40"/>
      <c r="AE109" s="39"/>
      <c r="AF109" s="42"/>
      <c r="AG109" s="41">
        <f t="shared" ca="1" si="45"/>
        <v>0</v>
      </c>
      <c r="AH109" s="42">
        <v>0</v>
      </c>
      <c r="AI109" s="43">
        <f t="shared" ca="1" si="46"/>
        <v>0</v>
      </c>
      <c r="AJ109" s="41">
        <f t="shared" si="47"/>
        <v>0</v>
      </c>
      <c r="AK109" s="46">
        <f t="shared" si="48"/>
        <v>0</v>
      </c>
      <c r="AL109" s="45">
        <f t="shared" ca="1" si="49"/>
        <v>0</v>
      </c>
      <c r="AM109" s="52"/>
    </row>
    <row r="110" spans="1:39" s="23" customFormat="1">
      <c r="A110" s="24"/>
      <c r="B110" s="55"/>
      <c r="C110" s="32"/>
      <c r="D110" s="32"/>
      <c r="E110" s="25"/>
      <c r="F110" s="61" t="str">
        <f t="shared" ca="1" si="5"/>
        <v xml:space="preserve"> </v>
      </c>
      <c r="G110" s="62"/>
      <c r="H110" s="63" t="str">
        <f t="shared" ca="1" si="6"/>
        <v xml:space="preserve"> </v>
      </c>
      <c r="I110" s="36"/>
      <c r="J110" s="37"/>
      <c r="K110" s="38"/>
      <c r="L110" s="37"/>
      <c r="M110" s="38"/>
      <c r="N110" s="42"/>
      <c r="O110" s="38"/>
      <c r="P110" s="37"/>
      <c r="Q110" s="38"/>
      <c r="R110" s="37"/>
      <c r="S110" s="39"/>
      <c r="T110" s="40"/>
      <c r="U110" s="39"/>
      <c r="V110" s="40"/>
      <c r="W110" s="39"/>
      <c r="X110" s="40"/>
      <c r="Y110" s="39"/>
      <c r="Z110" s="40"/>
      <c r="AA110" s="39"/>
      <c r="AB110" s="40"/>
      <c r="AC110" s="39"/>
      <c r="AD110" s="40"/>
      <c r="AE110" s="39"/>
      <c r="AF110" s="42"/>
      <c r="AG110" s="41">
        <f t="shared" ca="1" si="45"/>
        <v>0</v>
      </c>
      <c r="AH110" s="42">
        <v>0</v>
      </c>
      <c r="AI110" s="43">
        <f t="shared" ca="1" si="46"/>
        <v>0</v>
      </c>
      <c r="AJ110" s="41">
        <f t="shared" si="47"/>
        <v>0</v>
      </c>
      <c r="AK110" s="46">
        <f t="shared" si="48"/>
        <v>0</v>
      </c>
      <c r="AL110" s="45">
        <f t="shared" ca="1" si="49"/>
        <v>0</v>
      </c>
      <c r="AM110" s="52"/>
    </row>
    <row r="111" spans="1:39" s="23" customFormat="1">
      <c r="A111" s="24"/>
      <c r="B111" s="55"/>
      <c r="C111" s="32"/>
      <c r="D111" s="32"/>
      <c r="E111" s="25"/>
      <c r="F111" s="61" t="str">
        <f t="shared" ca="1" si="5"/>
        <v xml:space="preserve"> </v>
      </c>
      <c r="G111" s="62"/>
      <c r="H111" s="63" t="str">
        <f t="shared" ca="1" si="6"/>
        <v xml:space="preserve"> </v>
      </c>
      <c r="I111" s="36"/>
      <c r="J111" s="37"/>
      <c r="K111" s="38"/>
      <c r="L111" s="37"/>
      <c r="M111" s="38"/>
      <c r="N111" s="42"/>
      <c r="O111" s="38"/>
      <c r="P111" s="37"/>
      <c r="Q111" s="38"/>
      <c r="R111" s="37"/>
      <c r="S111" s="39"/>
      <c r="T111" s="40"/>
      <c r="U111" s="39"/>
      <c r="V111" s="40"/>
      <c r="W111" s="39"/>
      <c r="X111" s="40"/>
      <c r="Y111" s="39"/>
      <c r="Z111" s="40"/>
      <c r="AA111" s="39"/>
      <c r="AB111" s="40"/>
      <c r="AC111" s="39"/>
      <c r="AD111" s="40"/>
      <c r="AE111" s="39"/>
      <c r="AF111" s="42"/>
      <c r="AG111" s="41">
        <f t="shared" ca="1" si="45"/>
        <v>0</v>
      </c>
      <c r="AH111" s="42">
        <v>0</v>
      </c>
      <c r="AI111" s="43">
        <f t="shared" ca="1" si="46"/>
        <v>0</v>
      </c>
      <c r="AJ111" s="41">
        <f t="shared" si="47"/>
        <v>0</v>
      </c>
      <c r="AK111" s="46">
        <f t="shared" si="48"/>
        <v>0</v>
      </c>
      <c r="AL111" s="45">
        <f t="shared" ca="1" si="49"/>
        <v>0</v>
      </c>
      <c r="AM111" s="52"/>
    </row>
    <row r="112" spans="1:39" s="23" customFormat="1">
      <c r="A112" s="24"/>
      <c r="B112" s="55"/>
      <c r="C112" s="32"/>
      <c r="D112" s="32"/>
      <c r="E112" s="25"/>
      <c r="F112" s="61" t="str">
        <f t="shared" ca="1" si="5"/>
        <v xml:space="preserve"> </v>
      </c>
      <c r="G112" s="62"/>
      <c r="H112" s="63" t="str">
        <f t="shared" ca="1" si="6"/>
        <v xml:space="preserve"> </v>
      </c>
      <c r="I112" s="36"/>
      <c r="J112" s="37"/>
      <c r="K112" s="38"/>
      <c r="L112" s="37"/>
      <c r="M112" s="38"/>
      <c r="N112" s="42"/>
      <c r="O112" s="38"/>
      <c r="P112" s="37"/>
      <c r="Q112" s="38"/>
      <c r="R112" s="37"/>
      <c r="S112" s="39"/>
      <c r="T112" s="40"/>
      <c r="U112" s="39"/>
      <c r="V112" s="40"/>
      <c r="W112" s="39"/>
      <c r="X112" s="40"/>
      <c r="Y112" s="39"/>
      <c r="Z112" s="40"/>
      <c r="AA112" s="39"/>
      <c r="AB112" s="40"/>
      <c r="AC112" s="39"/>
      <c r="AD112" s="40"/>
      <c r="AE112" s="39"/>
      <c r="AF112" s="42"/>
      <c r="AG112" s="41">
        <f t="shared" ca="1" si="45"/>
        <v>0</v>
      </c>
      <c r="AH112" s="42">
        <v>0</v>
      </c>
      <c r="AI112" s="43">
        <f t="shared" ca="1" si="46"/>
        <v>0</v>
      </c>
      <c r="AJ112" s="41">
        <f t="shared" si="47"/>
        <v>0</v>
      </c>
      <c r="AK112" s="46">
        <f t="shared" si="48"/>
        <v>0</v>
      </c>
      <c r="AL112" s="45">
        <f t="shared" ca="1" si="49"/>
        <v>0</v>
      </c>
      <c r="AM112" s="52"/>
    </row>
    <row r="113" spans="1:39" s="23" customFormat="1">
      <c r="A113" s="24"/>
      <c r="B113" s="55"/>
      <c r="C113" s="32"/>
      <c r="D113" s="32"/>
      <c r="E113" s="25"/>
      <c r="F113" s="61" t="str">
        <f t="shared" ca="1" si="5"/>
        <v xml:space="preserve"> </v>
      </c>
      <c r="G113" s="62"/>
      <c r="H113" s="63" t="str">
        <f t="shared" ca="1" si="6"/>
        <v xml:space="preserve"> </v>
      </c>
      <c r="I113" s="36"/>
      <c r="J113" s="37"/>
      <c r="K113" s="38"/>
      <c r="L113" s="37"/>
      <c r="M113" s="38"/>
      <c r="N113" s="42"/>
      <c r="O113" s="38"/>
      <c r="P113" s="37"/>
      <c r="Q113" s="38"/>
      <c r="R113" s="37"/>
      <c r="S113" s="39"/>
      <c r="T113" s="40"/>
      <c r="U113" s="39"/>
      <c r="V113" s="40"/>
      <c r="W113" s="39"/>
      <c r="X113" s="40"/>
      <c r="Y113" s="39"/>
      <c r="Z113" s="40"/>
      <c r="AA113" s="39"/>
      <c r="AB113" s="40"/>
      <c r="AC113" s="39"/>
      <c r="AD113" s="40"/>
      <c r="AE113" s="39"/>
      <c r="AF113" s="42"/>
      <c r="AG113" s="41">
        <f t="shared" ca="1" si="45"/>
        <v>0</v>
      </c>
      <c r="AH113" s="42">
        <v>0</v>
      </c>
      <c r="AI113" s="43">
        <f t="shared" ca="1" si="46"/>
        <v>0</v>
      </c>
      <c r="AJ113" s="41">
        <f t="shared" si="47"/>
        <v>0</v>
      </c>
      <c r="AK113" s="46">
        <f t="shared" si="48"/>
        <v>0</v>
      </c>
      <c r="AL113" s="45">
        <f t="shared" ca="1" si="49"/>
        <v>0</v>
      </c>
      <c r="AM113" s="52"/>
    </row>
    <row r="114" spans="1:39" s="23" customFormat="1">
      <c r="A114" s="24"/>
      <c r="B114" s="55"/>
      <c r="C114" s="32"/>
      <c r="D114" s="32"/>
      <c r="E114" s="25"/>
      <c r="F114" s="61" t="str">
        <f t="shared" ca="1" si="5"/>
        <v xml:space="preserve"> </v>
      </c>
      <c r="G114" s="62"/>
      <c r="H114" s="63" t="str">
        <f t="shared" ca="1" si="6"/>
        <v xml:space="preserve"> </v>
      </c>
      <c r="I114" s="36"/>
      <c r="J114" s="37"/>
      <c r="K114" s="38"/>
      <c r="L114" s="37"/>
      <c r="M114" s="38"/>
      <c r="N114" s="42"/>
      <c r="O114" s="38"/>
      <c r="P114" s="37"/>
      <c r="Q114" s="38"/>
      <c r="R114" s="37"/>
      <c r="S114" s="39"/>
      <c r="T114" s="40"/>
      <c r="U114" s="39"/>
      <c r="V114" s="40"/>
      <c r="W114" s="39"/>
      <c r="X114" s="40"/>
      <c r="Y114" s="39"/>
      <c r="Z114" s="40"/>
      <c r="AA114" s="39"/>
      <c r="AB114" s="40"/>
      <c r="AC114" s="39"/>
      <c r="AD114" s="40"/>
      <c r="AE114" s="39"/>
      <c r="AF114" s="42"/>
      <c r="AG114" s="41">
        <f t="shared" ca="1" si="45"/>
        <v>0</v>
      </c>
      <c r="AH114" s="42">
        <v>0</v>
      </c>
      <c r="AI114" s="43">
        <f t="shared" ca="1" si="46"/>
        <v>0</v>
      </c>
      <c r="AJ114" s="41">
        <f t="shared" si="47"/>
        <v>0</v>
      </c>
      <c r="AK114" s="46">
        <f t="shared" si="48"/>
        <v>0</v>
      </c>
      <c r="AL114" s="45">
        <f t="shared" ca="1" si="49"/>
        <v>0</v>
      </c>
      <c r="AM114" s="52"/>
    </row>
    <row r="115" spans="1:39" s="23" customFormat="1">
      <c r="A115" s="24"/>
      <c r="B115" s="55"/>
      <c r="C115" s="32"/>
      <c r="D115" s="32"/>
      <c r="E115" s="25"/>
      <c r="F115" s="61" t="str">
        <f t="shared" ca="1" si="5"/>
        <v xml:space="preserve"> </v>
      </c>
      <c r="G115" s="62"/>
      <c r="H115" s="63" t="str">
        <f t="shared" ca="1" si="6"/>
        <v xml:space="preserve"> </v>
      </c>
      <c r="I115" s="36"/>
      <c r="J115" s="37"/>
      <c r="K115" s="38"/>
      <c r="L115" s="37"/>
      <c r="M115" s="38"/>
      <c r="N115" s="42"/>
      <c r="O115" s="38"/>
      <c r="P115" s="37"/>
      <c r="Q115" s="38"/>
      <c r="R115" s="37"/>
      <c r="S115" s="39"/>
      <c r="T115" s="40"/>
      <c r="U115" s="39"/>
      <c r="V115" s="40"/>
      <c r="W115" s="39"/>
      <c r="X115" s="40"/>
      <c r="Y115" s="39"/>
      <c r="Z115" s="40"/>
      <c r="AA115" s="39"/>
      <c r="AB115" s="40"/>
      <c r="AC115" s="39"/>
      <c r="AD115" s="40"/>
      <c r="AE115" s="39"/>
      <c r="AF115" s="42"/>
      <c r="AG115" s="41">
        <f t="shared" ca="1" si="45"/>
        <v>0</v>
      </c>
      <c r="AH115" s="42">
        <v>0</v>
      </c>
      <c r="AI115" s="43">
        <f t="shared" ca="1" si="46"/>
        <v>0</v>
      </c>
      <c r="AJ115" s="41">
        <f t="shared" si="47"/>
        <v>0</v>
      </c>
      <c r="AK115" s="46">
        <f t="shared" si="48"/>
        <v>0</v>
      </c>
      <c r="AL115" s="45">
        <f t="shared" ca="1" si="49"/>
        <v>0</v>
      </c>
      <c r="AM115" s="52"/>
    </row>
    <row r="116" spans="1:39" s="23" customFormat="1">
      <c r="A116" s="24"/>
      <c r="B116" s="55"/>
      <c r="C116" s="32"/>
      <c r="D116" s="32"/>
      <c r="E116" s="25"/>
      <c r="F116" s="61" t="str">
        <f t="shared" ca="1" si="5"/>
        <v xml:space="preserve"> </v>
      </c>
      <c r="G116" s="62"/>
      <c r="H116" s="63" t="str">
        <f t="shared" ca="1" si="6"/>
        <v xml:space="preserve"> </v>
      </c>
      <c r="I116" s="36"/>
      <c r="J116" s="37"/>
      <c r="K116" s="38"/>
      <c r="L116" s="37"/>
      <c r="M116" s="38"/>
      <c r="N116" s="42"/>
      <c r="O116" s="38"/>
      <c r="P116" s="37"/>
      <c r="Q116" s="38"/>
      <c r="R116" s="37"/>
      <c r="S116" s="39"/>
      <c r="T116" s="40"/>
      <c r="U116" s="39"/>
      <c r="V116" s="40"/>
      <c r="W116" s="39"/>
      <c r="X116" s="40"/>
      <c r="Y116" s="39"/>
      <c r="Z116" s="40"/>
      <c r="AA116" s="39"/>
      <c r="AB116" s="40"/>
      <c r="AC116" s="39"/>
      <c r="AD116" s="40"/>
      <c r="AE116" s="39"/>
      <c r="AF116" s="42"/>
      <c r="AG116" s="41">
        <f t="shared" ca="1" si="45"/>
        <v>0</v>
      </c>
      <c r="AH116" s="42">
        <v>0</v>
      </c>
      <c r="AI116" s="43">
        <f t="shared" ca="1" si="46"/>
        <v>0</v>
      </c>
      <c r="AJ116" s="41">
        <f t="shared" si="47"/>
        <v>0</v>
      </c>
      <c r="AK116" s="46">
        <f t="shared" si="48"/>
        <v>0</v>
      </c>
      <c r="AL116" s="45">
        <f t="shared" ca="1" si="49"/>
        <v>0</v>
      </c>
      <c r="AM116" s="52"/>
    </row>
    <row r="117" spans="1:39" s="23" customFormat="1">
      <c r="A117" s="24"/>
      <c r="B117" s="55"/>
      <c r="C117" s="32"/>
      <c r="D117" s="32"/>
      <c r="E117" s="25"/>
      <c r="F117" s="61" t="str">
        <f t="shared" ca="1" si="5"/>
        <v xml:space="preserve"> </v>
      </c>
      <c r="G117" s="62"/>
      <c r="H117" s="63" t="str">
        <f t="shared" ca="1" si="6"/>
        <v xml:space="preserve"> </v>
      </c>
      <c r="I117" s="36"/>
      <c r="J117" s="37"/>
      <c r="K117" s="38"/>
      <c r="L117" s="37"/>
      <c r="M117" s="38"/>
      <c r="N117" s="42"/>
      <c r="O117" s="38"/>
      <c r="P117" s="37"/>
      <c r="Q117" s="38"/>
      <c r="R117" s="37"/>
      <c r="S117" s="39"/>
      <c r="T117" s="40"/>
      <c r="U117" s="39"/>
      <c r="V117" s="40"/>
      <c r="W117" s="39"/>
      <c r="X117" s="40"/>
      <c r="Y117" s="39"/>
      <c r="Z117" s="40"/>
      <c r="AA117" s="39"/>
      <c r="AB117" s="40"/>
      <c r="AC117" s="39"/>
      <c r="AD117" s="40"/>
      <c r="AE117" s="39"/>
      <c r="AF117" s="42"/>
      <c r="AG117" s="41">
        <f t="shared" ca="1" si="45"/>
        <v>0</v>
      </c>
      <c r="AH117" s="42">
        <v>0</v>
      </c>
      <c r="AI117" s="43">
        <f t="shared" ca="1" si="46"/>
        <v>0</v>
      </c>
      <c r="AJ117" s="41">
        <f t="shared" si="47"/>
        <v>0</v>
      </c>
      <c r="AK117" s="46">
        <f t="shared" si="48"/>
        <v>0</v>
      </c>
      <c r="AL117" s="45">
        <f t="shared" ca="1" si="49"/>
        <v>0</v>
      </c>
      <c r="AM117" s="52"/>
    </row>
    <row r="118" spans="1:39" s="23" customFormat="1">
      <c r="A118" s="24"/>
      <c r="B118" s="55"/>
      <c r="C118" s="32"/>
      <c r="D118" s="32"/>
      <c r="E118" s="25"/>
      <c r="F118" s="61" t="str">
        <f t="shared" ca="1" si="5"/>
        <v xml:space="preserve"> </v>
      </c>
      <c r="G118" s="62"/>
      <c r="H118" s="63" t="str">
        <f t="shared" ca="1" si="6"/>
        <v xml:space="preserve"> </v>
      </c>
      <c r="I118" s="36"/>
      <c r="J118" s="37"/>
      <c r="K118" s="38"/>
      <c r="L118" s="37"/>
      <c r="M118" s="38"/>
      <c r="N118" s="42"/>
      <c r="O118" s="38"/>
      <c r="P118" s="37"/>
      <c r="Q118" s="38"/>
      <c r="R118" s="37"/>
      <c r="S118" s="39"/>
      <c r="T118" s="40"/>
      <c r="U118" s="39"/>
      <c r="V118" s="40"/>
      <c r="W118" s="39"/>
      <c r="X118" s="40"/>
      <c r="Y118" s="39"/>
      <c r="Z118" s="40"/>
      <c r="AA118" s="39"/>
      <c r="AB118" s="40"/>
      <c r="AC118" s="39"/>
      <c r="AD118" s="40"/>
      <c r="AE118" s="39"/>
      <c r="AF118" s="42"/>
      <c r="AG118" s="41">
        <f t="shared" ca="1" si="45"/>
        <v>0</v>
      </c>
      <c r="AH118" s="42">
        <v>0</v>
      </c>
      <c r="AI118" s="43">
        <f t="shared" ca="1" si="46"/>
        <v>0</v>
      </c>
      <c r="AJ118" s="41">
        <f t="shared" si="47"/>
        <v>0</v>
      </c>
      <c r="AK118" s="46">
        <f t="shared" si="48"/>
        <v>0</v>
      </c>
      <c r="AL118" s="45">
        <f t="shared" ca="1" si="49"/>
        <v>0</v>
      </c>
      <c r="AM118" s="52"/>
    </row>
    <row r="119" spans="1:39" s="23" customFormat="1">
      <c r="A119" s="24"/>
      <c r="B119" s="55"/>
      <c r="C119" s="32"/>
      <c r="D119" s="32"/>
      <c r="E119" s="25"/>
      <c r="F119" s="61" t="str">
        <f t="shared" ca="1" si="5"/>
        <v xml:space="preserve"> </v>
      </c>
      <c r="G119" s="62"/>
      <c r="H119" s="63" t="str">
        <f t="shared" ca="1" si="6"/>
        <v xml:space="preserve"> </v>
      </c>
      <c r="I119" s="36"/>
      <c r="J119" s="37"/>
      <c r="K119" s="38"/>
      <c r="L119" s="37"/>
      <c r="M119" s="38"/>
      <c r="N119" s="42"/>
      <c r="O119" s="38"/>
      <c r="P119" s="37"/>
      <c r="Q119" s="38"/>
      <c r="R119" s="37"/>
      <c r="S119" s="39"/>
      <c r="T119" s="40"/>
      <c r="U119" s="39"/>
      <c r="V119" s="40"/>
      <c r="W119" s="39"/>
      <c r="X119" s="40"/>
      <c r="Y119" s="39"/>
      <c r="Z119" s="40"/>
      <c r="AA119" s="39"/>
      <c r="AB119" s="40"/>
      <c r="AC119" s="39"/>
      <c r="AD119" s="40"/>
      <c r="AE119" s="39"/>
      <c r="AF119" s="42"/>
      <c r="AG119" s="41">
        <f t="shared" ca="1" si="45"/>
        <v>0</v>
      </c>
      <c r="AH119" s="42">
        <v>0</v>
      </c>
      <c r="AI119" s="43">
        <f t="shared" ca="1" si="46"/>
        <v>0</v>
      </c>
      <c r="AJ119" s="41">
        <f t="shared" si="47"/>
        <v>0</v>
      </c>
      <c r="AK119" s="46">
        <f t="shared" si="48"/>
        <v>0</v>
      </c>
      <c r="AL119" s="45">
        <f t="shared" ca="1" si="49"/>
        <v>0</v>
      </c>
      <c r="AM119" s="52"/>
    </row>
    <row r="120" spans="1:39" s="23" customFormat="1">
      <c r="A120" s="24"/>
      <c r="B120" s="55"/>
      <c r="C120" s="32"/>
      <c r="D120" s="32"/>
      <c r="E120" s="25"/>
      <c r="F120" s="61" t="str">
        <f t="shared" ca="1" si="5"/>
        <v xml:space="preserve"> </v>
      </c>
      <c r="G120" s="62"/>
      <c r="H120" s="63" t="str">
        <f t="shared" ca="1" si="6"/>
        <v xml:space="preserve"> </v>
      </c>
      <c r="I120" s="36"/>
      <c r="J120" s="37"/>
      <c r="K120" s="38"/>
      <c r="L120" s="37"/>
      <c r="M120" s="38"/>
      <c r="N120" s="42"/>
      <c r="O120" s="38"/>
      <c r="P120" s="37"/>
      <c r="Q120" s="38"/>
      <c r="R120" s="37"/>
      <c r="S120" s="39"/>
      <c r="T120" s="40"/>
      <c r="U120" s="39"/>
      <c r="V120" s="40"/>
      <c r="W120" s="39"/>
      <c r="X120" s="40"/>
      <c r="Y120" s="39"/>
      <c r="Z120" s="40"/>
      <c r="AA120" s="39"/>
      <c r="AB120" s="40"/>
      <c r="AC120" s="39"/>
      <c r="AD120" s="40"/>
      <c r="AE120" s="39"/>
      <c r="AF120" s="42"/>
      <c r="AG120" s="41">
        <f t="shared" ca="1" si="45"/>
        <v>0</v>
      </c>
      <c r="AH120" s="42">
        <v>0</v>
      </c>
      <c r="AI120" s="43">
        <f t="shared" ca="1" si="46"/>
        <v>0</v>
      </c>
      <c r="AJ120" s="41">
        <f t="shared" si="47"/>
        <v>0</v>
      </c>
      <c r="AK120" s="46">
        <f t="shared" si="48"/>
        <v>0</v>
      </c>
      <c r="AL120" s="45">
        <f t="shared" ca="1" si="49"/>
        <v>0</v>
      </c>
      <c r="AM120" s="52"/>
    </row>
    <row r="121" spans="1:39" s="23" customFormat="1">
      <c r="A121" s="24"/>
      <c r="B121" s="55"/>
      <c r="C121" s="32"/>
      <c r="D121" s="32"/>
      <c r="E121" s="25"/>
      <c r="F121" s="61" t="str">
        <f t="shared" ca="1" si="5"/>
        <v xml:space="preserve"> </v>
      </c>
      <c r="G121" s="62"/>
      <c r="H121" s="63" t="str">
        <f t="shared" ca="1" si="6"/>
        <v xml:space="preserve"> </v>
      </c>
      <c r="I121" s="36"/>
      <c r="J121" s="37"/>
      <c r="K121" s="38"/>
      <c r="L121" s="37"/>
      <c r="M121" s="38"/>
      <c r="N121" s="42"/>
      <c r="O121" s="38"/>
      <c r="P121" s="37"/>
      <c r="Q121" s="38"/>
      <c r="R121" s="37"/>
      <c r="S121" s="39"/>
      <c r="T121" s="40"/>
      <c r="U121" s="39"/>
      <c r="V121" s="40"/>
      <c r="W121" s="39"/>
      <c r="X121" s="40"/>
      <c r="Y121" s="39"/>
      <c r="Z121" s="40"/>
      <c r="AA121" s="39"/>
      <c r="AB121" s="40"/>
      <c r="AC121" s="39"/>
      <c r="AD121" s="40"/>
      <c r="AE121" s="39"/>
      <c r="AF121" s="42"/>
      <c r="AG121" s="41">
        <f t="shared" ca="1" si="45"/>
        <v>0</v>
      </c>
      <c r="AH121" s="42">
        <v>0</v>
      </c>
      <c r="AI121" s="43">
        <f t="shared" ca="1" si="46"/>
        <v>0</v>
      </c>
      <c r="AJ121" s="41">
        <f t="shared" si="47"/>
        <v>0</v>
      </c>
      <c r="AK121" s="46">
        <f t="shared" si="48"/>
        <v>0</v>
      </c>
      <c r="AL121" s="45">
        <f t="shared" ca="1" si="49"/>
        <v>0</v>
      </c>
      <c r="AM121" s="52"/>
    </row>
    <row r="122" spans="1:39" s="23" customFormat="1">
      <c r="A122" s="24"/>
      <c r="B122" s="55"/>
      <c r="C122" s="32"/>
      <c r="D122" s="32"/>
      <c r="E122" s="25"/>
      <c r="F122" s="61" t="str">
        <f t="shared" ca="1" si="5"/>
        <v xml:space="preserve"> </v>
      </c>
      <c r="G122" s="62"/>
      <c r="H122" s="63" t="str">
        <f t="shared" ca="1" si="6"/>
        <v xml:space="preserve"> </v>
      </c>
      <c r="I122" s="36"/>
      <c r="J122" s="37"/>
      <c r="K122" s="38"/>
      <c r="L122" s="37"/>
      <c r="M122" s="38"/>
      <c r="N122" s="42"/>
      <c r="O122" s="38"/>
      <c r="P122" s="37"/>
      <c r="Q122" s="38"/>
      <c r="R122" s="37"/>
      <c r="S122" s="39"/>
      <c r="T122" s="40"/>
      <c r="U122" s="39"/>
      <c r="V122" s="40"/>
      <c r="W122" s="39"/>
      <c r="X122" s="40"/>
      <c r="Y122" s="39"/>
      <c r="Z122" s="40"/>
      <c r="AA122" s="39"/>
      <c r="AB122" s="40"/>
      <c r="AC122" s="39"/>
      <c r="AD122" s="40"/>
      <c r="AE122" s="39"/>
      <c r="AF122" s="42"/>
      <c r="AG122" s="41">
        <f t="shared" ca="1" si="45"/>
        <v>0</v>
      </c>
      <c r="AH122" s="42">
        <v>0</v>
      </c>
      <c r="AI122" s="43">
        <f t="shared" ca="1" si="46"/>
        <v>0</v>
      </c>
      <c r="AJ122" s="41">
        <f t="shared" si="47"/>
        <v>0</v>
      </c>
      <c r="AK122" s="46">
        <f t="shared" si="48"/>
        <v>0</v>
      </c>
      <c r="AL122" s="45">
        <f t="shared" ca="1" si="49"/>
        <v>0</v>
      </c>
      <c r="AM122" s="52"/>
    </row>
    <row r="123" spans="1:39" s="23" customFormat="1">
      <c r="A123" s="24"/>
      <c r="B123" s="55"/>
      <c r="C123" s="32"/>
      <c r="D123" s="32"/>
      <c r="E123" s="25"/>
      <c r="F123" s="61" t="str">
        <f t="shared" ca="1" si="5"/>
        <v xml:space="preserve"> </v>
      </c>
      <c r="G123" s="62"/>
      <c r="H123" s="63" t="str">
        <f t="shared" ca="1" si="6"/>
        <v xml:space="preserve"> </v>
      </c>
      <c r="I123" s="36"/>
      <c r="J123" s="37"/>
      <c r="K123" s="38"/>
      <c r="L123" s="37"/>
      <c r="M123" s="38"/>
      <c r="N123" s="42"/>
      <c r="O123" s="38"/>
      <c r="P123" s="37"/>
      <c r="Q123" s="38"/>
      <c r="R123" s="37"/>
      <c r="S123" s="39"/>
      <c r="T123" s="40"/>
      <c r="U123" s="39"/>
      <c r="V123" s="40"/>
      <c r="W123" s="39"/>
      <c r="X123" s="40"/>
      <c r="Y123" s="39"/>
      <c r="Z123" s="40"/>
      <c r="AA123" s="39"/>
      <c r="AB123" s="40"/>
      <c r="AC123" s="39"/>
      <c r="AD123" s="40"/>
      <c r="AE123" s="39"/>
      <c r="AF123" s="42"/>
      <c r="AG123" s="41">
        <f t="shared" ca="1" si="45"/>
        <v>0</v>
      </c>
      <c r="AH123" s="42">
        <v>0</v>
      </c>
      <c r="AI123" s="43">
        <f t="shared" ca="1" si="46"/>
        <v>0</v>
      </c>
      <c r="AJ123" s="41">
        <f t="shared" si="47"/>
        <v>0</v>
      </c>
      <c r="AK123" s="46">
        <f t="shared" si="48"/>
        <v>0</v>
      </c>
      <c r="AL123" s="45">
        <f t="shared" ca="1" si="49"/>
        <v>0</v>
      </c>
      <c r="AM123" s="52"/>
    </row>
    <row r="124" spans="1:39" s="23" customFormat="1">
      <c r="A124" s="24"/>
      <c r="B124" s="55"/>
      <c r="C124" s="32"/>
      <c r="D124" s="32"/>
      <c r="E124" s="25"/>
      <c r="F124" s="61" t="str">
        <f t="shared" ca="1" si="5"/>
        <v xml:space="preserve"> </v>
      </c>
      <c r="G124" s="62"/>
      <c r="H124" s="63" t="str">
        <f t="shared" ca="1" si="6"/>
        <v xml:space="preserve"> </v>
      </c>
      <c r="I124" s="36"/>
      <c r="J124" s="37"/>
      <c r="K124" s="38"/>
      <c r="L124" s="37"/>
      <c r="M124" s="38"/>
      <c r="N124" s="42"/>
      <c r="O124" s="38"/>
      <c r="P124" s="37"/>
      <c r="Q124" s="38"/>
      <c r="R124" s="37"/>
      <c r="S124" s="39"/>
      <c r="T124" s="40"/>
      <c r="U124" s="39"/>
      <c r="V124" s="40"/>
      <c r="W124" s="39"/>
      <c r="X124" s="40"/>
      <c r="Y124" s="39"/>
      <c r="Z124" s="40"/>
      <c r="AA124" s="39"/>
      <c r="AB124" s="40"/>
      <c r="AC124" s="39"/>
      <c r="AD124" s="40"/>
      <c r="AE124" s="39"/>
      <c r="AF124" s="42"/>
      <c r="AG124" s="41">
        <f t="shared" ca="1" si="45"/>
        <v>0</v>
      </c>
      <c r="AH124" s="42">
        <v>0</v>
      </c>
      <c r="AI124" s="43">
        <f t="shared" ca="1" si="46"/>
        <v>0</v>
      </c>
      <c r="AJ124" s="41">
        <f t="shared" si="47"/>
        <v>0</v>
      </c>
      <c r="AK124" s="46">
        <f t="shared" si="48"/>
        <v>0</v>
      </c>
      <c r="AL124" s="45">
        <f t="shared" ca="1" si="49"/>
        <v>0</v>
      </c>
      <c r="AM124" s="52"/>
    </row>
    <row r="125" spans="1:39" s="23" customFormat="1">
      <c r="A125" s="24"/>
      <c r="B125" s="55"/>
      <c r="C125" s="32"/>
      <c r="D125" s="32"/>
      <c r="E125" s="25"/>
      <c r="F125" s="61" t="str">
        <f t="shared" ca="1" si="5"/>
        <v xml:space="preserve"> </v>
      </c>
      <c r="G125" s="62"/>
      <c r="H125" s="63" t="str">
        <f t="shared" ca="1" si="6"/>
        <v xml:space="preserve"> </v>
      </c>
      <c r="I125" s="36"/>
      <c r="J125" s="37"/>
      <c r="K125" s="38"/>
      <c r="L125" s="37"/>
      <c r="M125" s="38"/>
      <c r="N125" s="42"/>
      <c r="O125" s="38"/>
      <c r="P125" s="37"/>
      <c r="Q125" s="38"/>
      <c r="R125" s="37"/>
      <c r="S125" s="39"/>
      <c r="T125" s="40"/>
      <c r="U125" s="39"/>
      <c r="V125" s="40"/>
      <c r="W125" s="39"/>
      <c r="X125" s="40"/>
      <c r="Y125" s="39"/>
      <c r="Z125" s="40"/>
      <c r="AA125" s="39"/>
      <c r="AB125" s="40"/>
      <c r="AC125" s="39"/>
      <c r="AD125" s="40"/>
      <c r="AE125" s="39"/>
      <c r="AF125" s="42"/>
      <c r="AG125" s="41">
        <f t="shared" ca="1" si="45"/>
        <v>0</v>
      </c>
      <c r="AH125" s="42">
        <v>0</v>
      </c>
      <c r="AI125" s="43">
        <f t="shared" ca="1" si="46"/>
        <v>0</v>
      </c>
      <c r="AJ125" s="41">
        <f t="shared" si="47"/>
        <v>0</v>
      </c>
      <c r="AK125" s="46">
        <f t="shared" si="48"/>
        <v>0</v>
      </c>
      <c r="AL125" s="45">
        <f t="shared" ca="1" si="49"/>
        <v>0</v>
      </c>
      <c r="AM125" s="52"/>
    </row>
    <row r="126" spans="1:39" s="23" customFormat="1">
      <c r="A126" s="24"/>
      <c r="B126" s="55"/>
      <c r="C126" s="32"/>
      <c r="D126" s="32"/>
      <c r="E126" s="25"/>
      <c r="F126" s="61" t="str">
        <f t="shared" ca="1" si="5"/>
        <v xml:space="preserve"> </v>
      </c>
      <c r="G126" s="62"/>
      <c r="H126" s="63" t="str">
        <f t="shared" ca="1" si="6"/>
        <v xml:space="preserve"> </v>
      </c>
      <c r="I126" s="36"/>
      <c r="J126" s="37"/>
      <c r="K126" s="38"/>
      <c r="L126" s="37"/>
      <c r="M126" s="38"/>
      <c r="N126" s="42"/>
      <c r="O126" s="38"/>
      <c r="P126" s="37"/>
      <c r="Q126" s="38"/>
      <c r="R126" s="37"/>
      <c r="S126" s="39"/>
      <c r="T126" s="40"/>
      <c r="U126" s="39"/>
      <c r="V126" s="40"/>
      <c r="W126" s="39"/>
      <c r="X126" s="40"/>
      <c r="Y126" s="39"/>
      <c r="Z126" s="40"/>
      <c r="AA126" s="39"/>
      <c r="AB126" s="40"/>
      <c r="AC126" s="39"/>
      <c r="AD126" s="40"/>
      <c r="AE126" s="39"/>
      <c r="AF126" s="42"/>
      <c r="AG126" s="41">
        <f t="shared" ca="1" si="45"/>
        <v>0</v>
      </c>
      <c r="AH126" s="42">
        <v>0</v>
      </c>
      <c r="AI126" s="43">
        <f t="shared" ca="1" si="46"/>
        <v>0</v>
      </c>
      <c r="AJ126" s="41">
        <f t="shared" si="47"/>
        <v>0</v>
      </c>
      <c r="AK126" s="46">
        <f t="shared" si="48"/>
        <v>0</v>
      </c>
      <c r="AL126" s="45">
        <f t="shared" ca="1" si="49"/>
        <v>0</v>
      </c>
      <c r="AM126" s="52"/>
    </row>
    <row r="127" spans="1:39" s="23" customFormat="1">
      <c r="A127" s="24"/>
      <c r="B127" s="55"/>
      <c r="C127" s="32"/>
      <c r="D127" s="32"/>
      <c r="E127" s="25"/>
      <c r="F127" s="61" t="str">
        <f t="shared" ca="1" si="5"/>
        <v xml:space="preserve"> </v>
      </c>
      <c r="G127" s="62"/>
      <c r="H127" s="63" t="str">
        <f t="shared" ca="1" si="6"/>
        <v xml:space="preserve"> </v>
      </c>
      <c r="I127" s="36"/>
      <c r="J127" s="37"/>
      <c r="K127" s="38"/>
      <c r="L127" s="37"/>
      <c r="M127" s="38"/>
      <c r="N127" s="42"/>
      <c r="O127" s="38"/>
      <c r="P127" s="37"/>
      <c r="Q127" s="38"/>
      <c r="R127" s="37"/>
      <c r="S127" s="39"/>
      <c r="T127" s="40"/>
      <c r="U127" s="39"/>
      <c r="V127" s="40"/>
      <c r="W127" s="39"/>
      <c r="X127" s="40"/>
      <c r="Y127" s="39"/>
      <c r="Z127" s="40"/>
      <c r="AA127" s="39"/>
      <c r="AB127" s="40"/>
      <c r="AC127" s="39"/>
      <c r="AD127" s="40"/>
      <c r="AE127" s="39"/>
      <c r="AF127" s="42"/>
      <c r="AG127" s="41">
        <f t="shared" ca="1" si="45"/>
        <v>0</v>
      </c>
      <c r="AH127" s="42">
        <v>0</v>
      </c>
      <c r="AI127" s="43">
        <f t="shared" ca="1" si="46"/>
        <v>0</v>
      </c>
      <c r="AJ127" s="41">
        <f t="shared" si="47"/>
        <v>0</v>
      </c>
      <c r="AK127" s="46">
        <f t="shared" si="48"/>
        <v>0</v>
      </c>
      <c r="AL127" s="45">
        <f t="shared" ca="1" si="49"/>
        <v>0</v>
      </c>
      <c r="AM127" s="52"/>
    </row>
    <row r="128" spans="1:39" s="23" customFormat="1">
      <c r="A128" s="24"/>
      <c r="B128" s="55"/>
      <c r="C128" s="32"/>
      <c r="D128" s="32"/>
      <c r="E128" s="25"/>
      <c r="F128" s="61" t="str">
        <f t="shared" ca="1" si="5"/>
        <v xml:space="preserve"> </v>
      </c>
      <c r="G128" s="62"/>
      <c r="H128" s="63" t="str">
        <f t="shared" ca="1" si="6"/>
        <v xml:space="preserve"> </v>
      </c>
      <c r="I128" s="36"/>
      <c r="J128" s="37"/>
      <c r="K128" s="38"/>
      <c r="L128" s="37"/>
      <c r="M128" s="38"/>
      <c r="N128" s="42"/>
      <c r="O128" s="38"/>
      <c r="P128" s="37"/>
      <c r="Q128" s="38"/>
      <c r="R128" s="37"/>
      <c r="S128" s="39"/>
      <c r="T128" s="40"/>
      <c r="U128" s="39"/>
      <c r="V128" s="40"/>
      <c r="W128" s="39"/>
      <c r="X128" s="40"/>
      <c r="Y128" s="39"/>
      <c r="Z128" s="40"/>
      <c r="AA128" s="39"/>
      <c r="AB128" s="40"/>
      <c r="AC128" s="39"/>
      <c r="AD128" s="40"/>
      <c r="AE128" s="39"/>
      <c r="AF128" s="42"/>
      <c r="AG128" s="41">
        <f t="shared" ca="1" si="45"/>
        <v>0</v>
      </c>
      <c r="AH128" s="42">
        <v>0</v>
      </c>
      <c r="AI128" s="43">
        <f t="shared" ca="1" si="46"/>
        <v>0</v>
      </c>
      <c r="AJ128" s="41">
        <f t="shared" si="47"/>
        <v>0</v>
      </c>
      <c r="AK128" s="46">
        <f t="shared" si="48"/>
        <v>0</v>
      </c>
      <c r="AL128" s="45">
        <f t="shared" ca="1" si="49"/>
        <v>0</v>
      </c>
      <c r="AM128" s="52"/>
    </row>
    <row r="129" spans="1:39" s="23" customFormat="1">
      <c r="A129" s="24"/>
      <c r="B129" s="55"/>
      <c r="C129" s="32"/>
      <c r="D129" s="32"/>
      <c r="E129" s="25"/>
      <c r="F129" s="61" t="str">
        <f t="shared" ca="1" si="5"/>
        <v xml:space="preserve"> </v>
      </c>
      <c r="G129" s="62"/>
      <c r="H129" s="63" t="str">
        <f t="shared" ca="1" si="6"/>
        <v xml:space="preserve"> </v>
      </c>
      <c r="I129" s="36"/>
      <c r="J129" s="37"/>
      <c r="K129" s="38"/>
      <c r="L129" s="37"/>
      <c r="M129" s="38"/>
      <c r="N129" s="42"/>
      <c r="O129" s="38"/>
      <c r="P129" s="37"/>
      <c r="Q129" s="38"/>
      <c r="R129" s="37"/>
      <c r="S129" s="39"/>
      <c r="T129" s="40"/>
      <c r="U129" s="39"/>
      <c r="V129" s="40"/>
      <c r="W129" s="39"/>
      <c r="X129" s="40"/>
      <c r="Y129" s="39"/>
      <c r="Z129" s="40"/>
      <c r="AA129" s="39"/>
      <c r="AB129" s="40"/>
      <c r="AC129" s="39"/>
      <c r="AD129" s="40"/>
      <c r="AE129" s="39"/>
      <c r="AF129" s="42"/>
      <c r="AG129" s="41">
        <f t="shared" ca="1" si="45"/>
        <v>0</v>
      </c>
      <c r="AH129" s="42">
        <v>0</v>
      </c>
      <c r="AI129" s="43">
        <f t="shared" ca="1" si="46"/>
        <v>0</v>
      </c>
      <c r="AJ129" s="41">
        <f t="shared" si="47"/>
        <v>0</v>
      </c>
      <c r="AK129" s="46">
        <f t="shared" si="48"/>
        <v>0</v>
      </c>
      <c r="AL129" s="45">
        <f t="shared" ca="1" si="49"/>
        <v>0</v>
      </c>
      <c r="AM129" s="52"/>
    </row>
    <row r="130" spans="1:39" s="23" customFormat="1">
      <c r="A130" s="24"/>
      <c r="B130" s="55"/>
      <c r="C130" s="32"/>
      <c r="D130" s="32"/>
      <c r="E130" s="25"/>
      <c r="F130" s="61" t="str">
        <f t="shared" ca="1" si="5"/>
        <v xml:space="preserve"> </v>
      </c>
      <c r="G130" s="62"/>
      <c r="H130" s="63" t="str">
        <f t="shared" ca="1" si="6"/>
        <v xml:space="preserve"> </v>
      </c>
      <c r="I130" s="36"/>
      <c r="J130" s="37"/>
      <c r="K130" s="38"/>
      <c r="L130" s="37"/>
      <c r="M130" s="38"/>
      <c r="N130" s="42"/>
      <c r="O130" s="38"/>
      <c r="P130" s="37"/>
      <c r="Q130" s="38"/>
      <c r="R130" s="37"/>
      <c r="S130" s="39"/>
      <c r="T130" s="40"/>
      <c r="U130" s="39"/>
      <c r="V130" s="40"/>
      <c r="W130" s="39"/>
      <c r="X130" s="40"/>
      <c r="Y130" s="39"/>
      <c r="Z130" s="40"/>
      <c r="AA130" s="39"/>
      <c r="AB130" s="40"/>
      <c r="AC130" s="39"/>
      <c r="AD130" s="40"/>
      <c r="AE130" s="39"/>
      <c r="AF130" s="42"/>
      <c r="AG130" s="41">
        <f t="shared" ca="1" si="45"/>
        <v>0</v>
      </c>
      <c r="AH130" s="42">
        <v>0</v>
      </c>
      <c r="AI130" s="43">
        <f t="shared" ca="1" si="46"/>
        <v>0</v>
      </c>
      <c r="AJ130" s="41">
        <f t="shared" si="47"/>
        <v>0</v>
      </c>
      <c r="AK130" s="46">
        <f t="shared" si="48"/>
        <v>0</v>
      </c>
      <c r="AL130" s="45">
        <f t="shared" ca="1" si="49"/>
        <v>0</v>
      </c>
      <c r="AM130" s="52"/>
    </row>
    <row r="131" spans="1:39" s="23" customFormat="1">
      <c r="A131" s="24"/>
      <c r="B131" s="55"/>
      <c r="C131" s="32"/>
      <c r="D131" s="32"/>
      <c r="E131" s="25"/>
      <c r="F131" s="61" t="str">
        <f t="shared" ca="1" si="5"/>
        <v xml:space="preserve"> </v>
      </c>
      <c r="G131" s="62"/>
      <c r="H131" s="63" t="str">
        <f t="shared" ca="1" si="6"/>
        <v xml:space="preserve"> </v>
      </c>
      <c r="I131" s="36"/>
      <c r="J131" s="37"/>
      <c r="K131" s="38"/>
      <c r="L131" s="37"/>
      <c r="M131" s="38"/>
      <c r="N131" s="42"/>
      <c r="O131" s="38"/>
      <c r="P131" s="37"/>
      <c r="Q131" s="38"/>
      <c r="R131" s="37"/>
      <c r="S131" s="39"/>
      <c r="T131" s="40"/>
      <c r="U131" s="39"/>
      <c r="V131" s="40"/>
      <c r="W131" s="39"/>
      <c r="X131" s="40"/>
      <c r="Y131" s="39"/>
      <c r="Z131" s="40"/>
      <c r="AA131" s="39"/>
      <c r="AB131" s="40"/>
      <c r="AC131" s="39"/>
      <c r="AD131" s="40"/>
      <c r="AE131" s="39"/>
      <c r="AF131" s="42"/>
      <c r="AG131" s="41">
        <f t="shared" ca="1" si="45"/>
        <v>0</v>
      </c>
      <c r="AH131" s="42">
        <v>0</v>
      </c>
      <c r="AI131" s="43">
        <f t="shared" ca="1" si="46"/>
        <v>0</v>
      </c>
      <c r="AJ131" s="41">
        <f t="shared" si="47"/>
        <v>0</v>
      </c>
      <c r="AK131" s="46">
        <f t="shared" si="48"/>
        <v>0</v>
      </c>
      <c r="AL131" s="45">
        <f t="shared" ca="1" si="49"/>
        <v>0</v>
      </c>
      <c r="AM131" s="52"/>
    </row>
    <row r="132" spans="1:39" s="23" customFormat="1">
      <c r="A132" s="24"/>
      <c r="B132" s="55"/>
      <c r="C132" s="32"/>
      <c r="D132" s="32"/>
      <c r="E132" s="25"/>
      <c r="F132" s="61" t="str">
        <f t="shared" ca="1" si="5"/>
        <v xml:space="preserve"> </v>
      </c>
      <c r="G132" s="62"/>
      <c r="H132" s="63" t="str">
        <f t="shared" ca="1" si="6"/>
        <v xml:space="preserve"> </v>
      </c>
      <c r="I132" s="36"/>
      <c r="J132" s="37"/>
      <c r="K132" s="38"/>
      <c r="L132" s="37"/>
      <c r="M132" s="38"/>
      <c r="N132" s="42"/>
      <c r="O132" s="38"/>
      <c r="P132" s="37"/>
      <c r="Q132" s="38"/>
      <c r="R132" s="37"/>
      <c r="S132" s="39"/>
      <c r="T132" s="40"/>
      <c r="U132" s="39"/>
      <c r="V132" s="40"/>
      <c r="W132" s="39"/>
      <c r="X132" s="40"/>
      <c r="Y132" s="39"/>
      <c r="Z132" s="40"/>
      <c r="AA132" s="39"/>
      <c r="AB132" s="40"/>
      <c r="AC132" s="39"/>
      <c r="AD132" s="40"/>
      <c r="AE132" s="39"/>
      <c r="AF132" s="42"/>
      <c r="AG132" s="41">
        <f t="shared" ca="1" si="45"/>
        <v>0</v>
      </c>
      <c r="AH132" s="42">
        <v>0</v>
      </c>
      <c r="AI132" s="43">
        <f t="shared" ca="1" si="46"/>
        <v>0</v>
      </c>
      <c r="AJ132" s="41">
        <f t="shared" si="47"/>
        <v>0</v>
      </c>
      <c r="AK132" s="46">
        <f t="shared" si="48"/>
        <v>0</v>
      </c>
      <c r="AL132" s="45">
        <f t="shared" ca="1" si="49"/>
        <v>0</v>
      </c>
      <c r="AM132" s="52"/>
    </row>
    <row r="133" spans="1:39" s="23" customFormat="1">
      <c r="A133" s="24"/>
      <c r="B133" s="55"/>
      <c r="C133" s="32"/>
      <c r="D133" s="32"/>
      <c r="E133" s="25"/>
      <c r="F133" s="61" t="str">
        <f t="shared" ca="1" si="5"/>
        <v xml:space="preserve"> </v>
      </c>
      <c r="G133" s="62"/>
      <c r="H133" s="63" t="str">
        <f t="shared" ca="1" si="6"/>
        <v xml:space="preserve"> </v>
      </c>
      <c r="I133" s="36"/>
      <c r="J133" s="37"/>
      <c r="K133" s="38"/>
      <c r="L133" s="37"/>
      <c r="M133" s="38"/>
      <c r="N133" s="42"/>
      <c r="O133" s="38"/>
      <c r="P133" s="37"/>
      <c r="Q133" s="38"/>
      <c r="R133" s="37"/>
      <c r="S133" s="39"/>
      <c r="T133" s="40"/>
      <c r="U133" s="39"/>
      <c r="V133" s="40"/>
      <c r="W133" s="39"/>
      <c r="X133" s="40"/>
      <c r="Y133" s="39"/>
      <c r="Z133" s="40"/>
      <c r="AA133" s="39"/>
      <c r="AB133" s="40"/>
      <c r="AC133" s="39"/>
      <c r="AD133" s="40"/>
      <c r="AE133" s="39"/>
      <c r="AF133" s="42"/>
      <c r="AG133" s="41">
        <f t="shared" ca="1" si="45"/>
        <v>0</v>
      </c>
      <c r="AH133" s="42">
        <v>0</v>
      </c>
      <c r="AI133" s="43">
        <f t="shared" ca="1" si="46"/>
        <v>0</v>
      </c>
      <c r="AJ133" s="41">
        <f t="shared" si="47"/>
        <v>0</v>
      </c>
      <c r="AK133" s="46">
        <f t="shared" si="48"/>
        <v>0</v>
      </c>
      <c r="AL133" s="45">
        <f t="shared" ca="1" si="49"/>
        <v>0</v>
      </c>
      <c r="AM133" s="52"/>
    </row>
    <row r="134" spans="1:39" s="23" customFormat="1">
      <c r="A134" s="24"/>
      <c r="B134" s="55"/>
      <c r="C134" s="32"/>
      <c r="D134" s="32"/>
      <c r="E134" s="25"/>
      <c r="F134" s="61" t="str">
        <f t="shared" ca="1" si="5"/>
        <v xml:space="preserve"> </v>
      </c>
      <c r="G134" s="62"/>
      <c r="H134" s="63" t="str">
        <f t="shared" ca="1" si="6"/>
        <v xml:space="preserve"> </v>
      </c>
      <c r="I134" s="36"/>
      <c r="J134" s="37"/>
      <c r="K134" s="38"/>
      <c r="L134" s="37"/>
      <c r="M134" s="38"/>
      <c r="N134" s="42"/>
      <c r="O134" s="38"/>
      <c r="P134" s="37"/>
      <c r="Q134" s="38"/>
      <c r="R134" s="37"/>
      <c r="S134" s="39"/>
      <c r="T134" s="40"/>
      <c r="U134" s="39"/>
      <c r="V134" s="40"/>
      <c r="W134" s="39"/>
      <c r="X134" s="40"/>
      <c r="Y134" s="39"/>
      <c r="Z134" s="40"/>
      <c r="AA134" s="39"/>
      <c r="AB134" s="40"/>
      <c r="AC134" s="39"/>
      <c r="AD134" s="40"/>
      <c r="AE134" s="39"/>
      <c r="AF134" s="42"/>
      <c r="AG134" s="41">
        <f t="shared" ca="1" si="45"/>
        <v>0</v>
      </c>
      <c r="AH134" s="42">
        <v>0</v>
      </c>
      <c r="AI134" s="43">
        <f t="shared" ca="1" si="46"/>
        <v>0</v>
      </c>
      <c r="AJ134" s="41">
        <f t="shared" si="47"/>
        <v>0</v>
      </c>
      <c r="AK134" s="46">
        <f t="shared" si="48"/>
        <v>0</v>
      </c>
      <c r="AL134" s="45">
        <f t="shared" ca="1" si="49"/>
        <v>0</v>
      </c>
      <c r="AM134" s="52"/>
    </row>
    <row r="135" spans="1:39" s="23" customFormat="1">
      <c r="A135" s="24"/>
      <c r="B135" s="55"/>
      <c r="C135" s="32"/>
      <c r="D135" s="32"/>
      <c r="E135" s="25"/>
      <c r="F135" s="61" t="str">
        <f t="shared" ca="1" si="5"/>
        <v xml:space="preserve"> </v>
      </c>
      <c r="G135" s="62"/>
      <c r="H135" s="63" t="str">
        <f t="shared" ca="1" si="6"/>
        <v xml:space="preserve"> </v>
      </c>
      <c r="I135" s="36"/>
      <c r="J135" s="37"/>
      <c r="K135" s="38"/>
      <c r="L135" s="37"/>
      <c r="M135" s="38"/>
      <c r="N135" s="42"/>
      <c r="O135" s="38"/>
      <c r="P135" s="37"/>
      <c r="Q135" s="38"/>
      <c r="R135" s="37"/>
      <c r="S135" s="39"/>
      <c r="T135" s="40"/>
      <c r="U135" s="39"/>
      <c r="V135" s="40"/>
      <c r="W135" s="39"/>
      <c r="X135" s="40"/>
      <c r="Y135" s="39"/>
      <c r="Z135" s="40"/>
      <c r="AA135" s="39"/>
      <c r="AB135" s="40"/>
      <c r="AC135" s="39"/>
      <c r="AD135" s="40"/>
      <c r="AE135" s="39"/>
      <c r="AF135" s="42"/>
      <c r="AG135" s="41">
        <f t="shared" ca="1" si="45"/>
        <v>0</v>
      </c>
      <c r="AH135" s="42">
        <v>0</v>
      </c>
      <c r="AI135" s="43">
        <f t="shared" ca="1" si="46"/>
        <v>0</v>
      </c>
      <c r="AJ135" s="41">
        <f t="shared" si="47"/>
        <v>0</v>
      </c>
      <c r="AK135" s="46">
        <f t="shared" si="48"/>
        <v>0</v>
      </c>
      <c r="AL135" s="45">
        <f t="shared" ca="1" si="49"/>
        <v>0</v>
      </c>
      <c r="AM135" s="52"/>
    </row>
    <row r="136" spans="1:39" s="23" customFormat="1">
      <c r="A136" s="24"/>
      <c r="B136" s="55"/>
      <c r="C136" s="32"/>
      <c r="D136" s="32"/>
      <c r="E136" s="25"/>
      <c r="F136" s="61" t="str">
        <f t="shared" ca="1" si="5"/>
        <v xml:space="preserve"> </v>
      </c>
      <c r="G136" s="62"/>
      <c r="H136" s="63" t="str">
        <f t="shared" ca="1" si="6"/>
        <v xml:space="preserve"> </v>
      </c>
      <c r="I136" s="36"/>
      <c r="J136" s="37"/>
      <c r="K136" s="38"/>
      <c r="L136" s="37"/>
      <c r="M136" s="38"/>
      <c r="N136" s="42"/>
      <c r="O136" s="38"/>
      <c r="P136" s="37"/>
      <c r="Q136" s="38"/>
      <c r="R136" s="37"/>
      <c r="S136" s="39"/>
      <c r="T136" s="40"/>
      <c r="U136" s="39"/>
      <c r="V136" s="40"/>
      <c r="W136" s="39"/>
      <c r="X136" s="40"/>
      <c r="Y136" s="39"/>
      <c r="Z136" s="40"/>
      <c r="AA136" s="39"/>
      <c r="AB136" s="40"/>
      <c r="AC136" s="39"/>
      <c r="AD136" s="40"/>
      <c r="AE136" s="39"/>
      <c r="AF136" s="42"/>
      <c r="AG136" s="41">
        <f t="shared" ca="1" si="45"/>
        <v>0</v>
      </c>
      <c r="AH136" s="42">
        <v>0</v>
      </c>
      <c r="AI136" s="43">
        <f t="shared" ca="1" si="46"/>
        <v>0</v>
      </c>
      <c r="AJ136" s="41">
        <f t="shared" si="47"/>
        <v>0</v>
      </c>
      <c r="AK136" s="46">
        <f t="shared" si="48"/>
        <v>0</v>
      </c>
      <c r="AL136" s="45">
        <f t="shared" ca="1" si="49"/>
        <v>0</v>
      </c>
      <c r="AM136" s="52"/>
    </row>
    <row r="137" spans="1:39" s="23" customFormat="1">
      <c r="A137" s="24"/>
      <c r="B137" s="55"/>
      <c r="C137" s="32"/>
      <c r="D137" s="32"/>
      <c r="E137" s="25"/>
      <c r="F137" s="61" t="str">
        <f t="shared" ca="1" si="5"/>
        <v xml:space="preserve"> </v>
      </c>
      <c r="G137" s="62"/>
      <c r="H137" s="63" t="str">
        <f t="shared" ca="1" si="6"/>
        <v xml:space="preserve"> </v>
      </c>
      <c r="I137" s="36"/>
      <c r="J137" s="37"/>
      <c r="K137" s="38"/>
      <c r="L137" s="37"/>
      <c r="M137" s="38"/>
      <c r="N137" s="42"/>
      <c r="O137" s="38"/>
      <c r="P137" s="37"/>
      <c r="Q137" s="38"/>
      <c r="R137" s="37"/>
      <c r="S137" s="39"/>
      <c r="T137" s="40"/>
      <c r="U137" s="39"/>
      <c r="V137" s="40"/>
      <c r="W137" s="39"/>
      <c r="X137" s="40"/>
      <c r="Y137" s="39"/>
      <c r="Z137" s="40"/>
      <c r="AA137" s="39"/>
      <c r="AB137" s="40"/>
      <c r="AC137" s="39"/>
      <c r="AD137" s="40"/>
      <c r="AE137" s="39"/>
      <c r="AF137" s="42"/>
      <c r="AG137" s="41">
        <f t="shared" ca="1" si="45"/>
        <v>0</v>
      </c>
      <c r="AH137" s="42">
        <v>0</v>
      </c>
      <c r="AI137" s="43">
        <f t="shared" ca="1" si="46"/>
        <v>0</v>
      </c>
      <c r="AJ137" s="41">
        <f t="shared" si="47"/>
        <v>0</v>
      </c>
      <c r="AK137" s="46">
        <f t="shared" si="48"/>
        <v>0</v>
      </c>
      <c r="AL137" s="45">
        <f t="shared" ca="1" si="49"/>
        <v>0</v>
      </c>
      <c r="AM137" s="52"/>
    </row>
    <row r="138" spans="1:39" s="23" customFormat="1">
      <c r="A138" s="24"/>
      <c r="B138" s="55"/>
      <c r="C138" s="32"/>
      <c r="D138" s="32"/>
      <c r="E138" s="25"/>
      <c r="F138" s="61" t="str">
        <f t="shared" ca="1" si="5"/>
        <v xml:space="preserve"> </v>
      </c>
      <c r="G138" s="62"/>
      <c r="H138" s="63" t="str">
        <f t="shared" ca="1" si="6"/>
        <v xml:space="preserve"> </v>
      </c>
      <c r="I138" s="36"/>
      <c r="J138" s="37"/>
      <c r="K138" s="38"/>
      <c r="L138" s="37"/>
      <c r="M138" s="38"/>
      <c r="N138" s="42"/>
      <c r="O138" s="38"/>
      <c r="P138" s="37"/>
      <c r="Q138" s="38"/>
      <c r="R138" s="37"/>
      <c r="S138" s="39"/>
      <c r="T138" s="40"/>
      <c r="U138" s="39"/>
      <c r="V138" s="40"/>
      <c r="W138" s="39"/>
      <c r="X138" s="40"/>
      <c r="Y138" s="39"/>
      <c r="Z138" s="40"/>
      <c r="AA138" s="39"/>
      <c r="AB138" s="40"/>
      <c r="AC138" s="39"/>
      <c r="AD138" s="40"/>
      <c r="AE138" s="39"/>
      <c r="AF138" s="42"/>
      <c r="AG138" s="41">
        <f t="shared" ref="AG138:AG201" ca="1" si="50">AI138-AH138</f>
        <v>0</v>
      </c>
      <c r="AH138" s="42">
        <v>0</v>
      </c>
      <c r="AI138" s="43">
        <f t="shared" ref="AI138:AI201" ca="1" si="51">IF(AND(F138&lt;9.99,H138&lt;50),21,IF(AND(F138&lt;9.99,H138&gt;=50),30,IF(AND(F138&gt;=10,H138&lt;50),30,0)))</f>
        <v>0</v>
      </c>
      <c r="AJ138" s="41">
        <f t="shared" ref="AJ138:AJ201" si="52">(I138+K138+M138+O138+Q138+S138+U138+W138+Y138+AA138+AC138+AE138)</f>
        <v>0</v>
      </c>
      <c r="AK138" s="46">
        <f t="shared" ref="AK138:AK201" si="53">(J138+L138+N138+P138+R138+T138+V138+X138+Z138+AB138+AD138+AF138)</f>
        <v>0</v>
      </c>
      <c r="AL138" s="45">
        <f t="shared" ref="AL138:AL201" ca="1" si="54">(AI138)-(AJ138+AK138)</f>
        <v>0</v>
      </c>
      <c r="AM138" s="52"/>
    </row>
    <row r="139" spans="1:39" s="23" customFormat="1">
      <c r="A139" s="24"/>
      <c r="B139" s="55"/>
      <c r="C139" s="32"/>
      <c r="D139" s="32"/>
      <c r="E139" s="25"/>
      <c r="F139" s="61" t="str">
        <f t="shared" ca="1" si="5"/>
        <v xml:space="preserve"> </v>
      </c>
      <c r="G139" s="62"/>
      <c r="H139" s="63" t="str">
        <f t="shared" ca="1" si="6"/>
        <v xml:space="preserve"> </v>
      </c>
      <c r="I139" s="36"/>
      <c r="J139" s="37"/>
      <c r="K139" s="38"/>
      <c r="L139" s="37"/>
      <c r="M139" s="38"/>
      <c r="N139" s="42"/>
      <c r="O139" s="38"/>
      <c r="P139" s="37"/>
      <c r="Q139" s="38"/>
      <c r="R139" s="37"/>
      <c r="S139" s="39"/>
      <c r="T139" s="40"/>
      <c r="U139" s="39"/>
      <c r="V139" s="40"/>
      <c r="W139" s="39"/>
      <c r="X139" s="40"/>
      <c r="Y139" s="39"/>
      <c r="Z139" s="40"/>
      <c r="AA139" s="39"/>
      <c r="AB139" s="40"/>
      <c r="AC139" s="39"/>
      <c r="AD139" s="40"/>
      <c r="AE139" s="39"/>
      <c r="AF139" s="42"/>
      <c r="AG139" s="41">
        <f t="shared" ca="1" si="50"/>
        <v>0</v>
      </c>
      <c r="AH139" s="42">
        <v>0</v>
      </c>
      <c r="AI139" s="43">
        <f t="shared" ca="1" si="51"/>
        <v>0</v>
      </c>
      <c r="AJ139" s="41">
        <f t="shared" si="52"/>
        <v>0</v>
      </c>
      <c r="AK139" s="46">
        <f t="shared" si="53"/>
        <v>0</v>
      </c>
      <c r="AL139" s="45">
        <f t="shared" ca="1" si="54"/>
        <v>0</v>
      </c>
      <c r="AM139" s="52"/>
    </row>
    <row r="140" spans="1:39" s="23" customFormat="1">
      <c r="A140" s="24"/>
      <c r="B140" s="55"/>
      <c r="C140" s="32"/>
      <c r="D140" s="32"/>
      <c r="E140" s="25"/>
      <c r="F140" s="61" t="str">
        <f t="shared" ca="1" si="5"/>
        <v xml:space="preserve"> </v>
      </c>
      <c r="G140" s="62"/>
      <c r="H140" s="63" t="str">
        <f t="shared" ca="1" si="6"/>
        <v xml:space="preserve"> </v>
      </c>
      <c r="I140" s="36"/>
      <c r="J140" s="37"/>
      <c r="K140" s="38"/>
      <c r="L140" s="37"/>
      <c r="M140" s="38"/>
      <c r="N140" s="42"/>
      <c r="O140" s="38"/>
      <c r="P140" s="37"/>
      <c r="Q140" s="38"/>
      <c r="R140" s="37"/>
      <c r="S140" s="39"/>
      <c r="T140" s="40"/>
      <c r="U140" s="39"/>
      <c r="V140" s="40"/>
      <c r="W140" s="39"/>
      <c r="X140" s="40"/>
      <c r="Y140" s="39"/>
      <c r="Z140" s="40"/>
      <c r="AA140" s="39"/>
      <c r="AB140" s="40"/>
      <c r="AC140" s="39"/>
      <c r="AD140" s="40"/>
      <c r="AE140" s="39"/>
      <c r="AF140" s="42"/>
      <c r="AG140" s="41">
        <f t="shared" ca="1" si="50"/>
        <v>0</v>
      </c>
      <c r="AH140" s="42">
        <v>0</v>
      </c>
      <c r="AI140" s="43">
        <f t="shared" ca="1" si="51"/>
        <v>0</v>
      </c>
      <c r="AJ140" s="41">
        <f t="shared" si="52"/>
        <v>0</v>
      </c>
      <c r="AK140" s="46">
        <f t="shared" si="53"/>
        <v>0</v>
      </c>
      <c r="AL140" s="45">
        <f t="shared" ca="1" si="54"/>
        <v>0</v>
      </c>
      <c r="AM140" s="52"/>
    </row>
    <row r="141" spans="1:39" s="23" customFormat="1">
      <c r="A141" s="24"/>
      <c r="B141" s="55"/>
      <c r="C141" s="32"/>
      <c r="D141" s="32"/>
      <c r="E141" s="25"/>
      <c r="F141" s="61" t="str">
        <f t="shared" ca="1" si="5"/>
        <v xml:space="preserve"> </v>
      </c>
      <c r="G141" s="62"/>
      <c r="H141" s="63" t="str">
        <f t="shared" ca="1" si="6"/>
        <v xml:space="preserve"> </v>
      </c>
      <c r="I141" s="36"/>
      <c r="J141" s="37"/>
      <c r="K141" s="38"/>
      <c r="L141" s="37"/>
      <c r="M141" s="38"/>
      <c r="N141" s="42"/>
      <c r="O141" s="38"/>
      <c r="P141" s="37"/>
      <c r="Q141" s="38"/>
      <c r="R141" s="37"/>
      <c r="S141" s="39"/>
      <c r="T141" s="40"/>
      <c r="U141" s="39"/>
      <c r="V141" s="40"/>
      <c r="W141" s="39"/>
      <c r="X141" s="40"/>
      <c r="Y141" s="39"/>
      <c r="Z141" s="40"/>
      <c r="AA141" s="39"/>
      <c r="AB141" s="40"/>
      <c r="AC141" s="39"/>
      <c r="AD141" s="40"/>
      <c r="AE141" s="39"/>
      <c r="AF141" s="42"/>
      <c r="AG141" s="41">
        <f t="shared" ca="1" si="50"/>
        <v>0</v>
      </c>
      <c r="AH141" s="42">
        <v>0</v>
      </c>
      <c r="AI141" s="43">
        <f t="shared" ca="1" si="51"/>
        <v>0</v>
      </c>
      <c r="AJ141" s="41">
        <f t="shared" si="52"/>
        <v>0</v>
      </c>
      <c r="AK141" s="46">
        <f t="shared" si="53"/>
        <v>0</v>
      </c>
      <c r="AL141" s="45">
        <f t="shared" ca="1" si="54"/>
        <v>0</v>
      </c>
      <c r="AM141" s="52"/>
    </row>
    <row r="142" spans="1:39" s="23" customFormat="1">
      <c r="A142" s="24"/>
      <c r="B142" s="55"/>
      <c r="C142" s="32"/>
      <c r="D142" s="32"/>
      <c r="E142" s="25"/>
      <c r="F142" s="61" t="str">
        <f t="shared" ca="1" si="5"/>
        <v xml:space="preserve"> </v>
      </c>
      <c r="G142" s="62"/>
      <c r="H142" s="63" t="str">
        <f t="shared" ca="1" si="6"/>
        <v xml:space="preserve"> </v>
      </c>
      <c r="I142" s="36"/>
      <c r="J142" s="37"/>
      <c r="K142" s="38"/>
      <c r="L142" s="37"/>
      <c r="M142" s="38"/>
      <c r="N142" s="42"/>
      <c r="O142" s="38"/>
      <c r="P142" s="37"/>
      <c r="Q142" s="38"/>
      <c r="R142" s="37"/>
      <c r="S142" s="39"/>
      <c r="T142" s="40"/>
      <c r="U142" s="39"/>
      <c r="V142" s="40"/>
      <c r="W142" s="39"/>
      <c r="X142" s="40"/>
      <c r="Y142" s="39"/>
      <c r="Z142" s="40"/>
      <c r="AA142" s="39"/>
      <c r="AB142" s="40"/>
      <c r="AC142" s="39"/>
      <c r="AD142" s="40"/>
      <c r="AE142" s="39"/>
      <c r="AF142" s="42"/>
      <c r="AG142" s="41">
        <f t="shared" ca="1" si="50"/>
        <v>0</v>
      </c>
      <c r="AH142" s="42">
        <v>0</v>
      </c>
      <c r="AI142" s="43">
        <f t="shared" ca="1" si="51"/>
        <v>0</v>
      </c>
      <c r="AJ142" s="41">
        <f t="shared" si="52"/>
        <v>0</v>
      </c>
      <c r="AK142" s="46">
        <f t="shared" si="53"/>
        <v>0</v>
      </c>
      <c r="AL142" s="45">
        <f t="shared" ca="1" si="54"/>
        <v>0</v>
      </c>
      <c r="AM142" s="52"/>
    </row>
    <row r="143" spans="1:39" s="23" customFormat="1">
      <c r="A143" s="24"/>
      <c r="B143" s="55"/>
      <c r="C143" s="32"/>
      <c r="D143" s="32"/>
      <c r="E143" s="25"/>
      <c r="F143" s="61" t="str">
        <f t="shared" ca="1" si="5"/>
        <v xml:space="preserve"> </v>
      </c>
      <c r="G143" s="62"/>
      <c r="H143" s="63" t="str">
        <f t="shared" ca="1" si="6"/>
        <v xml:space="preserve"> </v>
      </c>
      <c r="I143" s="36"/>
      <c r="J143" s="37"/>
      <c r="K143" s="38"/>
      <c r="L143" s="37"/>
      <c r="M143" s="38"/>
      <c r="N143" s="42"/>
      <c r="O143" s="38"/>
      <c r="P143" s="37"/>
      <c r="Q143" s="38"/>
      <c r="R143" s="37"/>
      <c r="S143" s="39"/>
      <c r="T143" s="40"/>
      <c r="U143" s="39"/>
      <c r="V143" s="40"/>
      <c r="W143" s="39"/>
      <c r="X143" s="40"/>
      <c r="Y143" s="39"/>
      <c r="Z143" s="40"/>
      <c r="AA143" s="39"/>
      <c r="AB143" s="40"/>
      <c r="AC143" s="39"/>
      <c r="AD143" s="40"/>
      <c r="AE143" s="39"/>
      <c r="AF143" s="42"/>
      <c r="AG143" s="41">
        <f t="shared" ca="1" si="50"/>
        <v>0</v>
      </c>
      <c r="AH143" s="42">
        <v>0</v>
      </c>
      <c r="AI143" s="43">
        <f t="shared" ca="1" si="51"/>
        <v>0</v>
      </c>
      <c r="AJ143" s="41">
        <f t="shared" si="52"/>
        <v>0</v>
      </c>
      <c r="AK143" s="46">
        <f t="shared" si="53"/>
        <v>0</v>
      </c>
      <c r="AL143" s="45">
        <f t="shared" ca="1" si="54"/>
        <v>0</v>
      </c>
      <c r="AM143" s="52"/>
    </row>
    <row r="144" spans="1:39" s="23" customFormat="1">
      <c r="A144" s="24"/>
      <c r="B144" s="55"/>
      <c r="C144" s="32"/>
      <c r="D144" s="32"/>
      <c r="E144" s="25"/>
      <c r="F144" s="61" t="str">
        <f t="shared" ca="1" si="5"/>
        <v xml:space="preserve"> </v>
      </c>
      <c r="G144" s="62"/>
      <c r="H144" s="63" t="str">
        <f t="shared" ca="1" si="6"/>
        <v xml:space="preserve"> </v>
      </c>
      <c r="I144" s="36"/>
      <c r="J144" s="37"/>
      <c r="K144" s="38"/>
      <c r="L144" s="37"/>
      <c r="M144" s="38"/>
      <c r="N144" s="42"/>
      <c r="O144" s="38"/>
      <c r="P144" s="37"/>
      <c r="Q144" s="38"/>
      <c r="R144" s="37"/>
      <c r="S144" s="39"/>
      <c r="T144" s="40"/>
      <c r="U144" s="39"/>
      <c r="V144" s="40"/>
      <c r="W144" s="39"/>
      <c r="X144" s="40"/>
      <c r="Y144" s="39"/>
      <c r="Z144" s="40"/>
      <c r="AA144" s="39"/>
      <c r="AB144" s="40"/>
      <c r="AC144" s="39"/>
      <c r="AD144" s="40"/>
      <c r="AE144" s="39"/>
      <c r="AF144" s="42"/>
      <c r="AG144" s="41">
        <f t="shared" ca="1" si="50"/>
        <v>0</v>
      </c>
      <c r="AH144" s="42">
        <v>0</v>
      </c>
      <c r="AI144" s="43">
        <f t="shared" ca="1" si="51"/>
        <v>0</v>
      </c>
      <c r="AJ144" s="41">
        <f t="shared" si="52"/>
        <v>0</v>
      </c>
      <c r="AK144" s="46">
        <f t="shared" si="53"/>
        <v>0</v>
      </c>
      <c r="AL144" s="45">
        <f t="shared" ca="1" si="54"/>
        <v>0</v>
      </c>
      <c r="AM144" s="52"/>
    </row>
    <row r="145" spans="1:39" s="23" customFormat="1">
      <c r="A145" s="24"/>
      <c r="B145" s="55"/>
      <c r="C145" s="32"/>
      <c r="D145" s="32"/>
      <c r="E145" s="25"/>
      <c r="F145" s="61" t="str">
        <f t="shared" ca="1" si="5"/>
        <v xml:space="preserve"> </v>
      </c>
      <c r="G145" s="62"/>
      <c r="H145" s="63" t="str">
        <f t="shared" ca="1" si="6"/>
        <v xml:space="preserve"> </v>
      </c>
      <c r="I145" s="36"/>
      <c r="J145" s="37"/>
      <c r="K145" s="38"/>
      <c r="L145" s="37"/>
      <c r="M145" s="38"/>
      <c r="N145" s="42"/>
      <c r="O145" s="38"/>
      <c r="P145" s="37"/>
      <c r="Q145" s="38"/>
      <c r="R145" s="37"/>
      <c r="S145" s="39"/>
      <c r="T145" s="40"/>
      <c r="U145" s="39"/>
      <c r="V145" s="40"/>
      <c r="W145" s="39"/>
      <c r="X145" s="40"/>
      <c r="Y145" s="39"/>
      <c r="Z145" s="40"/>
      <c r="AA145" s="39"/>
      <c r="AB145" s="40"/>
      <c r="AC145" s="39"/>
      <c r="AD145" s="40"/>
      <c r="AE145" s="39"/>
      <c r="AF145" s="42"/>
      <c r="AG145" s="41">
        <f t="shared" ca="1" si="50"/>
        <v>0</v>
      </c>
      <c r="AH145" s="42">
        <v>0</v>
      </c>
      <c r="AI145" s="43">
        <f t="shared" ca="1" si="51"/>
        <v>0</v>
      </c>
      <c r="AJ145" s="41">
        <f t="shared" si="52"/>
        <v>0</v>
      </c>
      <c r="AK145" s="46">
        <f t="shared" si="53"/>
        <v>0</v>
      </c>
      <c r="AL145" s="45">
        <f t="shared" ca="1" si="54"/>
        <v>0</v>
      </c>
      <c r="AM145" s="52"/>
    </row>
    <row r="146" spans="1:39" s="23" customFormat="1">
      <c r="A146" s="24"/>
      <c r="B146" s="55"/>
      <c r="C146" s="32"/>
      <c r="D146" s="32"/>
      <c r="E146" s="25"/>
      <c r="F146" s="61" t="str">
        <f t="shared" ca="1" si="5"/>
        <v xml:space="preserve"> </v>
      </c>
      <c r="G146" s="62"/>
      <c r="H146" s="63" t="str">
        <f t="shared" ca="1" si="6"/>
        <v xml:space="preserve"> </v>
      </c>
      <c r="I146" s="36"/>
      <c r="J146" s="37"/>
      <c r="K146" s="38"/>
      <c r="L146" s="37"/>
      <c r="M146" s="38"/>
      <c r="N146" s="42"/>
      <c r="O146" s="38"/>
      <c r="P146" s="37"/>
      <c r="Q146" s="38"/>
      <c r="R146" s="37"/>
      <c r="S146" s="39"/>
      <c r="T146" s="40"/>
      <c r="U146" s="39"/>
      <c r="V146" s="40"/>
      <c r="W146" s="39"/>
      <c r="X146" s="40"/>
      <c r="Y146" s="39"/>
      <c r="Z146" s="40"/>
      <c r="AA146" s="39"/>
      <c r="AB146" s="40"/>
      <c r="AC146" s="39"/>
      <c r="AD146" s="40"/>
      <c r="AE146" s="39"/>
      <c r="AF146" s="42"/>
      <c r="AG146" s="41">
        <f t="shared" ca="1" si="50"/>
        <v>0</v>
      </c>
      <c r="AH146" s="42">
        <v>0</v>
      </c>
      <c r="AI146" s="43">
        <f t="shared" ca="1" si="51"/>
        <v>0</v>
      </c>
      <c r="AJ146" s="41">
        <f t="shared" si="52"/>
        <v>0</v>
      </c>
      <c r="AK146" s="46">
        <f t="shared" si="53"/>
        <v>0</v>
      </c>
      <c r="AL146" s="45">
        <f t="shared" ca="1" si="54"/>
        <v>0</v>
      </c>
      <c r="AM146" s="52"/>
    </row>
    <row r="147" spans="1:39" s="23" customFormat="1">
      <c r="A147" s="24"/>
      <c r="B147" s="55"/>
      <c r="C147" s="32"/>
      <c r="D147" s="32"/>
      <c r="E147" s="25"/>
      <c r="F147" s="61" t="str">
        <f t="shared" ca="1" si="5"/>
        <v xml:space="preserve"> </v>
      </c>
      <c r="G147" s="62"/>
      <c r="H147" s="63" t="str">
        <f t="shared" ca="1" si="6"/>
        <v xml:space="preserve"> </v>
      </c>
      <c r="I147" s="36"/>
      <c r="J147" s="37"/>
      <c r="K147" s="38"/>
      <c r="L147" s="37"/>
      <c r="M147" s="38"/>
      <c r="N147" s="42"/>
      <c r="O147" s="38"/>
      <c r="P147" s="37"/>
      <c r="Q147" s="38"/>
      <c r="R147" s="37"/>
      <c r="S147" s="39"/>
      <c r="T147" s="40"/>
      <c r="U147" s="39"/>
      <c r="V147" s="40"/>
      <c r="W147" s="39"/>
      <c r="X147" s="40"/>
      <c r="Y147" s="39"/>
      <c r="Z147" s="40"/>
      <c r="AA147" s="39"/>
      <c r="AB147" s="40"/>
      <c r="AC147" s="39"/>
      <c r="AD147" s="40"/>
      <c r="AE147" s="39"/>
      <c r="AF147" s="42"/>
      <c r="AG147" s="41">
        <f t="shared" ca="1" si="50"/>
        <v>0</v>
      </c>
      <c r="AH147" s="42">
        <v>0</v>
      </c>
      <c r="AI147" s="43">
        <f t="shared" ca="1" si="51"/>
        <v>0</v>
      </c>
      <c r="AJ147" s="41">
        <f t="shared" si="52"/>
        <v>0</v>
      </c>
      <c r="AK147" s="46">
        <f t="shared" si="53"/>
        <v>0</v>
      </c>
      <c r="AL147" s="45">
        <f t="shared" ca="1" si="54"/>
        <v>0</v>
      </c>
      <c r="AM147" s="52"/>
    </row>
    <row r="148" spans="1:39" s="23" customFormat="1">
      <c r="A148" s="24"/>
      <c r="B148" s="55"/>
      <c r="C148" s="32"/>
      <c r="D148" s="32"/>
      <c r="E148" s="25"/>
      <c r="F148" s="61" t="str">
        <f t="shared" ca="1" si="5"/>
        <v xml:space="preserve"> </v>
      </c>
      <c r="G148" s="62"/>
      <c r="H148" s="63" t="str">
        <f t="shared" ca="1" si="6"/>
        <v xml:space="preserve"> </v>
      </c>
      <c r="I148" s="36"/>
      <c r="J148" s="37"/>
      <c r="K148" s="38"/>
      <c r="L148" s="37"/>
      <c r="M148" s="38"/>
      <c r="N148" s="42"/>
      <c r="O148" s="38"/>
      <c r="P148" s="37"/>
      <c r="Q148" s="38"/>
      <c r="R148" s="37"/>
      <c r="S148" s="39"/>
      <c r="T148" s="40"/>
      <c r="U148" s="39"/>
      <c r="V148" s="40"/>
      <c r="W148" s="39"/>
      <c r="X148" s="40"/>
      <c r="Y148" s="39"/>
      <c r="Z148" s="40"/>
      <c r="AA148" s="39"/>
      <c r="AB148" s="40"/>
      <c r="AC148" s="39"/>
      <c r="AD148" s="40"/>
      <c r="AE148" s="39"/>
      <c r="AF148" s="42"/>
      <c r="AG148" s="41">
        <f t="shared" ca="1" si="50"/>
        <v>0</v>
      </c>
      <c r="AH148" s="42">
        <v>0</v>
      </c>
      <c r="AI148" s="43">
        <f t="shared" ca="1" si="51"/>
        <v>0</v>
      </c>
      <c r="AJ148" s="41">
        <f t="shared" si="52"/>
        <v>0</v>
      </c>
      <c r="AK148" s="46">
        <f t="shared" si="53"/>
        <v>0</v>
      </c>
      <c r="AL148" s="45">
        <f t="shared" ca="1" si="54"/>
        <v>0</v>
      </c>
      <c r="AM148" s="52"/>
    </row>
    <row r="149" spans="1:39" s="23" customFormat="1">
      <c r="A149" s="24"/>
      <c r="B149" s="55"/>
      <c r="C149" s="32"/>
      <c r="D149" s="32"/>
      <c r="E149" s="25"/>
      <c r="F149" s="61" t="str">
        <f t="shared" ca="1" si="5"/>
        <v xml:space="preserve"> </v>
      </c>
      <c r="G149" s="62"/>
      <c r="H149" s="63" t="str">
        <f t="shared" ca="1" si="6"/>
        <v xml:space="preserve"> </v>
      </c>
      <c r="I149" s="36"/>
      <c r="J149" s="37"/>
      <c r="K149" s="38"/>
      <c r="L149" s="37"/>
      <c r="M149" s="38"/>
      <c r="N149" s="42"/>
      <c r="O149" s="38"/>
      <c r="P149" s="37"/>
      <c r="Q149" s="38"/>
      <c r="R149" s="37"/>
      <c r="S149" s="39"/>
      <c r="T149" s="40"/>
      <c r="U149" s="39"/>
      <c r="V149" s="40"/>
      <c r="W149" s="39"/>
      <c r="X149" s="40"/>
      <c r="Y149" s="39"/>
      <c r="Z149" s="40"/>
      <c r="AA149" s="39"/>
      <c r="AB149" s="40"/>
      <c r="AC149" s="39"/>
      <c r="AD149" s="40"/>
      <c r="AE149" s="39"/>
      <c r="AF149" s="42"/>
      <c r="AG149" s="41">
        <f t="shared" ca="1" si="50"/>
        <v>0</v>
      </c>
      <c r="AH149" s="42">
        <v>0</v>
      </c>
      <c r="AI149" s="43">
        <f t="shared" ca="1" si="51"/>
        <v>0</v>
      </c>
      <c r="AJ149" s="41">
        <f t="shared" si="52"/>
        <v>0</v>
      </c>
      <c r="AK149" s="46">
        <f t="shared" si="53"/>
        <v>0</v>
      </c>
      <c r="AL149" s="45">
        <f t="shared" ca="1" si="54"/>
        <v>0</v>
      </c>
      <c r="AM149" s="52"/>
    </row>
    <row r="150" spans="1:39" s="23" customFormat="1">
      <c r="A150" s="24"/>
      <c r="B150" s="55"/>
      <c r="C150" s="32"/>
      <c r="D150" s="32"/>
      <c r="E150" s="25"/>
      <c r="F150" s="61" t="str">
        <f t="shared" ca="1" si="5"/>
        <v xml:space="preserve"> </v>
      </c>
      <c r="G150" s="62"/>
      <c r="H150" s="63" t="str">
        <f t="shared" ca="1" si="6"/>
        <v xml:space="preserve"> </v>
      </c>
      <c r="I150" s="36"/>
      <c r="J150" s="37"/>
      <c r="K150" s="38"/>
      <c r="L150" s="37"/>
      <c r="M150" s="38"/>
      <c r="N150" s="42"/>
      <c r="O150" s="38"/>
      <c r="P150" s="37"/>
      <c r="Q150" s="38"/>
      <c r="R150" s="37"/>
      <c r="S150" s="39"/>
      <c r="T150" s="40"/>
      <c r="U150" s="39"/>
      <c r="V150" s="40"/>
      <c r="W150" s="39"/>
      <c r="X150" s="40"/>
      <c r="Y150" s="39"/>
      <c r="Z150" s="40"/>
      <c r="AA150" s="39"/>
      <c r="AB150" s="40"/>
      <c r="AC150" s="39"/>
      <c r="AD150" s="40"/>
      <c r="AE150" s="39"/>
      <c r="AF150" s="42"/>
      <c r="AG150" s="41">
        <f t="shared" ca="1" si="50"/>
        <v>0</v>
      </c>
      <c r="AH150" s="42">
        <v>0</v>
      </c>
      <c r="AI150" s="43">
        <f t="shared" ca="1" si="51"/>
        <v>0</v>
      </c>
      <c r="AJ150" s="41">
        <f t="shared" si="52"/>
        <v>0</v>
      </c>
      <c r="AK150" s="46">
        <f t="shared" si="53"/>
        <v>0</v>
      </c>
      <c r="AL150" s="45">
        <f t="shared" ca="1" si="54"/>
        <v>0</v>
      </c>
      <c r="AM150" s="52"/>
    </row>
    <row r="151" spans="1:39" s="23" customFormat="1">
      <c r="A151" s="24"/>
      <c r="B151" s="55"/>
      <c r="C151" s="32"/>
      <c r="D151" s="32"/>
      <c r="E151" s="25"/>
      <c r="F151" s="61" t="str">
        <f t="shared" ca="1" si="5"/>
        <v xml:space="preserve"> </v>
      </c>
      <c r="G151" s="62"/>
      <c r="H151" s="63" t="str">
        <f t="shared" ca="1" si="6"/>
        <v xml:space="preserve"> </v>
      </c>
      <c r="I151" s="36"/>
      <c r="J151" s="37"/>
      <c r="K151" s="38"/>
      <c r="L151" s="37"/>
      <c r="M151" s="38"/>
      <c r="N151" s="42"/>
      <c r="O151" s="38"/>
      <c r="P151" s="37"/>
      <c r="Q151" s="38"/>
      <c r="R151" s="37"/>
      <c r="S151" s="39"/>
      <c r="T151" s="40"/>
      <c r="U151" s="39"/>
      <c r="V151" s="40"/>
      <c r="W151" s="39"/>
      <c r="X151" s="40"/>
      <c r="Y151" s="39"/>
      <c r="Z151" s="40"/>
      <c r="AA151" s="39"/>
      <c r="AB151" s="40"/>
      <c r="AC151" s="39"/>
      <c r="AD151" s="40"/>
      <c r="AE151" s="39"/>
      <c r="AF151" s="42"/>
      <c r="AG151" s="41">
        <f t="shared" ca="1" si="50"/>
        <v>0</v>
      </c>
      <c r="AH151" s="42">
        <v>0</v>
      </c>
      <c r="AI151" s="43">
        <f t="shared" ca="1" si="51"/>
        <v>0</v>
      </c>
      <c r="AJ151" s="41">
        <f t="shared" si="52"/>
        <v>0</v>
      </c>
      <c r="AK151" s="46">
        <f t="shared" si="53"/>
        <v>0</v>
      </c>
      <c r="AL151" s="45">
        <f t="shared" ca="1" si="54"/>
        <v>0</v>
      </c>
      <c r="AM151" s="52"/>
    </row>
    <row r="152" spans="1:39" s="23" customFormat="1">
      <c r="A152" s="24"/>
      <c r="B152" s="55"/>
      <c r="C152" s="32"/>
      <c r="D152" s="32"/>
      <c r="E152" s="25"/>
      <c r="F152" s="61" t="str">
        <f t="shared" ca="1" si="5"/>
        <v xml:space="preserve"> </v>
      </c>
      <c r="G152" s="62"/>
      <c r="H152" s="63" t="str">
        <f t="shared" ca="1" si="6"/>
        <v xml:space="preserve"> </v>
      </c>
      <c r="I152" s="36"/>
      <c r="J152" s="37"/>
      <c r="K152" s="38"/>
      <c r="L152" s="37"/>
      <c r="M152" s="38"/>
      <c r="N152" s="42"/>
      <c r="O152" s="38"/>
      <c r="P152" s="37"/>
      <c r="Q152" s="38"/>
      <c r="R152" s="37"/>
      <c r="S152" s="39"/>
      <c r="T152" s="40"/>
      <c r="U152" s="39"/>
      <c r="V152" s="40"/>
      <c r="W152" s="39"/>
      <c r="X152" s="40"/>
      <c r="Y152" s="39"/>
      <c r="Z152" s="40"/>
      <c r="AA152" s="39"/>
      <c r="AB152" s="40"/>
      <c r="AC152" s="39"/>
      <c r="AD152" s="40"/>
      <c r="AE152" s="39"/>
      <c r="AF152" s="42"/>
      <c r="AG152" s="41">
        <f t="shared" ca="1" si="50"/>
        <v>0</v>
      </c>
      <c r="AH152" s="42">
        <v>0</v>
      </c>
      <c r="AI152" s="43">
        <f t="shared" ca="1" si="51"/>
        <v>0</v>
      </c>
      <c r="AJ152" s="41">
        <f t="shared" si="52"/>
        <v>0</v>
      </c>
      <c r="AK152" s="46">
        <f t="shared" si="53"/>
        <v>0</v>
      </c>
      <c r="AL152" s="45">
        <f t="shared" ca="1" si="54"/>
        <v>0</v>
      </c>
      <c r="AM152" s="52"/>
    </row>
    <row r="153" spans="1:39" s="23" customFormat="1">
      <c r="A153" s="24"/>
      <c r="B153" s="55"/>
      <c r="C153" s="32"/>
      <c r="D153" s="32"/>
      <c r="E153" s="25"/>
      <c r="F153" s="61" t="str">
        <f t="shared" ca="1" si="5"/>
        <v xml:space="preserve"> </v>
      </c>
      <c r="G153" s="62"/>
      <c r="H153" s="63" t="str">
        <f t="shared" ca="1" si="6"/>
        <v xml:space="preserve"> </v>
      </c>
      <c r="I153" s="36"/>
      <c r="J153" s="37"/>
      <c r="K153" s="38"/>
      <c r="L153" s="37"/>
      <c r="M153" s="38"/>
      <c r="N153" s="42"/>
      <c r="O153" s="38"/>
      <c r="P153" s="37"/>
      <c r="Q153" s="38"/>
      <c r="R153" s="37"/>
      <c r="S153" s="39"/>
      <c r="T153" s="40"/>
      <c r="U153" s="39"/>
      <c r="V153" s="40"/>
      <c r="W153" s="39"/>
      <c r="X153" s="40"/>
      <c r="Y153" s="39"/>
      <c r="Z153" s="40"/>
      <c r="AA153" s="39"/>
      <c r="AB153" s="40"/>
      <c r="AC153" s="39"/>
      <c r="AD153" s="40"/>
      <c r="AE153" s="39"/>
      <c r="AF153" s="42"/>
      <c r="AG153" s="41">
        <f t="shared" ca="1" si="50"/>
        <v>0</v>
      </c>
      <c r="AH153" s="42">
        <v>0</v>
      </c>
      <c r="AI153" s="43">
        <f t="shared" ca="1" si="51"/>
        <v>0</v>
      </c>
      <c r="AJ153" s="41">
        <f t="shared" si="52"/>
        <v>0</v>
      </c>
      <c r="AK153" s="46">
        <f t="shared" si="53"/>
        <v>0</v>
      </c>
      <c r="AL153" s="45">
        <f t="shared" ca="1" si="54"/>
        <v>0</v>
      </c>
      <c r="AM153" s="52"/>
    </row>
    <row r="154" spans="1:39" s="23" customFormat="1">
      <c r="A154" s="24"/>
      <c r="B154" s="55"/>
      <c r="C154" s="32"/>
      <c r="D154" s="32"/>
      <c r="E154" s="25"/>
      <c r="F154" s="61" t="str">
        <f t="shared" ca="1" si="5"/>
        <v xml:space="preserve"> </v>
      </c>
      <c r="G154" s="62"/>
      <c r="H154" s="63" t="str">
        <f t="shared" ca="1" si="6"/>
        <v xml:space="preserve"> </v>
      </c>
      <c r="I154" s="36"/>
      <c r="J154" s="37"/>
      <c r="K154" s="38"/>
      <c r="L154" s="37"/>
      <c r="M154" s="38"/>
      <c r="N154" s="42"/>
      <c r="O154" s="38"/>
      <c r="P154" s="37"/>
      <c r="Q154" s="38"/>
      <c r="R154" s="37"/>
      <c r="S154" s="39"/>
      <c r="T154" s="40"/>
      <c r="U154" s="39"/>
      <c r="V154" s="40"/>
      <c r="W154" s="39"/>
      <c r="X154" s="40"/>
      <c r="Y154" s="39"/>
      <c r="Z154" s="40"/>
      <c r="AA154" s="39"/>
      <c r="AB154" s="40"/>
      <c r="AC154" s="39"/>
      <c r="AD154" s="40"/>
      <c r="AE154" s="39"/>
      <c r="AF154" s="42"/>
      <c r="AG154" s="41">
        <f t="shared" ca="1" si="50"/>
        <v>0</v>
      </c>
      <c r="AH154" s="42">
        <v>0</v>
      </c>
      <c r="AI154" s="43">
        <f t="shared" ca="1" si="51"/>
        <v>0</v>
      </c>
      <c r="AJ154" s="41">
        <f t="shared" si="52"/>
        <v>0</v>
      </c>
      <c r="AK154" s="46">
        <f t="shared" si="53"/>
        <v>0</v>
      </c>
      <c r="AL154" s="45">
        <f t="shared" ca="1" si="54"/>
        <v>0</v>
      </c>
      <c r="AM154" s="52"/>
    </row>
    <row r="155" spans="1:39" s="23" customFormat="1">
      <c r="A155" s="24"/>
      <c r="B155" s="55"/>
      <c r="C155" s="32"/>
      <c r="D155" s="32"/>
      <c r="E155" s="25"/>
      <c r="F155" s="61" t="str">
        <f t="shared" ca="1" si="5"/>
        <v xml:space="preserve"> </v>
      </c>
      <c r="G155" s="62"/>
      <c r="H155" s="63" t="str">
        <f t="shared" ca="1" si="6"/>
        <v xml:space="preserve"> </v>
      </c>
      <c r="I155" s="36"/>
      <c r="J155" s="37"/>
      <c r="K155" s="38"/>
      <c r="L155" s="37"/>
      <c r="M155" s="38"/>
      <c r="N155" s="42"/>
      <c r="O155" s="38"/>
      <c r="P155" s="37"/>
      <c r="Q155" s="38"/>
      <c r="R155" s="37"/>
      <c r="S155" s="39"/>
      <c r="T155" s="40"/>
      <c r="U155" s="39"/>
      <c r="V155" s="40"/>
      <c r="W155" s="39"/>
      <c r="X155" s="40"/>
      <c r="Y155" s="39"/>
      <c r="Z155" s="40"/>
      <c r="AA155" s="39"/>
      <c r="AB155" s="40"/>
      <c r="AC155" s="39"/>
      <c r="AD155" s="40"/>
      <c r="AE155" s="39"/>
      <c r="AF155" s="42"/>
      <c r="AG155" s="41">
        <f t="shared" ca="1" si="50"/>
        <v>0</v>
      </c>
      <c r="AH155" s="42">
        <v>0</v>
      </c>
      <c r="AI155" s="43">
        <f t="shared" ca="1" si="51"/>
        <v>0</v>
      </c>
      <c r="AJ155" s="41">
        <f t="shared" si="52"/>
        <v>0</v>
      </c>
      <c r="AK155" s="46">
        <f t="shared" si="53"/>
        <v>0</v>
      </c>
      <c r="AL155" s="45">
        <f t="shared" ca="1" si="54"/>
        <v>0</v>
      </c>
      <c r="AM155" s="52"/>
    </row>
    <row r="156" spans="1:39" s="23" customFormat="1">
      <c r="A156" s="24"/>
      <c r="B156" s="55"/>
      <c r="C156" s="32"/>
      <c r="D156" s="32"/>
      <c r="E156" s="25"/>
      <c r="F156" s="61" t="str">
        <f t="shared" ca="1" si="5"/>
        <v xml:space="preserve"> </v>
      </c>
      <c r="G156" s="62"/>
      <c r="H156" s="63" t="str">
        <f t="shared" ca="1" si="6"/>
        <v xml:space="preserve"> </v>
      </c>
      <c r="I156" s="36"/>
      <c r="J156" s="37"/>
      <c r="K156" s="38"/>
      <c r="L156" s="37"/>
      <c r="M156" s="38"/>
      <c r="N156" s="42"/>
      <c r="O156" s="38"/>
      <c r="P156" s="37"/>
      <c r="Q156" s="38"/>
      <c r="R156" s="37"/>
      <c r="S156" s="39"/>
      <c r="T156" s="40"/>
      <c r="U156" s="39"/>
      <c r="V156" s="40"/>
      <c r="W156" s="39"/>
      <c r="X156" s="40"/>
      <c r="Y156" s="39"/>
      <c r="Z156" s="40"/>
      <c r="AA156" s="39"/>
      <c r="AB156" s="40"/>
      <c r="AC156" s="39"/>
      <c r="AD156" s="40"/>
      <c r="AE156" s="39"/>
      <c r="AF156" s="42"/>
      <c r="AG156" s="41">
        <f t="shared" ca="1" si="50"/>
        <v>0</v>
      </c>
      <c r="AH156" s="42">
        <v>0</v>
      </c>
      <c r="AI156" s="43">
        <f t="shared" ca="1" si="51"/>
        <v>0</v>
      </c>
      <c r="AJ156" s="41">
        <f t="shared" si="52"/>
        <v>0</v>
      </c>
      <c r="AK156" s="46">
        <f t="shared" si="53"/>
        <v>0</v>
      </c>
      <c r="AL156" s="45">
        <f t="shared" ca="1" si="54"/>
        <v>0</v>
      </c>
      <c r="AM156" s="52"/>
    </row>
    <row r="157" spans="1:39" s="23" customFormat="1">
      <c r="A157" s="24"/>
      <c r="B157" s="55"/>
      <c r="C157" s="32"/>
      <c r="D157" s="32"/>
      <c r="E157" s="25"/>
      <c r="F157" s="61" t="str">
        <f t="shared" ca="1" si="5"/>
        <v xml:space="preserve"> </v>
      </c>
      <c r="G157" s="62"/>
      <c r="H157" s="63" t="str">
        <f t="shared" ca="1" si="6"/>
        <v xml:space="preserve"> </v>
      </c>
      <c r="I157" s="36"/>
      <c r="J157" s="37"/>
      <c r="K157" s="38"/>
      <c r="L157" s="37"/>
      <c r="M157" s="38"/>
      <c r="N157" s="42"/>
      <c r="O157" s="38"/>
      <c r="P157" s="37"/>
      <c r="Q157" s="38"/>
      <c r="R157" s="37"/>
      <c r="S157" s="39"/>
      <c r="T157" s="40"/>
      <c r="U157" s="39"/>
      <c r="V157" s="40"/>
      <c r="W157" s="39"/>
      <c r="X157" s="40"/>
      <c r="Y157" s="39"/>
      <c r="Z157" s="40"/>
      <c r="AA157" s="39"/>
      <c r="AB157" s="40"/>
      <c r="AC157" s="39"/>
      <c r="AD157" s="40"/>
      <c r="AE157" s="39"/>
      <c r="AF157" s="42"/>
      <c r="AG157" s="41">
        <f t="shared" ca="1" si="50"/>
        <v>0</v>
      </c>
      <c r="AH157" s="42">
        <v>0</v>
      </c>
      <c r="AI157" s="43">
        <f t="shared" ca="1" si="51"/>
        <v>0</v>
      </c>
      <c r="AJ157" s="41">
        <f t="shared" si="52"/>
        <v>0</v>
      </c>
      <c r="AK157" s="46">
        <f t="shared" si="53"/>
        <v>0</v>
      </c>
      <c r="AL157" s="45">
        <f t="shared" ca="1" si="54"/>
        <v>0</v>
      </c>
      <c r="AM157" s="52"/>
    </row>
    <row r="158" spans="1:39" s="23" customFormat="1">
      <c r="A158" s="24"/>
      <c r="B158" s="55"/>
      <c r="C158" s="32"/>
      <c r="D158" s="32"/>
      <c r="E158" s="25"/>
      <c r="F158" s="61" t="str">
        <f t="shared" ca="1" si="5"/>
        <v xml:space="preserve"> </v>
      </c>
      <c r="G158" s="62"/>
      <c r="H158" s="63" t="str">
        <f t="shared" ca="1" si="6"/>
        <v xml:space="preserve"> </v>
      </c>
      <c r="I158" s="36"/>
      <c r="J158" s="37"/>
      <c r="K158" s="38"/>
      <c r="L158" s="37"/>
      <c r="M158" s="38"/>
      <c r="N158" s="42"/>
      <c r="O158" s="38"/>
      <c r="P158" s="37"/>
      <c r="Q158" s="38"/>
      <c r="R158" s="37"/>
      <c r="S158" s="39"/>
      <c r="T158" s="40"/>
      <c r="U158" s="39"/>
      <c r="V158" s="40"/>
      <c r="W158" s="39"/>
      <c r="X158" s="40"/>
      <c r="Y158" s="39"/>
      <c r="Z158" s="40"/>
      <c r="AA158" s="39"/>
      <c r="AB158" s="40"/>
      <c r="AC158" s="39"/>
      <c r="AD158" s="40"/>
      <c r="AE158" s="39"/>
      <c r="AF158" s="42"/>
      <c r="AG158" s="41">
        <f t="shared" ca="1" si="50"/>
        <v>0</v>
      </c>
      <c r="AH158" s="42">
        <v>0</v>
      </c>
      <c r="AI158" s="43">
        <f t="shared" ca="1" si="51"/>
        <v>0</v>
      </c>
      <c r="AJ158" s="41">
        <f t="shared" si="52"/>
        <v>0</v>
      </c>
      <c r="AK158" s="46">
        <f t="shared" si="53"/>
        <v>0</v>
      </c>
      <c r="AL158" s="45">
        <f t="shared" ca="1" si="54"/>
        <v>0</v>
      </c>
      <c r="AM158" s="52"/>
    </row>
    <row r="159" spans="1:39" s="23" customFormat="1">
      <c r="A159" s="24"/>
      <c r="B159" s="55"/>
      <c r="C159" s="32"/>
      <c r="D159" s="32"/>
      <c r="E159" s="25"/>
      <c r="F159" s="61" t="str">
        <f t="shared" ca="1" si="5"/>
        <v xml:space="preserve"> </v>
      </c>
      <c r="G159" s="62"/>
      <c r="H159" s="63" t="str">
        <f t="shared" ca="1" si="6"/>
        <v xml:space="preserve"> </v>
      </c>
      <c r="I159" s="36"/>
      <c r="J159" s="37"/>
      <c r="K159" s="38"/>
      <c r="L159" s="37"/>
      <c r="M159" s="38"/>
      <c r="N159" s="42"/>
      <c r="O159" s="38"/>
      <c r="P159" s="37"/>
      <c r="Q159" s="38"/>
      <c r="R159" s="37"/>
      <c r="S159" s="39"/>
      <c r="T159" s="40"/>
      <c r="U159" s="39"/>
      <c r="V159" s="40"/>
      <c r="W159" s="39"/>
      <c r="X159" s="40"/>
      <c r="Y159" s="39"/>
      <c r="Z159" s="40"/>
      <c r="AA159" s="39"/>
      <c r="AB159" s="40"/>
      <c r="AC159" s="39"/>
      <c r="AD159" s="40"/>
      <c r="AE159" s="39"/>
      <c r="AF159" s="42"/>
      <c r="AG159" s="41">
        <f t="shared" ca="1" si="50"/>
        <v>0</v>
      </c>
      <c r="AH159" s="42">
        <v>0</v>
      </c>
      <c r="AI159" s="43">
        <f t="shared" ca="1" si="51"/>
        <v>0</v>
      </c>
      <c r="AJ159" s="41">
        <f t="shared" si="52"/>
        <v>0</v>
      </c>
      <c r="AK159" s="46">
        <f t="shared" si="53"/>
        <v>0</v>
      </c>
      <c r="AL159" s="45">
        <f t="shared" ca="1" si="54"/>
        <v>0</v>
      </c>
      <c r="AM159" s="52"/>
    </row>
    <row r="160" spans="1:39" s="23" customFormat="1">
      <c r="A160" s="24"/>
      <c r="B160" s="55"/>
      <c r="C160" s="32"/>
      <c r="D160" s="32"/>
      <c r="E160" s="25"/>
      <c r="F160" s="61" t="str">
        <f t="shared" ca="1" si="5"/>
        <v xml:space="preserve"> </v>
      </c>
      <c r="G160" s="62"/>
      <c r="H160" s="63" t="str">
        <f t="shared" ca="1" si="6"/>
        <v xml:space="preserve"> </v>
      </c>
      <c r="I160" s="36"/>
      <c r="J160" s="37"/>
      <c r="K160" s="38"/>
      <c r="L160" s="37"/>
      <c r="M160" s="38"/>
      <c r="N160" s="42"/>
      <c r="O160" s="38"/>
      <c r="P160" s="37"/>
      <c r="Q160" s="38"/>
      <c r="R160" s="37"/>
      <c r="S160" s="39"/>
      <c r="T160" s="40"/>
      <c r="U160" s="39"/>
      <c r="V160" s="40"/>
      <c r="W160" s="39"/>
      <c r="X160" s="40"/>
      <c r="Y160" s="39"/>
      <c r="Z160" s="40"/>
      <c r="AA160" s="39"/>
      <c r="AB160" s="40"/>
      <c r="AC160" s="39"/>
      <c r="AD160" s="40"/>
      <c r="AE160" s="39"/>
      <c r="AF160" s="42"/>
      <c r="AG160" s="41">
        <f t="shared" ca="1" si="50"/>
        <v>0</v>
      </c>
      <c r="AH160" s="42">
        <v>0</v>
      </c>
      <c r="AI160" s="43">
        <f t="shared" ca="1" si="51"/>
        <v>0</v>
      </c>
      <c r="AJ160" s="41">
        <f t="shared" si="52"/>
        <v>0</v>
      </c>
      <c r="AK160" s="46">
        <f t="shared" si="53"/>
        <v>0</v>
      </c>
      <c r="AL160" s="45">
        <f t="shared" ca="1" si="54"/>
        <v>0</v>
      </c>
      <c r="AM160" s="52"/>
    </row>
    <row r="161" spans="1:39" s="23" customFormat="1">
      <c r="A161" s="24"/>
      <c r="B161" s="55"/>
      <c r="C161" s="32"/>
      <c r="D161" s="32"/>
      <c r="E161" s="25"/>
      <c r="F161" s="61" t="str">
        <f t="shared" ca="1" si="5"/>
        <v xml:space="preserve"> </v>
      </c>
      <c r="G161" s="62"/>
      <c r="H161" s="63" t="str">
        <f t="shared" ca="1" si="6"/>
        <v xml:space="preserve"> </v>
      </c>
      <c r="I161" s="36"/>
      <c r="J161" s="37"/>
      <c r="K161" s="38"/>
      <c r="L161" s="37"/>
      <c r="M161" s="38"/>
      <c r="N161" s="42"/>
      <c r="O161" s="38"/>
      <c r="P161" s="37"/>
      <c r="Q161" s="38"/>
      <c r="R161" s="37"/>
      <c r="S161" s="39"/>
      <c r="T161" s="40"/>
      <c r="U161" s="39"/>
      <c r="V161" s="40"/>
      <c r="W161" s="39"/>
      <c r="X161" s="40"/>
      <c r="Y161" s="39"/>
      <c r="Z161" s="40"/>
      <c r="AA161" s="39"/>
      <c r="AB161" s="40"/>
      <c r="AC161" s="39"/>
      <c r="AD161" s="40"/>
      <c r="AE161" s="39"/>
      <c r="AF161" s="42"/>
      <c r="AG161" s="41">
        <f t="shared" ca="1" si="50"/>
        <v>0</v>
      </c>
      <c r="AH161" s="42">
        <v>0</v>
      </c>
      <c r="AI161" s="43">
        <f t="shared" ca="1" si="51"/>
        <v>0</v>
      </c>
      <c r="AJ161" s="41">
        <f t="shared" si="52"/>
        <v>0</v>
      </c>
      <c r="AK161" s="46">
        <f t="shared" si="53"/>
        <v>0</v>
      </c>
      <c r="AL161" s="45">
        <f t="shared" ca="1" si="54"/>
        <v>0</v>
      </c>
      <c r="AM161" s="52"/>
    </row>
    <row r="162" spans="1:39" s="23" customFormat="1">
      <c r="A162" s="24"/>
      <c r="B162" s="55"/>
      <c r="C162" s="32"/>
      <c r="D162" s="32"/>
      <c r="E162" s="25"/>
      <c r="F162" s="61" t="str">
        <f t="shared" ca="1" si="5"/>
        <v xml:space="preserve"> </v>
      </c>
      <c r="G162" s="62"/>
      <c r="H162" s="63" t="str">
        <f t="shared" ca="1" si="6"/>
        <v xml:space="preserve"> </v>
      </c>
      <c r="I162" s="36"/>
      <c r="J162" s="37"/>
      <c r="K162" s="38"/>
      <c r="L162" s="37"/>
      <c r="M162" s="38"/>
      <c r="N162" s="42"/>
      <c r="O162" s="38"/>
      <c r="P162" s="37"/>
      <c r="Q162" s="38"/>
      <c r="R162" s="37"/>
      <c r="S162" s="39"/>
      <c r="T162" s="40"/>
      <c r="U162" s="39"/>
      <c r="V162" s="40"/>
      <c r="W162" s="39"/>
      <c r="X162" s="40"/>
      <c r="Y162" s="39"/>
      <c r="Z162" s="40"/>
      <c r="AA162" s="39"/>
      <c r="AB162" s="40"/>
      <c r="AC162" s="39"/>
      <c r="AD162" s="40"/>
      <c r="AE162" s="39"/>
      <c r="AF162" s="42"/>
      <c r="AG162" s="41">
        <f t="shared" ca="1" si="50"/>
        <v>0</v>
      </c>
      <c r="AH162" s="42">
        <v>0</v>
      </c>
      <c r="AI162" s="43">
        <f t="shared" ca="1" si="51"/>
        <v>0</v>
      </c>
      <c r="AJ162" s="41">
        <f t="shared" si="52"/>
        <v>0</v>
      </c>
      <c r="AK162" s="46">
        <f t="shared" si="53"/>
        <v>0</v>
      </c>
      <c r="AL162" s="45">
        <f t="shared" ca="1" si="54"/>
        <v>0</v>
      </c>
      <c r="AM162" s="52"/>
    </row>
    <row r="163" spans="1:39" s="23" customFormat="1">
      <c r="A163" s="24"/>
      <c r="B163" s="55"/>
      <c r="C163" s="32"/>
      <c r="D163" s="32"/>
      <c r="E163" s="25"/>
      <c r="F163" s="61" t="str">
        <f t="shared" ca="1" si="5"/>
        <v xml:space="preserve"> </v>
      </c>
      <c r="G163" s="62"/>
      <c r="H163" s="63" t="str">
        <f t="shared" ca="1" si="6"/>
        <v xml:space="preserve"> </v>
      </c>
      <c r="I163" s="36"/>
      <c r="J163" s="37"/>
      <c r="K163" s="38"/>
      <c r="L163" s="37"/>
      <c r="M163" s="38"/>
      <c r="N163" s="42"/>
      <c r="O163" s="38"/>
      <c r="P163" s="37"/>
      <c r="Q163" s="38"/>
      <c r="R163" s="37"/>
      <c r="S163" s="39"/>
      <c r="T163" s="40"/>
      <c r="U163" s="39"/>
      <c r="V163" s="40"/>
      <c r="W163" s="39"/>
      <c r="X163" s="40"/>
      <c r="Y163" s="39"/>
      <c r="Z163" s="40"/>
      <c r="AA163" s="39"/>
      <c r="AB163" s="40"/>
      <c r="AC163" s="39"/>
      <c r="AD163" s="40"/>
      <c r="AE163" s="39"/>
      <c r="AF163" s="42"/>
      <c r="AG163" s="41">
        <f t="shared" ca="1" si="50"/>
        <v>0</v>
      </c>
      <c r="AH163" s="42">
        <v>0</v>
      </c>
      <c r="AI163" s="43">
        <f t="shared" ca="1" si="51"/>
        <v>0</v>
      </c>
      <c r="AJ163" s="41">
        <f t="shared" si="52"/>
        <v>0</v>
      </c>
      <c r="AK163" s="46">
        <f t="shared" si="53"/>
        <v>0</v>
      </c>
      <c r="AL163" s="45">
        <f t="shared" ca="1" si="54"/>
        <v>0</v>
      </c>
      <c r="AM163" s="52"/>
    </row>
    <row r="164" spans="1:39" s="23" customFormat="1">
      <c r="A164" s="24"/>
      <c r="B164" s="55"/>
      <c r="C164" s="32"/>
      <c r="D164" s="32"/>
      <c r="E164" s="25"/>
      <c r="F164" s="61" t="str">
        <f t="shared" ca="1" si="5"/>
        <v xml:space="preserve"> </v>
      </c>
      <c r="G164" s="62"/>
      <c r="H164" s="63" t="str">
        <f t="shared" ca="1" si="6"/>
        <v xml:space="preserve"> </v>
      </c>
      <c r="I164" s="36"/>
      <c r="J164" s="37"/>
      <c r="K164" s="38"/>
      <c r="L164" s="37"/>
      <c r="M164" s="38"/>
      <c r="N164" s="42"/>
      <c r="O164" s="38"/>
      <c r="P164" s="37"/>
      <c r="Q164" s="38"/>
      <c r="R164" s="37"/>
      <c r="S164" s="39"/>
      <c r="T164" s="40"/>
      <c r="U164" s="39"/>
      <c r="V164" s="40"/>
      <c r="W164" s="39"/>
      <c r="X164" s="40"/>
      <c r="Y164" s="39"/>
      <c r="Z164" s="40"/>
      <c r="AA164" s="39"/>
      <c r="AB164" s="40"/>
      <c r="AC164" s="39"/>
      <c r="AD164" s="40"/>
      <c r="AE164" s="39"/>
      <c r="AF164" s="42"/>
      <c r="AG164" s="41">
        <f t="shared" ca="1" si="50"/>
        <v>0</v>
      </c>
      <c r="AH164" s="42">
        <v>0</v>
      </c>
      <c r="AI164" s="43">
        <f t="shared" ca="1" si="51"/>
        <v>0</v>
      </c>
      <c r="AJ164" s="41">
        <f t="shared" si="52"/>
        <v>0</v>
      </c>
      <c r="AK164" s="46">
        <f t="shared" si="53"/>
        <v>0</v>
      </c>
      <c r="AL164" s="45">
        <f t="shared" ca="1" si="54"/>
        <v>0</v>
      </c>
      <c r="AM164" s="52"/>
    </row>
    <row r="165" spans="1:39" s="23" customFormat="1">
      <c r="A165" s="24"/>
      <c r="B165" s="55"/>
      <c r="C165" s="32"/>
      <c r="D165" s="32"/>
      <c r="E165" s="25"/>
      <c r="F165" s="61" t="str">
        <f t="shared" ca="1" si="5"/>
        <v xml:space="preserve"> </v>
      </c>
      <c r="G165" s="62"/>
      <c r="H165" s="63" t="str">
        <f t="shared" ca="1" si="6"/>
        <v xml:space="preserve"> </v>
      </c>
      <c r="I165" s="36"/>
      <c r="J165" s="37"/>
      <c r="K165" s="38"/>
      <c r="L165" s="37"/>
      <c r="M165" s="38"/>
      <c r="N165" s="42"/>
      <c r="O165" s="38"/>
      <c r="P165" s="37"/>
      <c r="Q165" s="38"/>
      <c r="R165" s="37"/>
      <c r="S165" s="39"/>
      <c r="T165" s="40"/>
      <c r="U165" s="39"/>
      <c r="V165" s="40"/>
      <c r="W165" s="39"/>
      <c r="X165" s="40"/>
      <c r="Y165" s="39"/>
      <c r="Z165" s="40"/>
      <c r="AA165" s="39"/>
      <c r="AB165" s="40"/>
      <c r="AC165" s="39"/>
      <c r="AD165" s="40"/>
      <c r="AE165" s="39"/>
      <c r="AF165" s="42"/>
      <c r="AG165" s="41">
        <f t="shared" ca="1" si="50"/>
        <v>0</v>
      </c>
      <c r="AH165" s="42">
        <v>0</v>
      </c>
      <c r="AI165" s="43">
        <f t="shared" ca="1" si="51"/>
        <v>0</v>
      </c>
      <c r="AJ165" s="41">
        <f t="shared" si="52"/>
        <v>0</v>
      </c>
      <c r="AK165" s="46">
        <f t="shared" si="53"/>
        <v>0</v>
      </c>
      <c r="AL165" s="45">
        <f t="shared" ca="1" si="54"/>
        <v>0</v>
      </c>
      <c r="AM165" s="52"/>
    </row>
    <row r="166" spans="1:39" s="23" customFormat="1">
      <c r="A166" s="24"/>
      <c r="B166" s="55"/>
      <c r="C166" s="32"/>
      <c r="D166" s="32"/>
      <c r="E166" s="25"/>
      <c r="F166" s="61" t="str">
        <f t="shared" ca="1" si="5"/>
        <v xml:space="preserve"> </v>
      </c>
      <c r="G166" s="62"/>
      <c r="H166" s="63" t="str">
        <f t="shared" ca="1" si="6"/>
        <v xml:space="preserve"> </v>
      </c>
      <c r="I166" s="36"/>
      <c r="J166" s="37"/>
      <c r="K166" s="38"/>
      <c r="L166" s="37"/>
      <c r="M166" s="38"/>
      <c r="N166" s="42"/>
      <c r="O166" s="38"/>
      <c r="P166" s="37"/>
      <c r="Q166" s="38"/>
      <c r="R166" s="37"/>
      <c r="S166" s="39"/>
      <c r="T166" s="40"/>
      <c r="U166" s="39"/>
      <c r="V166" s="40"/>
      <c r="W166" s="39"/>
      <c r="X166" s="40"/>
      <c r="Y166" s="39"/>
      <c r="Z166" s="40"/>
      <c r="AA166" s="39"/>
      <c r="AB166" s="40"/>
      <c r="AC166" s="39"/>
      <c r="AD166" s="40"/>
      <c r="AE166" s="39"/>
      <c r="AF166" s="42"/>
      <c r="AG166" s="41">
        <f t="shared" ca="1" si="50"/>
        <v>0</v>
      </c>
      <c r="AH166" s="42">
        <v>0</v>
      </c>
      <c r="AI166" s="43">
        <f t="shared" ca="1" si="51"/>
        <v>0</v>
      </c>
      <c r="AJ166" s="41">
        <f t="shared" si="52"/>
        <v>0</v>
      </c>
      <c r="AK166" s="46">
        <f t="shared" si="53"/>
        <v>0</v>
      </c>
      <c r="AL166" s="45">
        <f t="shared" ca="1" si="54"/>
        <v>0</v>
      </c>
      <c r="AM166" s="52"/>
    </row>
    <row r="167" spans="1:39" s="23" customFormat="1">
      <c r="A167" s="24"/>
      <c r="B167" s="55"/>
      <c r="C167" s="32"/>
      <c r="D167" s="32"/>
      <c r="E167" s="25"/>
      <c r="F167" s="61" t="str">
        <f t="shared" ca="1" si="5"/>
        <v xml:space="preserve"> </v>
      </c>
      <c r="G167" s="62"/>
      <c r="H167" s="63" t="str">
        <f t="shared" ca="1" si="6"/>
        <v xml:space="preserve"> </v>
      </c>
      <c r="I167" s="36"/>
      <c r="J167" s="37"/>
      <c r="K167" s="38"/>
      <c r="L167" s="37"/>
      <c r="M167" s="38"/>
      <c r="N167" s="42"/>
      <c r="O167" s="38"/>
      <c r="P167" s="37"/>
      <c r="Q167" s="38"/>
      <c r="R167" s="37"/>
      <c r="S167" s="39"/>
      <c r="T167" s="40"/>
      <c r="U167" s="39"/>
      <c r="V167" s="40"/>
      <c r="W167" s="39"/>
      <c r="X167" s="40"/>
      <c r="Y167" s="39"/>
      <c r="Z167" s="40"/>
      <c r="AA167" s="39"/>
      <c r="AB167" s="40"/>
      <c r="AC167" s="39"/>
      <c r="AD167" s="40"/>
      <c r="AE167" s="39"/>
      <c r="AF167" s="42"/>
      <c r="AG167" s="41">
        <f t="shared" ca="1" si="50"/>
        <v>0</v>
      </c>
      <c r="AH167" s="42">
        <v>0</v>
      </c>
      <c r="AI167" s="43">
        <f t="shared" ca="1" si="51"/>
        <v>0</v>
      </c>
      <c r="AJ167" s="41">
        <f t="shared" si="52"/>
        <v>0</v>
      </c>
      <c r="AK167" s="46">
        <f t="shared" si="53"/>
        <v>0</v>
      </c>
      <c r="AL167" s="45">
        <f t="shared" ca="1" si="54"/>
        <v>0</v>
      </c>
      <c r="AM167" s="52"/>
    </row>
    <row r="168" spans="1:39" s="23" customFormat="1">
      <c r="A168" s="24"/>
      <c r="B168" s="55"/>
      <c r="C168" s="32"/>
      <c r="D168" s="32"/>
      <c r="E168" s="25"/>
      <c r="F168" s="61" t="str">
        <f t="shared" ca="1" si="5"/>
        <v xml:space="preserve"> </v>
      </c>
      <c r="G168" s="62"/>
      <c r="H168" s="63" t="str">
        <f t="shared" ca="1" si="6"/>
        <v xml:space="preserve"> </v>
      </c>
      <c r="I168" s="36"/>
      <c r="J168" s="37"/>
      <c r="K168" s="38"/>
      <c r="L168" s="37"/>
      <c r="M168" s="38"/>
      <c r="N168" s="42"/>
      <c r="O168" s="38"/>
      <c r="P168" s="37"/>
      <c r="Q168" s="38"/>
      <c r="R168" s="37"/>
      <c r="S168" s="39"/>
      <c r="T168" s="40"/>
      <c r="U168" s="39"/>
      <c r="V168" s="40"/>
      <c r="W168" s="39"/>
      <c r="X168" s="40"/>
      <c r="Y168" s="39"/>
      <c r="Z168" s="40"/>
      <c r="AA168" s="39"/>
      <c r="AB168" s="40"/>
      <c r="AC168" s="39"/>
      <c r="AD168" s="40"/>
      <c r="AE168" s="39"/>
      <c r="AF168" s="42"/>
      <c r="AG168" s="41">
        <f t="shared" ca="1" si="50"/>
        <v>0</v>
      </c>
      <c r="AH168" s="42">
        <v>0</v>
      </c>
      <c r="AI168" s="43">
        <f t="shared" ca="1" si="51"/>
        <v>0</v>
      </c>
      <c r="AJ168" s="41">
        <f t="shared" si="52"/>
        <v>0</v>
      </c>
      <c r="AK168" s="46">
        <f t="shared" si="53"/>
        <v>0</v>
      </c>
      <c r="AL168" s="45">
        <f t="shared" ca="1" si="54"/>
        <v>0</v>
      </c>
      <c r="AM168" s="52"/>
    </row>
    <row r="169" spans="1:39" s="23" customFormat="1">
      <c r="A169" s="24"/>
      <c r="B169" s="55"/>
      <c r="C169" s="32"/>
      <c r="D169" s="32"/>
      <c r="E169" s="25"/>
      <c r="F169" s="61" t="str">
        <f t="shared" ca="1" si="5"/>
        <v xml:space="preserve"> </v>
      </c>
      <c r="G169" s="62"/>
      <c r="H169" s="63" t="str">
        <f t="shared" ca="1" si="6"/>
        <v xml:space="preserve"> </v>
      </c>
      <c r="I169" s="36"/>
      <c r="J169" s="37"/>
      <c r="K169" s="38"/>
      <c r="L169" s="37"/>
      <c r="M169" s="38"/>
      <c r="N169" s="42"/>
      <c r="O169" s="38"/>
      <c r="P169" s="37"/>
      <c r="Q169" s="38"/>
      <c r="R169" s="37"/>
      <c r="S169" s="39"/>
      <c r="T169" s="40"/>
      <c r="U169" s="39"/>
      <c r="V169" s="40"/>
      <c r="W169" s="39"/>
      <c r="X169" s="40"/>
      <c r="Y169" s="39"/>
      <c r="Z169" s="40"/>
      <c r="AA169" s="39"/>
      <c r="AB169" s="40"/>
      <c r="AC169" s="39"/>
      <c r="AD169" s="40"/>
      <c r="AE169" s="39"/>
      <c r="AF169" s="42"/>
      <c r="AG169" s="41">
        <f t="shared" ca="1" si="50"/>
        <v>0</v>
      </c>
      <c r="AH169" s="42">
        <v>0</v>
      </c>
      <c r="AI169" s="43">
        <f t="shared" ca="1" si="51"/>
        <v>0</v>
      </c>
      <c r="AJ169" s="41">
        <f t="shared" si="52"/>
        <v>0</v>
      </c>
      <c r="AK169" s="46">
        <f t="shared" si="53"/>
        <v>0</v>
      </c>
      <c r="AL169" s="45">
        <f t="shared" ca="1" si="54"/>
        <v>0</v>
      </c>
      <c r="AM169" s="52"/>
    </row>
    <row r="170" spans="1:39" s="23" customFormat="1">
      <c r="A170" s="24"/>
      <c r="B170" s="55"/>
      <c r="C170" s="32"/>
      <c r="D170" s="32"/>
      <c r="E170" s="25"/>
      <c r="F170" s="61" t="str">
        <f t="shared" ca="1" si="5"/>
        <v xml:space="preserve"> </v>
      </c>
      <c r="G170" s="62"/>
      <c r="H170" s="63" t="str">
        <f t="shared" ca="1" si="6"/>
        <v xml:space="preserve"> </v>
      </c>
      <c r="I170" s="36"/>
      <c r="J170" s="37"/>
      <c r="K170" s="38"/>
      <c r="L170" s="37"/>
      <c r="M170" s="38"/>
      <c r="N170" s="42"/>
      <c r="O170" s="38"/>
      <c r="P170" s="37"/>
      <c r="Q170" s="38"/>
      <c r="R170" s="37"/>
      <c r="S170" s="39"/>
      <c r="T170" s="40"/>
      <c r="U170" s="39"/>
      <c r="V170" s="40"/>
      <c r="W170" s="39"/>
      <c r="X170" s="40"/>
      <c r="Y170" s="39"/>
      <c r="Z170" s="40"/>
      <c r="AA170" s="39"/>
      <c r="AB170" s="40"/>
      <c r="AC170" s="39"/>
      <c r="AD170" s="40"/>
      <c r="AE170" s="39"/>
      <c r="AF170" s="42"/>
      <c r="AG170" s="41">
        <f t="shared" ca="1" si="50"/>
        <v>0</v>
      </c>
      <c r="AH170" s="42">
        <v>0</v>
      </c>
      <c r="AI170" s="43">
        <f t="shared" ca="1" si="51"/>
        <v>0</v>
      </c>
      <c r="AJ170" s="41">
        <f t="shared" si="52"/>
        <v>0</v>
      </c>
      <c r="AK170" s="46">
        <f t="shared" si="53"/>
        <v>0</v>
      </c>
      <c r="AL170" s="45">
        <f t="shared" ca="1" si="54"/>
        <v>0</v>
      </c>
      <c r="AM170" s="52"/>
    </row>
    <row r="171" spans="1:39" s="23" customFormat="1">
      <c r="A171" s="24"/>
      <c r="B171" s="55"/>
      <c r="C171" s="32"/>
      <c r="D171" s="32"/>
      <c r="E171" s="25"/>
      <c r="F171" s="61" t="str">
        <f t="shared" ca="1" si="5"/>
        <v xml:space="preserve"> </v>
      </c>
      <c r="G171" s="62"/>
      <c r="H171" s="63" t="str">
        <f t="shared" ca="1" si="6"/>
        <v xml:space="preserve"> </v>
      </c>
      <c r="I171" s="36"/>
      <c r="J171" s="37"/>
      <c r="K171" s="38"/>
      <c r="L171" s="37"/>
      <c r="M171" s="38"/>
      <c r="N171" s="42"/>
      <c r="O171" s="38"/>
      <c r="P171" s="37"/>
      <c r="Q171" s="38"/>
      <c r="R171" s="37"/>
      <c r="S171" s="39"/>
      <c r="T171" s="40"/>
      <c r="U171" s="39"/>
      <c r="V171" s="40"/>
      <c r="W171" s="39"/>
      <c r="X171" s="40"/>
      <c r="Y171" s="39"/>
      <c r="Z171" s="40"/>
      <c r="AA171" s="39"/>
      <c r="AB171" s="40"/>
      <c r="AC171" s="39"/>
      <c r="AD171" s="40"/>
      <c r="AE171" s="39"/>
      <c r="AF171" s="42"/>
      <c r="AG171" s="41">
        <f t="shared" ca="1" si="50"/>
        <v>0</v>
      </c>
      <c r="AH171" s="42">
        <v>0</v>
      </c>
      <c r="AI171" s="43">
        <f t="shared" ca="1" si="51"/>
        <v>0</v>
      </c>
      <c r="AJ171" s="41">
        <f t="shared" si="52"/>
        <v>0</v>
      </c>
      <c r="AK171" s="46">
        <f t="shared" si="53"/>
        <v>0</v>
      </c>
      <c r="AL171" s="45">
        <f t="shared" ca="1" si="54"/>
        <v>0</v>
      </c>
      <c r="AM171" s="52"/>
    </row>
    <row r="172" spans="1:39" s="23" customFormat="1">
      <c r="A172" s="24"/>
      <c r="B172" s="55"/>
      <c r="C172" s="32"/>
      <c r="D172" s="32"/>
      <c r="E172" s="25"/>
      <c r="F172" s="61" t="str">
        <f t="shared" ca="1" si="5"/>
        <v xml:space="preserve"> </v>
      </c>
      <c r="G172" s="62"/>
      <c r="H172" s="63" t="str">
        <f t="shared" ca="1" si="6"/>
        <v xml:space="preserve"> </v>
      </c>
      <c r="I172" s="36"/>
      <c r="J172" s="37"/>
      <c r="K172" s="38"/>
      <c r="L172" s="37"/>
      <c r="M172" s="38"/>
      <c r="N172" s="42"/>
      <c r="O172" s="38"/>
      <c r="P172" s="37"/>
      <c r="Q172" s="38"/>
      <c r="R172" s="37"/>
      <c r="S172" s="39"/>
      <c r="T172" s="40"/>
      <c r="U172" s="39"/>
      <c r="V172" s="40"/>
      <c r="W172" s="39"/>
      <c r="X172" s="40"/>
      <c r="Y172" s="39"/>
      <c r="Z172" s="40"/>
      <c r="AA172" s="39"/>
      <c r="AB172" s="40"/>
      <c r="AC172" s="39"/>
      <c r="AD172" s="40"/>
      <c r="AE172" s="39"/>
      <c r="AF172" s="42"/>
      <c r="AG172" s="41">
        <f t="shared" ca="1" si="50"/>
        <v>0</v>
      </c>
      <c r="AH172" s="42">
        <v>0</v>
      </c>
      <c r="AI172" s="43">
        <f t="shared" ca="1" si="51"/>
        <v>0</v>
      </c>
      <c r="AJ172" s="41">
        <f t="shared" si="52"/>
        <v>0</v>
      </c>
      <c r="AK172" s="46">
        <f t="shared" si="53"/>
        <v>0</v>
      </c>
      <c r="AL172" s="45">
        <f t="shared" ca="1" si="54"/>
        <v>0</v>
      </c>
      <c r="AM172" s="52"/>
    </row>
    <row r="173" spans="1:39" s="23" customFormat="1">
      <c r="A173" s="24"/>
      <c r="B173" s="55"/>
      <c r="C173" s="32"/>
      <c r="D173" s="32"/>
      <c r="E173" s="25"/>
      <c r="F173" s="61" t="str">
        <f t="shared" ca="1" si="5"/>
        <v xml:space="preserve"> </v>
      </c>
      <c r="G173" s="62"/>
      <c r="H173" s="63" t="str">
        <f t="shared" ca="1" si="6"/>
        <v xml:space="preserve"> </v>
      </c>
      <c r="I173" s="36"/>
      <c r="J173" s="37"/>
      <c r="K173" s="38"/>
      <c r="L173" s="37"/>
      <c r="M173" s="38"/>
      <c r="N173" s="42"/>
      <c r="O173" s="38"/>
      <c r="P173" s="37"/>
      <c r="Q173" s="38"/>
      <c r="R173" s="37"/>
      <c r="S173" s="39"/>
      <c r="T173" s="40"/>
      <c r="U173" s="39"/>
      <c r="V173" s="40"/>
      <c r="W173" s="39"/>
      <c r="X173" s="40"/>
      <c r="Y173" s="39"/>
      <c r="Z173" s="40"/>
      <c r="AA173" s="39"/>
      <c r="AB173" s="40"/>
      <c r="AC173" s="39"/>
      <c r="AD173" s="40"/>
      <c r="AE173" s="39"/>
      <c r="AF173" s="42"/>
      <c r="AG173" s="41">
        <f t="shared" ca="1" si="50"/>
        <v>0</v>
      </c>
      <c r="AH173" s="42">
        <v>0</v>
      </c>
      <c r="AI173" s="43">
        <f t="shared" ca="1" si="51"/>
        <v>0</v>
      </c>
      <c r="AJ173" s="41">
        <f t="shared" si="52"/>
        <v>0</v>
      </c>
      <c r="AK173" s="46">
        <f t="shared" si="53"/>
        <v>0</v>
      </c>
      <c r="AL173" s="45">
        <f t="shared" ca="1" si="54"/>
        <v>0</v>
      </c>
      <c r="AM173" s="52"/>
    </row>
    <row r="174" spans="1:39" s="23" customFormat="1">
      <c r="A174" s="24"/>
      <c r="B174" s="55"/>
      <c r="C174" s="32"/>
      <c r="D174" s="32"/>
      <c r="E174" s="25"/>
      <c r="F174" s="61" t="str">
        <f t="shared" ca="1" si="5"/>
        <v xml:space="preserve"> </v>
      </c>
      <c r="G174" s="62"/>
      <c r="H174" s="63" t="str">
        <f t="shared" ca="1" si="6"/>
        <v xml:space="preserve"> </v>
      </c>
      <c r="I174" s="36"/>
      <c r="J174" s="37"/>
      <c r="K174" s="38"/>
      <c r="L174" s="37"/>
      <c r="M174" s="38"/>
      <c r="N174" s="42"/>
      <c r="O174" s="38"/>
      <c r="P174" s="37"/>
      <c r="Q174" s="38"/>
      <c r="R174" s="37"/>
      <c r="S174" s="39"/>
      <c r="T174" s="40"/>
      <c r="U174" s="39"/>
      <c r="V174" s="40"/>
      <c r="W174" s="39"/>
      <c r="X174" s="40"/>
      <c r="Y174" s="39"/>
      <c r="Z174" s="40"/>
      <c r="AA174" s="39"/>
      <c r="AB174" s="40"/>
      <c r="AC174" s="39"/>
      <c r="AD174" s="40"/>
      <c r="AE174" s="39"/>
      <c r="AF174" s="42"/>
      <c r="AG174" s="41">
        <f t="shared" ca="1" si="50"/>
        <v>0</v>
      </c>
      <c r="AH174" s="42">
        <v>0</v>
      </c>
      <c r="AI174" s="43">
        <f t="shared" ca="1" si="51"/>
        <v>0</v>
      </c>
      <c r="AJ174" s="41">
        <f t="shared" si="52"/>
        <v>0</v>
      </c>
      <c r="AK174" s="46">
        <f t="shared" si="53"/>
        <v>0</v>
      </c>
      <c r="AL174" s="45">
        <f t="shared" ca="1" si="54"/>
        <v>0</v>
      </c>
      <c r="AM174" s="52"/>
    </row>
    <row r="175" spans="1:39" s="23" customFormat="1">
      <c r="A175" s="24"/>
      <c r="B175" s="55"/>
      <c r="C175" s="32"/>
      <c r="D175" s="32"/>
      <c r="E175" s="25"/>
      <c r="F175" s="61" t="str">
        <f t="shared" ca="1" si="5"/>
        <v xml:space="preserve"> </v>
      </c>
      <c r="G175" s="62"/>
      <c r="H175" s="63" t="str">
        <f t="shared" ca="1" si="6"/>
        <v xml:space="preserve"> </v>
      </c>
      <c r="I175" s="36"/>
      <c r="J175" s="37"/>
      <c r="K175" s="38"/>
      <c r="L175" s="37"/>
      <c r="M175" s="38"/>
      <c r="N175" s="42"/>
      <c r="O175" s="38"/>
      <c r="P175" s="37"/>
      <c r="Q175" s="38"/>
      <c r="R175" s="37"/>
      <c r="S175" s="39"/>
      <c r="T175" s="40"/>
      <c r="U175" s="39"/>
      <c r="V175" s="40"/>
      <c r="W175" s="39"/>
      <c r="X175" s="40"/>
      <c r="Y175" s="39"/>
      <c r="Z175" s="40"/>
      <c r="AA175" s="39"/>
      <c r="AB175" s="40"/>
      <c r="AC175" s="39"/>
      <c r="AD175" s="40"/>
      <c r="AE175" s="39"/>
      <c r="AF175" s="42"/>
      <c r="AG175" s="41">
        <f t="shared" ca="1" si="50"/>
        <v>0</v>
      </c>
      <c r="AH175" s="42">
        <v>0</v>
      </c>
      <c r="AI175" s="43">
        <f t="shared" ca="1" si="51"/>
        <v>0</v>
      </c>
      <c r="AJ175" s="41">
        <f t="shared" si="52"/>
        <v>0</v>
      </c>
      <c r="AK175" s="46">
        <f t="shared" si="53"/>
        <v>0</v>
      </c>
      <c r="AL175" s="45">
        <f t="shared" ca="1" si="54"/>
        <v>0</v>
      </c>
      <c r="AM175" s="52"/>
    </row>
    <row r="176" spans="1:39" s="23" customFormat="1">
      <c r="A176" s="24"/>
      <c r="B176" s="55"/>
      <c r="C176" s="32"/>
      <c r="D176" s="32"/>
      <c r="E176" s="25"/>
      <c r="F176" s="61" t="str">
        <f t="shared" ca="1" si="5"/>
        <v xml:space="preserve"> </v>
      </c>
      <c r="G176" s="62"/>
      <c r="H176" s="63" t="str">
        <f t="shared" ca="1" si="6"/>
        <v xml:space="preserve"> </v>
      </c>
      <c r="I176" s="36"/>
      <c r="J176" s="37"/>
      <c r="K176" s="38"/>
      <c r="L176" s="37"/>
      <c r="M176" s="38"/>
      <c r="N176" s="42"/>
      <c r="O176" s="38"/>
      <c r="P176" s="37"/>
      <c r="Q176" s="38"/>
      <c r="R176" s="37"/>
      <c r="S176" s="39"/>
      <c r="T176" s="40"/>
      <c r="U176" s="39"/>
      <c r="V176" s="40"/>
      <c r="W176" s="39"/>
      <c r="X176" s="40"/>
      <c r="Y176" s="39"/>
      <c r="Z176" s="40"/>
      <c r="AA176" s="39"/>
      <c r="AB176" s="40"/>
      <c r="AC176" s="39"/>
      <c r="AD176" s="40"/>
      <c r="AE176" s="39"/>
      <c r="AF176" s="42"/>
      <c r="AG176" s="41">
        <f t="shared" ca="1" si="50"/>
        <v>0</v>
      </c>
      <c r="AH176" s="42">
        <v>0</v>
      </c>
      <c r="AI176" s="43">
        <f t="shared" ca="1" si="51"/>
        <v>0</v>
      </c>
      <c r="AJ176" s="41">
        <f t="shared" si="52"/>
        <v>0</v>
      </c>
      <c r="AK176" s="46">
        <f t="shared" si="53"/>
        <v>0</v>
      </c>
      <c r="AL176" s="45">
        <f t="shared" ca="1" si="54"/>
        <v>0</v>
      </c>
      <c r="AM176" s="52"/>
    </row>
    <row r="177" spans="1:39" s="23" customFormat="1">
      <c r="A177" s="24"/>
      <c r="B177" s="55"/>
      <c r="C177" s="32"/>
      <c r="D177" s="32"/>
      <c r="E177" s="25"/>
      <c r="F177" s="61" t="str">
        <f t="shared" ca="1" si="5"/>
        <v xml:space="preserve"> </v>
      </c>
      <c r="G177" s="62"/>
      <c r="H177" s="63" t="str">
        <f t="shared" ca="1" si="6"/>
        <v xml:space="preserve"> </v>
      </c>
      <c r="I177" s="36"/>
      <c r="J177" s="37"/>
      <c r="K177" s="38"/>
      <c r="L177" s="37"/>
      <c r="M177" s="38"/>
      <c r="N177" s="42"/>
      <c r="O177" s="38"/>
      <c r="P177" s="37"/>
      <c r="Q177" s="38"/>
      <c r="R177" s="37"/>
      <c r="S177" s="39"/>
      <c r="T177" s="40"/>
      <c r="U177" s="39"/>
      <c r="V177" s="40"/>
      <c r="W177" s="39"/>
      <c r="X177" s="40"/>
      <c r="Y177" s="39"/>
      <c r="Z177" s="40"/>
      <c r="AA177" s="39"/>
      <c r="AB177" s="40"/>
      <c r="AC177" s="39"/>
      <c r="AD177" s="40"/>
      <c r="AE177" s="39"/>
      <c r="AF177" s="42"/>
      <c r="AG177" s="41">
        <f t="shared" ca="1" si="50"/>
        <v>0</v>
      </c>
      <c r="AH177" s="42">
        <v>0</v>
      </c>
      <c r="AI177" s="43">
        <f t="shared" ca="1" si="51"/>
        <v>0</v>
      </c>
      <c r="AJ177" s="41">
        <f t="shared" si="52"/>
        <v>0</v>
      </c>
      <c r="AK177" s="46">
        <f t="shared" si="53"/>
        <v>0</v>
      </c>
      <c r="AL177" s="45">
        <f t="shared" ca="1" si="54"/>
        <v>0</v>
      </c>
      <c r="AM177" s="52"/>
    </row>
    <row r="178" spans="1:39" s="23" customFormat="1">
      <c r="A178" s="24"/>
      <c r="B178" s="55"/>
      <c r="C178" s="32"/>
      <c r="D178" s="32"/>
      <c r="E178" s="25"/>
      <c r="F178" s="61" t="str">
        <f t="shared" ca="1" si="5"/>
        <v xml:space="preserve"> </v>
      </c>
      <c r="G178" s="62"/>
      <c r="H178" s="63" t="str">
        <f t="shared" ca="1" si="6"/>
        <v xml:space="preserve"> </v>
      </c>
      <c r="I178" s="36"/>
      <c r="J178" s="37"/>
      <c r="K178" s="38"/>
      <c r="L178" s="37"/>
      <c r="M178" s="38"/>
      <c r="N178" s="42"/>
      <c r="O178" s="38"/>
      <c r="P178" s="37"/>
      <c r="Q178" s="38"/>
      <c r="R178" s="37"/>
      <c r="S178" s="39"/>
      <c r="T178" s="40"/>
      <c r="U178" s="39"/>
      <c r="V178" s="40"/>
      <c r="W178" s="39"/>
      <c r="X178" s="40"/>
      <c r="Y178" s="39"/>
      <c r="Z178" s="40"/>
      <c r="AA178" s="39"/>
      <c r="AB178" s="40"/>
      <c r="AC178" s="39"/>
      <c r="AD178" s="40"/>
      <c r="AE178" s="39"/>
      <c r="AF178" s="42"/>
      <c r="AG178" s="41">
        <f t="shared" ca="1" si="50"/>
        <v>0</v>
      </c>
      <c r="AH178" s="42">
        <v>0</v>
      </c>
      <c r="AI178" s="43">
        <f t="shared" ca="1" si="51"/>
        <v>0</v>
      </c>
      <c r="AJ178" s="41">
        <f t="shared" si="52"/>
        <v>0</v>
      </c>
      <c r="AK178" s="46">
        <f t="shared" si="53"/>
        <v>0</v>
      </c>
      <c r="AL178" s="45">
        <f t="shared" ca="1" si="54"/>
        <v>0</v>
      </c>
      <c r="AM178" s="52"/>
    </row>
    <row r="179" spans="1:39" s="23" customFormat="1">
      <c r="A179" s="24"/>
      <c r="B179" s="55"/>
      <c r="C179" s="32"/>
      <c r="D179" s="32"/>
      <c r="E179" s="25"/>
      <c r="F179" s="61" t="str">
        <f t="shared" ca="1" si="5"/>
        <v xml:space="preserve"> </v>
      </c>
      <c r="G179" s="62"/>
      <c r="H179" s="63" t="str">
        <f t="shared" ca="1" si="6"/>
        <v xml:space="preserve"> </v>
      </c>
      <c r="I179" s="36"/>
      <c r="J179" s="37"/>
      <c r="K179" s="38"/>
      <c r="L179" s="37"/>
      <c r="M179" s="38"/>
      <c r="N179" s="42"/>
      <c r="O179" s="38"/>
      <c r="P179" s="37"/>
      <c r="Q179" s="38"/>
      <c r="R179" s="37"/>
      <c r="S179" s="39"/>
      <c r="T179" s="40"/>
      <c r="U179" s="39"/>
      <c r="V179" s="40"/>
      <c r="W179" s="39"/>
      <c r="X179" s="40"/>
      <c r="Y179" s="39"/>
      <c r="Z179" s="40"/>
      <c r="AA179" s="39"/>
      <c r="AB179" s="40"/>
      <c r="AC179" s="39"/>
      <c r="AD179" s="40"/>
      <c r="AE179" s="39"/>
      <c r="AF179" s="42"/>
      <c r="AG179" s="41">
        <f t="shared" ca="1" si="50"/>
        <v>0</v>
      </c>
      <c r="AH179" s="42">
        <v>0</v>
      </c>
      <c r="AI179" s="43">
        <f t="shared" ca="1" si="51"/>
        <v>0</v>
      </c>
      <c r="AJ179" s="41">
        <f t="shared" si="52"/>
        <v>0</v>
      </c>
      <c r="AK179" s="46">
        <f t="shared" si="53"/>
        <v>0</v>
      </c>
      <c r="AL179" s="45">
        <f t="shared" ca="1" si="54"/>
        <v>0</v>
      </c>
      <c r="AM179" s="52"/>
    </row>
    <row r="180" spans="1:39" s="23" customFormat="1">
      <c r="A180" s="24"/>
      <c r="B180" s="55"/>
      <c r="C180" s="32"/>
      <c r="D180" s="32"/>
      <c r="E180" s="25"/>
      <c r="F180" s="61" t="str">
        <f t="shared" ca="1" si="5"/>
        <v xml:space="preserve"> </v>
      </c>
      <c r="G180" s="62"/>
      <c r="H180" s="63" t="str">
        <f t="shared" ca="1" si="6"/>
        <v xml:space="preserve"> </v>
      </c>
      <c r="I180" s="36"/>
      <c r="J180" s="37"/>
      <c r="K180" s="38"/>
      <c r="L180" s="37"/>
      <c r="M180" s="38"/>
      <c r="N180" s="42"/>
      <c r="O180" s="38"/>
      <c r="P180" s="37"/>
      <c r="Q180" s="38"/>
      <c r="R180" s="37"/>
      <c r="S180" s="39"/>
      <c r="T180" s="40"/>
      <c r="U180" s="39"/>
      <c r="V180" s="40"/>
      <c r="W180" s="39"/>
      <c r="X180" s="40"/>
      <c r="Y180" s="39"/>
      <c r="Z180" s="40"/>
      <c r="AA180" s="39"/>
      <c r="AB180" s="40"/>
      <c r="AC180" s="39"/>
      <c r="AD180" s="40"/>
      <c r="AE180" s="39"/>
      <c r="AF180" s="42"/>
      <c r="AG180" s="41">
        <f t="shared" ca="1" si="50"/>
        <v>0</v>
      </c>
      <c r="AH180" s="42">
        <v>0</v>
      </c>
      <c r="AI180" s="43">
        <f t="shared" ca="1" si="51"/>
        <v>0</v>
      </c>
      <c r="AJ180" s="41">
        <f t="shared" si="52"/>
        <v>0</v>
      </c>
      <c r="AK180" s="46">
        <f t="shared" si="53"/>
        <v>0</v>
      </c>
      <c r="AL180" s="45">
        <f t="shared" ca="1" si="54"/>
        <v>0</v>
      </c>
      <c r="AM180" s="52"/>
    </row>
    <row r="181" spans="1:39" s="23" customFormat="1">
      <c r="A181" s="24"/>
      <c r="B181" s="55"/>
      <c r="C181" s="32"/>
      <c r="D181" s="32"/>
      <c r="E181" s="25"/>
      <c r="F181" s="61" t="str">
        <f t="shared" ca="1" si="5"/>
        <v xml:space="preserve"> </v>
      </c>
      <c r="G181" s="62"/>
      <c r="H181" s="63" t="str">
        <f t="shared" ca="1" si="6"/>
        <v xml:space="preserve"> </v>
      </c>
      <c r="I181" s="36"/>
      <c r="J181" s="37"/>
      <c r="K181" s="38"/>
      <c r="L181" s="37"/>
      <c r="M181" s="38"/>
      <c r="N181" s="42"/>
      <c r="O181" s="38"/>
      <c r="P181" s="37"/>
      <c r="Q181" s="38"/>
      <c r="R181" s="37"/>
      <c r="S181" s="39"/>
      <c r="T181" s="40"/>
      <c r="U181" s="39"/>
      <c r="V181" s="40"/>
      <c r="W181" s="39"/>
      <c r="X181" s="40"/>
      <c r="Y181" s="39"/>
      <c r="Z181" s="40"/>
      <c r="AA181" s="39"/>
      <c r="AB181" s="40"/>
      <c r="AC181" s="39"/>
      <c r="AD181" s="40"/>
      <c r="AE181" s="39"/>
      <c r="AF181" s="42"/>
      <c r="AG181" s="41">
        <f t="shared" ca="1" si="50"/>
        <v>0</v>
      </c>
      <c r="AH181" s="42">
        <v>0</v>
      </c>
      <c r="AI181" s="43">
        <f t="shared" ca="1" si="51"/>
        <v>0</v>
      </c>
      <c r="AJ181" s="41">
        <f t="shared" si="52"/>
        <v>0</v>
      </c>
      <c r="AK181" s="46">
        <f t="shared" si="53"/>
        <v>0</v>
      </c>
      <c r="AL181" s="45">
        <f t="shared" ca="1" si="54"/>
        <v>0</v>
      </c>
      <c r="AM181" s="52"/>
    </row>
    <row r="182" spans="1:39" s="23" customFormat="1">
      <c r="A182" s="24"/>
      <c r="B182" s="55"/>
      <c r="C182" s="32"/>
      <c r="D182" s="32"/>
      <c r="E182" s="25"/>
      <c r="F182" s="61" t="str">
        <f t="shared" ca="1" si="5"/>
        <v xml:space="preserve"> </v>
      </c>
      <c r="G182" s="62"/>
      <c r="H182" s="63" t="str">
        <f t="shared" ca="1" si="6"/>
        <v xml:space="preserve"> </v>
      </c>
      <c r="I182" s="36"/>
      <c r="J182" s="37"/>
      <c r="K182" s="38"/>
      <c r="L182" s="37"/>
      <c r="M182" s="38"/>
      <c r="N182" s="42"/>
      <c r="O182" s="38"/>
      <c r="P182" s="37"/>
      <c r="Q182" s="38"/>
      <c r="R182" s="37"/>
      <c r="S182" s="39"/>
      <c r="T182" s="40"/>
      <c r="U182" s="39"/>
      <c r="V182" s="40"/>
      <c r="W182" s="39"/>
      <c r="X182" s="40"/>
      <c r="Y182" s="39"/>
      <c r="Z182" s="40"/>
      <c r="AA182" s="39"/>
      <c r="AB182" s="40"/>
      <c r="AC182" s="39"/>
      <c r="AD182" s="40"/>
      <c r="AE182" s="39"/>
      <c r="AF182" s="42"/>
      <c r="AG182" s="41">
        <f t="shared" ca="1" si="50"/>
        <v>0</v>
      </c>
      <c r="AH182" s="42">
        <v>0</v>
      </c>
      <c r="AI182" s="43">
        <f t="shared" ca="1" si="51"/>
        <v>0</v>
      </c>
      <c r="AJ182" s="41">
        <f t="shared" si="52"/>
        <v>0</v>
      </c>
      <c r="AK182" s="46">
        <f t="shared" si="53"/>
        <v>0</v>
      </c>
      <c r="AL182" s="45">
        <f t="shared" ca="1" si="54"/>
        <v>0</v>
      </c>
      <c r="AM182" s="52"/>
    </row>
    <row r="183" spans="1:39" s="23" customFormat="1">
      <c r="A183" s="24"/>
      <c r="B183" s="55"/>
      <c r="C183" s="32"/>
      <c r="D183" s="32"/>
      <c r="E183" s="25"/>
      <c r="F183" s="61" t="str">
        <f t="shared" ca="1" si="5"/>
        <v xml:space="preserve"> </v>
      </c>
      <c r="G183" s="62"/>
      <c r="H183" s="63" t="str">
        <f t="shared" ca="1" si="6"/>
        <v xml:space="preserve"> </v>
      </c>
      <c r="I183" s="36"/>
      <c r="J183" s="37"/>
      <c r="K183" s="38"/>
      <c r="L183" s="37"/>
      <c r="M183" s="38"/>
      <c r="N183" s="42"/>
      <c r="O183" s="38"/>
      <c r="P183" s="37"/>
      <c r="Q183" s="38"/>
      <c r="R183" s="37"/>
      <c r="S183" s="39"/>
      <c r="T183" s="40"/>
      <c r="U183" s="39"/>
      <c r="V183" s="40"/>
      <c r="W183" s="39"/>
      <c r="X183" s="40"/>
      <c r="Y183" s="39"/>
      <c r="Z183" s="40"/>
      <c r="AA183" s="39"/>
      <c r="AB183" s="40"/>
      <c r="AC183" s="39"/>
      <c r="AD183" s="40"/>
      <c r="AE183" s="39"/>
      <c r="AF183" s="42"/>
      <c r="AG183" s="41">
        <f t="shared" ca="1" si="50"/>
        <v>0</v>
      </c>
      <c r="AH183" s="42">
        <v>0</v>
      </c>
      <c r="AI183" s="43">
        <f t="shared" ca="1" si="51"/>
        <v>0</v>
      </c>
      <c r="AJ183" s="41">
        <f t="shared" si="52"/>
        <v>0</v>
      </c>
      <c r="AK183" s="46">
        <f t="shared" si="53"/>
        <v>0</v>
      </c>
      <c r="AL183" s="45">
        <f t="shared" ca="1" si="54"/>
        <v>0</v>
      </c>
      <c r="AM183" s="52"/>
    </row>
    <row r="184" spans="1:39" s="23" customFormat="1">
      <c r="A184" s="24"/>
      <c r="B184" s="55"/>
      <c r="C184" s="32"/>
      <c r="D184" s="32"/>
      <c r="E184" s="25"/>
      <c r="F184" s="61" t="str">
        <f t="shared" ca="1" si="5"/>
        <v xml:space="preserve"> </v>
      </c>
      <c r="G184" s="62"/>
      <c r="H184" s="63" t="str">
        <f t="shared" ca="1" si="6"/>
        <v xml:space="preserve"> </v>
      </c>
      <c r="I184" s="36"/>
      <c r="J184" s="37"/>
      <c r="K184" s="38"/>
      <c r="L184" s="37"/>
      <c r="M184" s="38"/>
      <c r="N184" s="42"/>
      <c r="O184" s="38"/>
      <c r="P184" s="37"/>
      <c r="Q184" s="38"/>
      <c r="R184" s="37"/>
      <c r="S184" s="39"/>
      <c r="T184" s="40"/>
      <c r="U184" s="39"/>
      <c r="V184" s="40"/>
      <c r="W184" s="39"/>
      <c r="X184" s="40"/>
      <c r="Y184" s="39"/>
      <c r="Z184" s="40"/>
      <c r="AA184" s="39"/>
      <c r="AB184" s="40"/>
      <c r="AC184" s="39"/>
      <c r="AD184" s="40"/>
      <c r="AE184" s="39"/>
      <c r="AF184" s="42"/>
      <c r="AG184" s="41">
        <f t="shared" ca="1" si="50"/>
        <v>0</v>
      </c>
      <c r="AH184" s="42">
        <v>0</v>
      </c>
      <c r="AI184" s="43">
        <f t="shared" ca="1" si="51"/>
        <v>0</v>
      </c>
      <c r="AJ184" s="41">
        <f t="shared" si="52"/>
        <v>0</v>
      </c>
      <c r="AK184" s="46">
        <f t="shared" si="53"/>
        <v>0</v>
      </c>
      <c r="AL184" s="45">
        <f t="shared" ca="1" si="54"/>
        <v>0</v>
      </c>
      <c r="AM184" s="52"/>
    </row>
    <row r="185" spans="1:39" s="23" customFormat="1">
      <c r="A185" s="24"/>
      <c r="B185" s="55"/>
      <c r="C185" s="32"/>
      <c r="D185" s="32"/>
      <c r="E185" s="25"/>
      <c r="F185" s="61" t="str">
        <f t="shared" ca="1" si="5"/>
        <v xml:space="preserve"> </v>
      </c>
      <c r="G185" s="62"/>
      <c r="H185" s="63" t="str">
        <f t="shared" ca="1" si="6"/>
        <v xml:space="preserve"> </v>
      </c>
      <c r="I185" s="36"/>
      <c r="J185" s="37"/>
      <c r="K185" s="38"/>
      <c r="L185" s="37"/>
      <c r="M185" s="38"/>
      <c r="N185" s="42"/>
      <c r="O185" s="38"/>
      <c r="P185" s="37"/>
      <c r="Q185" s="38"/>
      <c r="R185" s="37"/>
      <c r="S185" s="39"/>
      <c r="T185" s="40"/>
      <c r="U185" s="39"/>
      <c r="V185" s="40"/>
      <c r="W185" s="39"/>
      <c r="X185" s="40"/>
      <c r="Y185" s="39"/>
      <c r="Z185" s="40"/>
      <c r="AA185" s="39"/>
      <c r="AB185" s="40"/>
      <c r="AC185" s="39"/>
      <c r="AD185" s="40"/>
      <c r="AE185" s="39"/>
      <c r="AF185" s="42"/>
      <c r="AG185" s="41">
        <f t="shared" ca="1" si="50"/>
        <v>0</v>
      </c>
      <c r="AH185" s="42">
        <v>0</v>
      </c>
      <c r="AI185" s="43">
        <f t="shared" ca="1" si="51"/>
        <v>0</v>
      </c>
      <c r="AJ185" s="41">
        <f t="shared" si="52"/>
        <v>0</v>
      </c>
      <c r="AK185" s="46">
        <f t="shared" si="53"/>
        <v>0</v>
      </c>
      <c r="AL185" s="45">
        <f t="shared" ca="1" si="54"/>
        <v>0</v>
      </c>
      <c r="AM185" s="52"/>
    </row>
    <row r="186" spans="1:39" s="23" customFormat="1">
      <c r="A186" s="24"/>
      <c r="B186" s="55"/>
      <c r="C186" s="32"/>
      <c r="D186" s="32"/>
      <c r="E186" s="25"/>
      <c r="F186" s="61" t="str">
        <f t="shared" ca="1" si="5"/>
        <v xml:space="preserve"> </v>
      </c>
      <c r="G186" s="62"/>
      <c r="H186" s="63" t="str">
        <f t="shared" ca="1" si="6"/>
        <v xml:space="preserve"> </v>
      </c>
      <c r="I186" s="36"/>
      <c r="J186" s="37"/>
      <c r="K186" s="38"/>
      <c r="L186" s="37"/>
      <c r="M186" s="38"/>
      <c r="N186" s="42"/>
      <c r="O186" s="38"/>
      <c r="P186" s="37"/>
      <c r="Q186" s="38"/>
      <c r="R186" s="37"/>
      <c r="S186" s="39"/>
      <c r="T186" s="40"/>
      <c r="U186" s="39"/>
      <c r="V186" s="40"/>
      <c r="W186" s="39"/>
      <c r="X186" s="40"/>
      <c r="Y186" s="39"/>
      <c r="Z186" s="40"/>
      <c r="AA186" s="39"/>
      <c r="AB186" s="40"/>
      <c r="AC186" s="39"/>
      <c r="AD186" s="40"/>
      <c r="AE186" s="39"/>
      <c r="AF186" s="42"/>
      <c r="AG186" s="41">
        <f t="shared" ca="1" si="50"/>
        <v>0</v>
      </c>
      <c r="AH186" s="42">
        <v>0</v>
      </c>
      <c r="AI186" s="43">
        <f t="shared" ca="1" si="51"/>
        <v>0</v>
      </c>
      <c r="AJ186" s="41">
        <f t="shared" si="52"/>
        <v>0</v>
      </c>
      <c r="AK186" s="46">
        <f t="shared" si="53"/>
        <v>0</v>
      </c>
      <c r="AL186" s="45">
        <f t="shared" ca="1" si="54"/>
        <v>0</v>
      </c>
      <c r="AM186" s="52"/>
    </row>
    <row r="187" spans="1:39" s="23" customFormat="1">
      <c r="A187" s="24"/>
      <c r="B187" s="55"/>
      <c r="C187" s="32"/>
      <c r="D187" s="32"/>
      <c r="E187" s="25"/>
      <c r="F187" s="61" t="str">
        <f t="shared" ca="1" si="5"/>
        <v xml:space="preserve"> </v>
      </c>
      <c r="G187" s="62"/>
      <c r="H187" s="63" t="str">
        <f t="shared" ca="1" si="6"/>
        <v xml:space="preserve"> </v>
      </c>
      <c r="I187" s="36"/>
      <c r="J187" s="37"/>
      <c r="K187" s="38"/>
      <c r="L187" s="37"/>
      <c r="M187" s="38"/>
      <c r="N187" s="42"/>
      <c r="O187" s="38"/>
      <c r="P187" s="37"/>
      <c r="Q187" s="38"/>
      <c r="R187" s="37"/>
      <c r="S187" s="39"/>
      <c r="T187" s="40"/>
      <c r="U187" s="39"/>
      <c r="V187" s="40"/>
      <c r="W187" s="39"/>
      <c r="X187" s="40"/>
      <c r="Y187" s="39"/>
      <c r="Z187" s="40"/>
      <c r="AA187" s="39"/>
      <c r="AB187" s="40"/>
      <c r="AC187" s="39"/>
      <c r="AD187" s="40"/>
      <c r="AE187" s="39"/>
      <c r="AF187" s="42"/>
      <c r="AG187" s="41">
        <f t="shared" ca="1" si="50"/>
        <v>0</v>
      </c>
      <c r="AH187" s="42">
        <v>0</v>
      </c>
      <c r="AI187" s="43">
        <f t="shared" ca="1" si="51"/>
        <v>0</v>
      </c>
      <c r="AJ187" s="41">
        <f t="shared" si="52"/>
        <v>0</v>
      </c>
      <c r="AK187" s="46">
        <f t="shared" si="53"/>
        <v>0</v>
      </c>
      <c r="AL187" s="45">
        <f t="shared" ca="1" si="54"/>
        <v>0</v>
      </c>
      <c r="AM187" s="52"/>
    </row>
    <row r="188" spans="1:39" s="23" customFormat="1">
      <c r="A188" s="24"/>
      <c r="B188" s="55"/>
      <c r="C188" s="32"/>
      <c r="D188" s="32"/>
      <c r="E188" s="25"/>
      <c r="F188" s="61" t="str">
        <f t="shared" ca="1" si="5"/>
        <v xml:space="preserve"> </v>
      </c>
      <c r="G188" s="62"/>
      <c r="H188" s="63" t="str">
        <f t="shared" ca="1" si="6"/>
        <v xml:space="preserve"> </v>
      </c>
      <c r="I188" s="36"/>
      <c r="J188" s="37"/>
      <c r="K188" s="38"/>
      <c r="L188" s="37"/>
      <c r="M188" s="38"/>
      <c r="N188" s="42"/>
      <c r="O188" s="38"/>
      <c r="P188" s="37"/>
      <c r="Q188" s="38"/>
      <c r="R188" s="37"/>
      <c r="S188" s="39"/>
      <c r="T188" s="40"/>
      <c r="U188" s="39"/>
      <c r="V188" s="40"/>
      <c r="W188" s="39"/>
      <c r="X188" s="40"/>
      <c r="Y188" s="39"/>
      <c r="Z188" s="40"/>
      <c r="AA188" s="39"/>
      <c r="AB188" s="40"/>
      <c r="AC188" s="39"/>
      <c r="AD188" s="40"/>
      <c r="AE188" s="39"/>
      <c r="AF188" s="42"/>
      <c r="AG188" s="41">
        <f t="shared" ca="1" si="50"/>
        <v>0</v>
      </c>
      <c r="AH188" s="42">
        <v>0</v>
      </c>
      <c r="AI188" s="43">
        <f t="shared" ca="1" si="51"/>
        <v>0</v>
      </c>
      <c r="AJ188" s="41">
        <f t="shared" si="52"/>
        <v>0</v>
      </c>
      <c r="AK188" s="46">
        <f t="shared" si="53"/>
        <v>0</v>
      </c>
      <c r="AL188" s="45">
        <f t="shared" ca="1" si="54"/>
        <v>0</v>
      </c>
      <c r="AM188" s="52"/>
    </row>
    <row r="189" spans="1:39" s="23" customFormat="1">
      <c r="A189" s="24"/>
      <c r="B189" s="55"/>
      <c r="C189" s="32"/>
      <c r="D189" s="32"/>
      <c r="E189" s="25"/>
      <c r="F189" s="61" t="str">
        <f t="shared" ca="1" si="5"/>
        <v xml:space="preserve"> </v>
      </c>
      <c r="G189" s="62"/>
      <c r="H189" s="63" t="str">
        <f t="shared" ca="1" si="6"/>
        <v xml:space="preserve"> </v>
      </c>
      <c r="I189" s="36"/>
      <c r="J189" s="37"/>
      <c r="K189" s="38"/>
      <c r="L189" s="37"/>
      <c r="M189" s="38"/>
      <c r="N189" s="42"/>
      <c r="O189" s="38"/>
      <c r="P189" s="37"/>
      <c r="Q189" s="38"/>
      <c r="R189" s="37"/>
      <c r="S189" s="39"/>
      <c r="T189" s="40"/>
      <c r="U189" s="39"/>
      <c r="V189" s="40"/>
      <c r="W189" s="39"/>
      <c r="X189" s="40"/>
      <c r="Y189" s="39"/>
      <c r="Z189" s="40"/>
      <c r="AA189" s="39"/>
      <c r="AB189" s="40"/>
      <c r="AC189" s="39"/>
      <c r="AD189" s="40"/>
      <c r="AE189" s="39"/>
      <c r="AF189" s="42"/>
      <c r="AG189" s="41">
        <f t="shared" ca="1" si="50"/>
        <v>0</v>
      </c>
      <c r="AH189" s="42">
        <v>0</v>
      </c>
      <c r="AI189" s="43">
        <f t="shared" ca="1" si="51"/>
        <v>0</v>
      </c>
      <c r="AJ189" s="41">
        <f t="shared" si="52"/>
        <v>0</v>
      </c>
      <c r="AK189" s="46">
        <f t="shared" si="53"/>
        <v>0</v>
      </c>
      <c r="AL189" s="45">
        <f t="shared" ca="1" si="54"/>
        <v>0</v>
      </c>
      <c r="AM189" s="52"/>
    </row>
    <row r="190" spans="1:39" s="23" customFormat="1">
      <c r="A190" s="24"/>
      <c r="B190" s="55"/>
      <c r="C190" s="32"/>
      <c r="D190" s="32"/>
      <c r="E190" s="25"/>
      <c r="F190" s="61" t="str">
        <f t="shared" ca="1" si="5"/>
        <v xml:space="preserve"> </v>
      </c>
      <c r="G190" s="62"/>
      <c r="H190" s="63" t="str">
        <f t="shared" ca="1" si="6"/>
        <v xml:space="preserve"> </v>
      </c>
      <c r="I190" s="36"/>
      <c r="J190" s="37"/>
      <c r="K190" s="38"/>
      <c r="L190" s="37"/>
      <c r="M190" s="38"/>
      <c r="N190" s="42"/>
      <c r="O190" s="38"/>
      <c r="P190" s="37"/>
      <c r="Q190" s="38"/>
      <c r="R190" s="37"/>
      <c r="S190" s="39"/>
      <c r="T190" s="40"/>
      <c r="U190" s="39"/>
      <c r="V190" s="40"/>
      <c r="W190" s="39"/>
      <c r="X190" s="40"/>
      <c r="Y190" s="39"/>
      <c r="Z190" s="40"/>
      <c r="AA190" s="39"/>
      <c r="AB190" s="40"/>
      <c r="AC190" s="39"/>
      <c r="AD190" s="40"/>
      <c r="AE190" s="39"/>
      <c r="AF190" s="42"/>
      <c r="AG190" s="41">
        <f t="shared" ca="1" si="50"/>
        <v>0</v>
      </c>
      <c r="AH190" s="42">
        <v>0</v>
      </c>
      <c r="AI190" s="43">
        <f t="shared" ca="1" si="51"/>
        <v>0</v>
      </c>
      <c r="AJ190" s="41">
        <f t="shared" si="52"/>
        <v>0</v>
      </c>
      <c r="AK190" s="46">
        <f t="shared" si="53"/>
        <v>0</v>
      </c>
      <c r="AL190" s="45">
        <f t="shared" ca="1" si="54"/>
        <v>0</v>
      </c>
      <c r="AM190" s="52"/>
    </row>
    <row r="191" spans="1:39" s="23" customFormat="1">
      <c r="A191" s="24"/>
      <c r="B191" s="55"/>
      <c r="C191" s="32"/>
      <c r="D191" s="32"/>
      <c r="E191" s="25"/>
      <c r="F191" s="61" t="str">
        <f t="shared" ca="1" si="5"/>
        <v xml:space="preserve"> </v>
      </c>
      <c r="G191" s="62"/>
      <c r="H191" s="63" t="str">
        <f t="shared" ca="1" si="6"/>
        <v xml:space="preserve"> </v>
      </c>
      <c r="I191" s="36"/>
      <c r="J191" s="37"/>
      <c r="K191" s="38"/>
      <c r="L191" s="37"/>
      <c r="M191" s="38"/>
      <c r="N191" s="42"/>
      <c r="O191" s="38"/>
      <c r="P191" s="37"/>
      <c r="Q191" s="38"/>
      <c r="R191" s="37"/>
      <c r="S191" s="39"/>
      <c r="T191" s="40"/>
      <c r="U191" s="39"/>
      <c r="V191" s="40"/>
      <c r="W191" s="39"/>
      <c r="X191" s="40"/>
      <c r="Y191" s="39"/>
      <c r="Z191" s="40"/>
      <c r="AA191" s="39"/>
      <c r="AB191" s="40"/>
      <c r="AC191" s="39"/>
      <c r="AD191" s="40"/>
      <c r="AE191" s="39"/>
      <c r="AF191" s="42"/>
      <c r="AG191" s="41">
        <f t="shared" ca="1" si="50"/>
        <v>0</v>
      </c>
      <c r="AH191" s="42">
        <v>0</v>
      </c>
      <c r="AI191" s="43">
        <f t="shared" ca="1" si="51"/>
        <v>0</v>
      </c>
      <c r="AJ191" s="41">
        <f t="shared" si="52"/>
        <v>0</v>
      </c>
      <c r="AK191" s="46">
        <f t="shared" si="53"/>
        <v>0</v>
      </c>
      <c r="AL191" s="45">
        <f t="shared" ca="1" si="54"/>
        <v>0</v>
      </c>
      <c r="AM191" s="52"/>
    </row>
    <row r="192" spans="1:39" s="23" customFormat="1">
      <c r="A192" s="24"/>
      <c r="B192" s="55"/>
      <c r="C192" s="32"/>
      <c r="D192" s="32"/>
      <c r="E192" s="25"/>
      <c r="F192" s="61" t="str">
        <f t="shared" ca="1" si="5"/>
        <v xml:space="preserve"> </v>
      </c>
      <c r="G192" s="62"/>
      <c r="H192" s="63" t="str">
        <f t="shared" ca="1" si="6"/>
        <v xml:space="preserve"> </v>
      </c>
      <c r="I192" s="36"/>
      <c r="J192" s="37"/>
      <c r="K192" s="38"/>
      <c r="L192" s="37"/>
      <c r="M192" s="38"/>
      <c r="N192" s="42"/>
      <c r="O192" s="38"/>
      <c r="P192" s="37"/>
      <c r="Q192" s="38"/>
      <c r="R192" s="37"/>
      <c r="S192" s="39"/>
      <c r="T192" s="40"/>
      <c r="U192" s="39"/>
      <c r="V192" s="40"/>
      <c r="W192" s="39"/>
      <c r="X192" s="40"/>
      <c r="Y192" s="39"/>
      <c r="Z192" s="40"/>
      <c r="AA192" s="39"/>
      <c r="AB192" s="40"/>
      <c r="AC192" s="39"/>
      <c r="AD192" s="40"/>
      <c r="AE192" s="39"/>
      <c r="AF192" s="42"/>
      <c r="AG192" s="41">
        <f t="shared" ca="1" si="50"/>
        <v>0</v>
      </c>
      <c r="AH192" s="42">
        <v>0</v>
      </c>
      <c r="AI192" s="43">
        <f t="shared" ca="1" si="51"/>
        <v>0</v>
      </c>
      <c r="AJ192" s="41">
        <f t="shared" si="52"/>
        <v>0</v>
      </c>
      <c r="AK192" s="46">
        <f t="shared" si="53"/>
        <v>0</v>
      </c>
      <c r="AL192" s="45">
        <f t="shared" ca="1" si="54"/>
        <v>0</v>
      </c>
      <c r="AM192" s="52"/>
    </row>
    <row r="193" spans="1:39" s="23" customFormat="1">
      <c r="A193" s="24"/>
      <c r="B193" s="55"/>
      <c r="C193" s="32"/>
      <c r="D193" s="32"/>
      <c r="E193" s="25"/>
      <c r="F193" s="61" t="str">
        <f t="shared" ca="1" si="5"/>
        <v xml:space="preserve"> </v>
      </c>
      <c r="G193" s="62"/>
      <c r="H193" s="63" t="str">
        <f t="shared" ca="1" si="6"/>
        <v xml:space="preserve"> </v>
      </c>
      <c r="I193" s="36"/>
      <c r="J193" s="37"/>
      <c r="K193" s="38"/>
      <c r="L193" s="37"/>
      <c r="M193" s="38"/>
      <c r="N193" s="42"/>
      <c r="O193" s="38"/>
      <c r="P193" s="37"/>
      <c r="Q193" s="38"/>
      <c r="R193" s="37"/>
      <c r="S193" s="39"/>
      <c r="T193" s="40"/>
      <c r="U193" s="39"/>
      <c r="V193" s="40"/>
      <c r="W193" s="39"/>
      <c r="X193" s="40"/>
      <c r="Y193" s="39"/>
      <c r="Z193" s="40"/>
      <c r="AA193" s="39"/>
      <c r="AB193" s="40"/>
      <c r="AC193" s="39"/>
      <c r="AD193" s="40"/>
      <c r="AE193" s="39"/>
      <c r="AF193" s="42"/>
      <c r="AG193" s="41">
        <f t="shared" ca="1" si="50"/>
        <v>0</v>
      </c>
      <c r="AH193" s="42">
        <v>0</v>
      </c>
      <c r="AI193" s="43">
        <f t="shared" ca="1" si="51"/>
        <v>0</v>
      </c>
      <c r="AJ193" s="41">
        <f t="shared" si="52"/>
        <v>0</v>
      </c>
      <c r="AK193" s="46">
        <f t="shared" si="53"/>
        <v>0</v>
      </c>
      <c r="AL193" s="45">
        <f t="shared" ca="1" si="54"/>
        <v>0</v>
      </c>
      <c r="AM193" s="52"/>
    </row>
    <row r="194" spans="1:39" s="23" customFormat="1">
      <c r="A194" s="24"/>
      <c r="B194" s="55"/>
      <c r="C194" s="32"/>
      <c r="D194" s="32"/>
      <c r="E194" s="25"/>
      <c r="F194" s="61" t="str">
        <f t="shared" ca="1" si="5"/>
        <v xml:space="preserve"> </v>
      </c>
      <c r="G194" s="62"/>
      <c r="H194" s="63" t="str">
        <f t="shared" ca="1" si="6"/>
        <v xml:space="preserve"> </v>
      </c>
      <c r="I194" s="36"/>
      <c r="J194" s="37"/>
      <c r="K194" s="38"/>
      <c r="L194" s="37"/>
      <c r="M194" s="38"/>
      <c r="N194" s="42"/>
      <c r="O194" s="38"/>
      <c r="P194" s="37"/>
      <c r="Q194" s="38"/>
      <c r="R194" s="37"/>
      <c r="S194" s="39"/>
      <c r="T194" s="40"/>
      <c r="U194" s="39"/>
      <c r="V194" s="40"/>
      <c r="W194" s="39"/>
      <c r="X194" s="40"/>
      <c r="Y194" s="39"/>
      <c r="Z194" s="40"/>
      <c r="AA194" s="39"/>
      <c r="AB194" s="40"/>
      <c r="AC194" s="39"/>
      <c r="AD194" s="40"/>
      <c r="AE194" s="39"/>
      <c r="AF194" s="42"/>
      <c r="AG194" s="41">
        <f t="shared" ca="1" si="50"/>
        <v>0</v>
      </c>
      <c r="AH194" s="42">
        <v>0</v>
      </c>
      <c r="AI194" s="43">
        <f t="shared" ca="1" si="51"/>
        <v>0</v>
      </c>
      <c r="AJ194" s="41">
        <f t="shared" si="52"/>
        <v>0</v>
      </c>
      <c r="AK194" s="46">
        <f t="shared" si="53"/>
        <v>0</v>
      </c>
      <c r="AL194" s="45">
        <f t="shared" ca="1" si="54"/>
        <v>0</v>
      </c>
      <c r="AM194" s="52"/>
    </row>
    <row r="195" spans="1:39" s="23" customFormat="1">
      <c r="A195" s="24"/>
      <c r="B195" s="55"/>
      <c r="C195" s="32"/>
      <c r="D195" s="32"/>
      <c r="E195" s="25"/>
      <c r="F195" s="61" t="str">
        <f t="shared" ca="1" si="5"/>
        <v xml:space="preserve"> </v>
      </c>
      <c r="G195" s="62"/>
      <c r="H195" s="63" t="str">
        <f t="shared" ca="1" si="6"/>
        <v xml:space="preserve"> </v>
      </c>
      <c r="I195" s="36"/>
      <c r="J195" s="37"/>
      <c r="K195" s="38"/>
      <c r="L195" s="37"/>
      <c r="M195" s="38"/>
      <c r="N195" s="42"/>
      <c r="O195" s="38"/>
      <c r="P195" s="37"/>
      <c r="Q195" s="38"/>
      <c r="R195" s="37"/>
      <c r="S195" s="39"/>
      <c r="T195" s="40"/>
      <c r="U195" s="39"/>
      <c r="V195" s="40"/>
      <c r="W195" s="39"/>
      <c r="X195" s="40"/>
      <c r="Y195" s="39"/>
      <c r="Z195" s="40"/>
      <c r="AA195" s="39"/>
      <c r="AB195" s="40"/>
      <c r="AC195" s="39"/>
      <c r="AD195" s="40"/>
      <c r="AE195" s="39"/>
      <c r="AF195" s="42"/>
      <c r="AG195" s="41">
        <f t="shared" ca="1" si="50"/>
        <v>0</v>
      </c>
      <c r="AH195" s="42">
        <v>0</v>
      </c>
      <c r="AI195" s="43">
        <f t="shared" ca="1" si="51"/>
        <v>0</v>
      </c>
      <c r="AJ195" s="41">
        <f t="shared" si="52"/>
        <v>0</v>
      </c>
      <c r="AK195" s="46">
        <f t="shared" si="53"/>
        <v>0</v>
      </c>
      <c r="AL195" s="45">
        <f t="shared" ca="1" si="54"/>
        <v>0</v>
      </c>
      <c r="AM195" s="52"/>
    </row>
    <row r="196" spans="1:39" s="23" customFormat="1">
      <c r="A196" s="24"/>
      <c r="B196" s="55"/>
      <c r="C196" s="32"/>
      <c r="D196" s="32"/>
      <c r="E196" s="25"/>
      <c r="F196" s="61" t="str">
        <f t="shared" ca="1" si="5"/>
        <v xml:space="preserve"> </v>
      </c>
      <c r="G196" s="62"/>
      <c r="H196" s="63" t="str">
        <f t="shared" ca="1" si="6"/>
        <v xml:space="preserve"> </v>
      </c>
      <c r="I196" s="36"/>
      <c r="J196" s="37"/>
      <c r="K196" s="38"/>
      <c r="L196" s="37"/>
      <c r="M196" s="38"/>
      <c r="N196" s="42"/>
      <c r="O196" s="38"/>
      <c r="P196" s="37"/>
      <c r="Q196" s="38"/>
      <c r="R196" s="37"/>
      <c r="S196" s="39"/>
      <c r="T196" s="40"/>
      <c r="U196" s="39"/>
      <c r="V196" s="40"/>
      <c r="W196" s="39"/>
      <c r="X196" s="40"/>
      <c r="Y196" s="39"/>
      <c r="Z196" s="40"/>
      <c r="AA196" s="39"/>
      <c r="AB196" s="40"/>
      <c r="AC196" s="39"/>
      <c r="AD196" s="40"/>
      <c r="AE196" s="39"/>
      <c r="AF196" s="42"/>
      <c r="AG196" s="41">
        <f t="shared" ca="1" si="50"/>
        <v>0</v>
      </c>
      <c r="AH196" s="42">
        <v>0</v>
      </c>
      <c r="AI196" s="43">
        <f t="shared" ca="1" si="51"/>
        <v>0</v>
      </c>
      <c r="AJ196" s="41">
        <f t="shared" si="52"/>
        <v>0</v>
      </c>
      <c r="AK196" s="46">
        <f t="shared" si="53"/>
        <v>0</v>
      </c>
      <c r="AL196" s="45">
        <f t="shared" ca="1" si="54"/>
        <v>0</v>
      </c>
      <c r="AM196" s="52"/>
    </row>
    <row r="197" spans="1:39" s="23" customFormat="1">
      <c r="A197" s="24"/>
      <c r="B197" s="55"/>
      <c r="C197" s="32"/>
      <c r="D197" s="32"/>
      <c r="E197" s="25"/>
      <c r="F197" s="61" t="str">
        <f t="shared" ca="1" si="5"/>
        <v xml:space="preserve"> </v>
      </c>
      <c r="G197" s="62"/>
      <c r="H197" s="63" t="str">
        <f t="shared" ca="1" si="6"/>
        <v xml:space="preserve"> </v>
      </c>
      <c r="I197" s="36"/>
      <c r="J197" s="37"/>
      <c r="K197" s="38"/>
      <c r="L197" s="37"/>
      <c r="M197" s="38"/>
      <c r="N197" s="42"/>
      <c r="O197" s="38"/>
      <c r="P197" s="37"/>
      <c r="Q197" s="38"/>
      <c r="R197" s="37"/>
      <c r="S197" s="39"/>
      <c r="T197" s="40"/>
      <c r="U197" s="39"/>
      <c r="V197" s="40"/>
      <c r="W197" s="39"/>
      <c r="X197" s="40"/>
      <c r="Y197" s="39"/>
      <c r="Z197" s="40"/>
      <c r="AA197" s="39"/>
      <c r="AB197" s="40"/>
      <c r="AC197" s="39"/>
      <c r="AD197" s="40"/>
      <c r="AE197" s="39"/>
      <c r="AF197" s="42"/>
      <c r="AG197" s="41">
        <f t="shared" ca="1" si="50"/>
        <v>0</v>
      </c>
      <c r="AH197" s="42">
        <v>0</v>
      </c>
      <c r="AI197" s="43">
        <f t="shared" ca="1" si="51"/>
        <v>0</v>
      </c>
      <c r="AJ197" s="41">
        <f t="shared" si="52"/>
        <v>0</v>
      </c>
      <c r="AK197" s="46">
        <f t="shared" si="53"/>
        <v>0</v>
      </c>
      <c r="AL197" s="45">
        <f t="shared" ca="1" si="54"/>
        <v>0</v>
      </c>
      <c r="AM197" s="52"/>
    </row>
    <row r="198" spans="1:39" s="23" customFormat="1">
      <c r="A198" s="24"/>
      <c r="B198" s="55"/>
      <c r="C198" s="32"/>
      <c r="D198" s="32"/>
      <c r="E198" s="25"/>
      <c r="F198" s="61" t="str">
        <f t="shared" ca="1" si="5"/>
        <v xml:space="preserve"> </v>
      </c>
      <c r="G198" s="62"/>
      <c r="H198" s="63" t="str">
        <f t="shared" ca="1" si="6"/>
        <v xml:space="preserve"> </v>
      </c>
      <c r="I198" s="36"/>
      <c r="J198" s="37"/>
      <c r="K198" s="38"/>
      <c r="L198" s="37"/>
      <c r="M198" s="38"/>
      <c r="N198" s="42"/>
      <c r="O198" s="38"/>
      <c r="P198" s="37"/>
      <c r="Q198" s="38"/>
      <c r="R198" s="37"/>
      <c r="S198" s="39"/>
      <c r="T198" s="40"/>
      <c r="U198" s="39"/>
      <c r="V198" s="40"/>
      <c r="W198" s="39"/>
      <c r="X198" s="40"/>
      <c r="Y198" s="39"/>
      <c r="Z198" s="40"/>
      <c r="AA198" s="39"/>
      <c r="AB198" s="40"/>
      <c r="AC198" s="39"/>
      <c r="AD198" s="40"/>
      <c r="AE198" s="39"/>
      <c r="AF198" s="42"/>
      <c r="AG198" s="41">
        <f t="shared" ca="1" si="50"/>
        <v>0</v>
      </c>
      <c r="AH198" s="42">
        <v>0</v>
      </c>
      <c r="AI198" s="43">
        <f t="shared" ca="1" si="51"/>
        <v>0</v>
      </c>
      <c r="AJ198" s="41">
        <f t="shared" si="52"/>
        <v>0</v>
      </c>
      <c r="AK198" s="46">
        <f t="shared" si="53"/>
        <v>0</v>
      </c>
      <c r="AL198" s="45">
        <f t="shared" ca="1" si="54"/>
        <v>0</v>
      </c>
      <c r="AM198" s="52"/>
    </row>
    <row r="199" spans="1:39" s="23" customFormat="1">
      <c r="A199" s="24"/>
      <c r="B199" s="55"/>
      <c r="C199" s="32"/>
      <c r="D199" s="32"/>
      <c r="E199" s="25"/>
      <c r="F199" s="61" t="str">
        <f t="shared" ca="1" si="5"/>
        <v xml:space="preserve"> </v>
      </c>
      <c r="G199" s="62"/>
      <c r="H199" s="63" t="str">
        <f t="shared" ca="1" si="6"/>
        <v xml:space="preserve"> </v>
      </c>
      <c r="I199" s="36"/>
      <c r="J199" s="37"/>
      <c r="K199" s="38"/>
      <c r="L199" s="37"/>
      <c r="M199" s="38"/>
      <c r="N199" s="42"/>
      <c r="O199" s="38"/>
      <c r="P199" s="37"/>
      <c r="Q199" s="38"/>
      <c r="R199" s="37"/>
      <c r="S199" s="39"/>
      <c r="T199" s="40"/>
      <c r="U199" s="39"/>
      <c r="V199" s="40"/>
      <c r="W199" s="39"/>
      <c r="X199" s="40"/>
      <c r="Y199" s="39"/>
      <c r="Z199" s="40"/>
      <c r="AA199" s="39"/>
      <c r="AB199" s="40"/>
      <c r="AC199" s="39"/>
      <c r="AD199" s="40"/>
      <c r="AE199" s="39"/>
      <c r="AF199" s="42"/>
      <c r="AG199" s="41">
        <f t="shared" ca="1" si="50"/>
        <v>0</v>
      </c>
      <c r="AH199" s="42">
        <v>0</v>
      </c>
      <c r="AI199" s="43">
        <f t="shared" ca="1" si="51"/>
        <v>0</v>
      </c>
      <c r="AJ199" s="41">
        <f t="shared" si="52"/>
        <v>0</v>
      </c>
      <c r="AK199" s="46">
        <f t="shared" si="53"/>
        <v>0</v>
      </c>
      <c r="AL199" s="45">
        <f t="shared" ca="1" si="54"/>
        <v>0</v>
      </c>
      <c r="AM199" s="52"/>
    </row>
    <row r="200" spans="1:39" s="23" customFormat="1">
      <c r="A200" s="24"/>
      <c r="B200" s="55"/>
      <c r="C200" s="32"/>
      <c r="D200" s="32"/>
      <c r="E200" s="25"/>
      <c r="F200" s="61" t="str">
        <f t="shared" ca="1" si="5"/>
        <v xml:space="preserve"> </v>
      </c>
      <c r="G200" s="62"/>
      <c r="H200" s="63" t="str">
        <f t="shared" ca="1" si="6"/>
        <v xml:space="preserve"> </v>
      </c>
      <c r="I200" s="36"/>
      <c r="J200" s="37"/>
      <c r="K200" s="38"/>
      <c r="L200" s="37"/>
      <c r="M200" s="38"/>
      <c r="N200" s="42"/>
      <c r="O200" s="38"/>
      <c r="P200" s="37"/>
      <c r="Q200" s="38"/>
      <c r="R200" s="37"/>
      <c r="S200" s="39"/>
      <c r="T200" s="40"/>
      <c r="U200" s="39"/>
      <c r="V200" s="40"/>
      <c r="W200" s="39"/>
      <c r="X200" s="40"/>
      <c r="Y200" s="39"/>
      <c r="Z200" s="40"/>
      <c r="AA200" s="39"/>
      <c r="AB200" s="40"/>
      <c r="AC200" s="39"/>
      <c r="AD200" s="40"/>
      <c r="AE200" s="39"/>
      <c r="AF200" s="42"/>
      <c r="AG200" s="41">
        <f t="shared" ca="1" si="50"/>
        <v>0</v>
      </c>
      <c r="AH200" s="42">
        <v>0</v>
      </c>
      <c r="AI200" s="43">
        <f t="shared" ca="1" si="51"/>
        <v>0</v>
      </c>
      <c r="AJ200" s="41">
        <f t="shared" si="52"/>
        <v>0</v>
      </c>
      <c r="AK200" s="46">
        <f t="shared" si="53"/>
        <v>0</v>
      </c>
      <c r="AL200" s="45">
        <f t="shared" ca="1" si="54"/>
        <v>0</v>
      </c>
      <c r="AM200" s="52"/>
    </row>
    <row r="201" spans="1:39" s="23" customFormat="1">
      <c r="A201" s="24"/>
      <c r="B201" s="55"/>
      <c r="C201" s="32"/>
      <c r="D201" s="32"/>
      <c r="E201" s="25"/>
      <c r="F201" s="61" t="str">
        <f t="shared" ca="1" si="5"/>
        <v xml:space="preserve"> </v>
      </c>
      <c r="G201" s="62"/>
      <c r="H201" s="63" t="str">
        <f t="shared" ca="1" si="6"/>
        <v xml:space="preserve"> </v>
      </c>
      <c r="I201" s="36"/>
      <c r="J201" s="37"/>
      <c r="K201" s="38"/>
      <c r="L201" s="37"/>
      <c r="M201" s="38"/>
      <c r="N201" s="42"/>
      <c r="O201" s="38"/>
      <c r="P201" s="37"/>
      <c r="Q201" s="38"/>
      <c r="R201" s="37"/>
      <c r="S201" s="39"/>
      <c r="T201" s="40"/>
      <c r="U201" s="39"/>
      <c r="V201" s="40"/>
      <c r="W201" s="39"/>
      <c r="X201" s="40"/>
      <c r="Y201" s="39"/>
      <c r="Z201" s="40"/>
      <c r="AA201" s="39"/>
      <c r="AB201" s="40"/>
      <c r="AC201" s="39"/>
      <c r="AD201" s="40"/>
      <c r="AE201" s="39"/>
      <c r="AF201" s="42"/>
      <c r="AG201" s="41">
        <f t="shared" ca="1" si="50"/>
        <v>0</v>
      </c>
      <c r="AH201" s="42">
        <v>0</v>
      </c>
      <c r="AI201" s="43">
        <f t="shared" ca="1" si="51"/>
        <v>0</v>
      </c>
      <c r="AJ201" s="41">
        <f t="shared" si="52"/>
        <v>0</v>
      </c>
      <c r="AK201" s="46">
        <f t="shared" si="53"/>
        <v>0</v>
      </c>
      <c r="AL201" s="45">
        <f t="shared" ca="1" si="54"/>
        <v>0</v>
      </c>
      <c r="AM201" s="52"/>
    </row>
    <row r="202" spans="1:39" s="23" customFormat="1">
      <c r="A202" s="24"/>
      <c r="B202" s="55"/>
      <c r="C202" s="32"/>
      <c r="D202" s="32"/>
      <c r="E202" s="25"/>
      <c r="F202" s="61" t="str">
        <f t="shared" ca="1" si="5"/>
        <v xml:space="preserve"> </v>
      </c>
      <c r="G202" s="62"/>
      <c r="H202" s="63" t="str">
        <f t="shared" ca="1" si="6"/>
        <v xml:space="preserve"> </v>
      </c>
      <c r="I202" s="36"/>
      <c r="J202" s="37"/>
      <c r="K202" s="38"/>
      <c r="L202" s="37"/>
      <c r="M202" s="38"/>
      <c r="N202" s="42"/>
      <c r="O202" s="38"/>
      <c r="P202" s="37"/>
      <c r="Q202" s="38"/>
      <c r="R202" s="37"/>
      <c r="S202" s="39"/>
      <c r="T202" s="40"/>
      <c r="U202" s="39"/>
      <c r="V202" s="40"/>
      <c r="W202" s="39"/>
      <c r="X202" s="40"/>
      <c r="Y202" s="39"/>
      <c r="Z202" s="40"/>
      <c r="AA202" s="39"/>
      <c r="AB202" s="40"/>
      <c r="AC202" s="39"/>
      <c r="AD202" s="40"/>
      <c r="AE202" s="39"/>
      <c r="AF202" s="42"/>
      <c r="AG202" s="41">
        <f t="shared" ref="AG202:AG203" ca="1" si="55">AI202-AH202</f>
        <v>0</v>
      </c>
      <c r="AH202" s="42">
        <v>0</v>
      </c>
      <c r="AI202" s="43">
        <f t="shared" ref="AI202:AI203" ca="1" si="56">IF(AND(F202&lt;9.99,H202&lt;50),21,IF(AND(F202&lt;9.99,H202&gt;=50),30,IF(AND(F202&gt;=10,H202&lt;50),30,0)))</f>
        <v>0</v>
      </c>
      <c r="AJ202" s="41">
        <f t="shared" ref="AJ202:AJ203" si="57">(I202+K202+M202+O202+Q202+S202+U202+W202+Y202+AA202+AC202+AE202)</f>
        <v>0</v>
      </c>
      <c r="AK202" s="46">
        <f t="shared" ref="AK202:AK203" si="58">(J202+L202+N202+P202+R202+T202+V202+X202+Z202+AB202+AD202+AF202)</f>
        <v>0</v>
      </c>
      <c r="AL202" s="45">
        <f t="shared" ref="AL202:AL203" ca="1" si="59">(AI202)-(AJ202+AK202)</f>
        <v>0</v>
      </c>
      <c r="AM202" s="52"/>
    </row>
    <row r="203" spans="1:39" s="23" customFormat="1">
      <c r="A203" s="24"/>
      <c r="B203" s="55"/>
      <c r="C203" s="32"/>
      <c r="D203" s="32"/>
      <c r="E203" s="25"/>
      <c r="F203" s="61" t="str">
        <f t="shared" ca="1" si="5"/>
        <v xml:space="preserve"> </v>
      </c>
      <c r="G203" s="62"/>
      <c r="H203" s="63" t="str">
        <f t="shared" ca="1" si="6"/>
        <v xml:space="preserve"> </v>
      </c>
      <c r="I203" s="36"/>
      <c r="J203" s="37"/>
      <c r="K203" s="38"/>
      <c r="L203" s="37"/>
      <c r="M203" s="38"/>
      <c r="N203" s="42"/>
      <c r="O203" s="38"/>
      <c r="P203" s="37"/>
      <c r="Q203" s="38"/>
      <c r="R203" s="37"/>
      <c r="S203" s="39"/>
      <c r="T203" s="40"/>
      <c r="U203" s="39"/>
      <c r="V203" s="40"/>
      <c r="W203" s="39"/>
      <c r="X203" s="40"/>
      <c r="Y203" s="39"/>
      <c r="Z203" s="40"/>
      <c r="AA203" s="39"/>
      <c r="AB203" s="40"/>
      <c r="AC203" s="39"/>
      <c r="AD203" s="40"/>
      <c r="AE203" s="39"/>
      <c r="AF203" s="42"/>
      <c r="AG203" s="41">
        <f t="shared" ca="1" si="55"/>
        <v>0</v>
      </c>
      <c r="AH203" s="42">
        <v>0</v>
      </c>
      <c r="AI203" s="43">
        <f t="shared" ca="1" si="56"/>
        <v>0</v>
      </c>
      <c r="AJ203" s="41">
        <f t="shared" si="57"/>
        <v>0</v>
      </c>
      <c r="AK203" s="46">
        <f t="shared" si="58"/>
        <v>0</v>
      </c>
      <c r="AL203" s="45">
        <f t="shared" ca="1" si="59"/>
        <v>0</v>
      </c>
      <c r="AM203" s="52"/>
    </row>
    <row r="204" spans="1:39" s="23" customFormat="1">
      <c r="A204" s="24"/>
      <c r="B204" s="55"/>
      <c r="C204" s="32"/>
      <c r="D204" s="32"/>
      <c r="E204" s="25"/>
      <c r="F204" s="61" t="str">
        <f t="shared" ca="1" si="5"/>
        <v xml:space="preserve"> </v>
      </c>
      <c r="G204" s="62"/>
      <c r="H204" s="63" t="str">
        <f t="shared" ca="1" si="6"/>
        <v xml:space="preserve"> </v>
      </c>
      <c r="I204" s="36"/>
      <c r="J204" s="37"/>
      <c r="K204" s="38"/>
      <c r="L204" s="37"/>
      <c r="M204" s="38"/>
      <c r="N204" s="42"/>
      <c r="O204" s="38"/>
      <c r="P204" s="37"/>
      <c r="Q204" s="38"/>
      <c r="R204" s="37"/>
      <c r="S204" s="39"/>
      <c r="T204" s="40"/>
      <c r="U204" s="39"/>
      <c r="V204" s="40"/>
      <c r="W204" s="39"/>
      <c r="X204" s="40"/>
      <c r="Y204" s="39"/>
      <c r="Z204" s="40"/>
      <c r="AA204" s="39"/>
      <c r="AB204" s="40"/>
      <c r="AC204" s="39"/>
      <c r="AD204" s="40"/>
      <c r="AE204" s="39"/>
      <c r="AF204" s="42"/>
      <c r="AG204" s="41">
        <f t="shared" ca="1" si="0"/>
        <v>0</v>
      </c>
      <c r="AH204" s="42">
        <v>0</v>
      </c>
      <c r="AI204" s="43">
        <f t="shared" ca="1" si="7"/>
        <v>0</v>
      </c>
      <c r="AJ204" s="41">
        <f t="shared" si="8"/>
        <v>0</v>
      </c>
      <c r="AK204" s="46">
        <f>(J204+L204+N204+P204+R204+T204+V204+X204+Z204+AB204+AD204+AF204)</f>
        <v>0</v>
      </c>
      <c r="AL204" s="45">
        <f t="shared" ca="1" si="9"/>
        <v>0</v>
      </c>
      <c r="AM204" s="52"/>
    </row>
  </sheetData>
  <mergeCells count="24">
    <mergeCell ref="A1:A2"/>
    <mergeCell ref="B1:B2"/>
    <mergeCell ref="C1:C2"/>
    <mergeCell ref="D1:D2"/>
    <mergeCell ref="E1:E2"/>
    <mergeCell ref="Y1:Z1"/>
    <mergeCell ref="F1:F2"/>
    <mergeCell ref="G1:G2"/>
    <mergeCell ref="H1:H2"/>
    <mergeCell ref="I1:J1"/>
    <mergeCell ref="K1:L1"/>
    <mergeCell ref="M1:N1"/>
    <mergeCell ref="O1:P1"/>
    <mergeCell ref="Q1:R1"/>
    <mergeCell ref="S1:T1"/>
    <mergeCell ref="U1:V1"/>
    <mergeCell ref="W1:X1"/>
    <mergeCell ref="AM1:AM2"/>
    <mergeCell ref="AA1:AB1"/>
    <mergeCell ref="AC1:AD1"/>
    <mergeCell ref="AE1:AF1"/>
    <mergeCell ref="AG1:AI1"/>
    <mergeCell ref="AJ1:AK1"/>
    <mergeCell ref="AL1:AL2"/>
  </mergeCells>
  <conditionalFormatting sqref="AK3:AK204">
    <cfRule type="cellIs" dxfId="4" priority="6" operator="greaterThan">
      <formula>6</formula>
    </cfRule>
  </conditionalFormatting>
  <conditionalFormatting sqref="AL3:AL204">
    <cfRule type="cellIs" dxfId="3" priority="5" operator="lessThan">
      <formula>0</formula>
    </cfRule>
  </conditionalFormatting>
  <printOptions horizontalCentered="1"/>
  <pageMargins left="0" right="0" top="0.74803149606299213" bottom="0.74803149606299213" header="0.31496062992125984" footer="0.31496062992125984"/>
  <pageSetup paperSize="9" scale="7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53"/>
  <sheetViews>
    <sheetView topLeftCell="D1" workbookViewId="0">
      <selection activeCell="AK24" sqref="AK24"/>
    </sheetView>
  </sheetViews>
  <sheetFormatPr defaultRowHeight="15"/>
  <cols>
    <col min="1" max="1" width="9.85546875" bestFit="1" customWidth="1"/>
    <col min="2" max="2" width="29.85546875" bestFit="1" customWidth="1"/>
    <col min="3" max="3" width="18.7109375" bestFit="1" customWidth="1"/>
    <col min="4" max="4" width="5.42578125" bestFit="1" customWidth="1"/>
    <col min="5" max="5" width="14.85546875" bestFit="1" customWidth="1"/>
    <col min="6" max="6" width="5.140625" bestFit="1" customWidth="1"/>
    <col min="7" max="7" width="14.85546875" bestFit="1" customWidth="1"/>
    <col min="8" max="8" width="4.5703125" bestFit="1" customWidth="1"/>
    <col min="9" max="9" width="4.42578125" bestFit="1" customWidth="1"/>
    <col min="10" max="10" width="5.5703125" bestFit="1" customWidth="1"/>
    <col min="11" max="11" width="4.42578125" bestFit="1" customWidth="1"/>
    <col min="12" max="12" width="5.5703125" bestFit="1" customWidth="1"/>
    <col min="13" max="13" width="4.42578125" bestFit="1" customWidth="1"/>
    <col min="14" max="14" width="5.5703125" bestFit="1" customWidth="1"/>
    <col min="15" max="15" width="4.42578125" bestFit="1" customWidth="1"/>
    <col min="16" max="16" width="5.5703125" bestFit="1" customWidth="1"/>
    <col min="17" max="17" width="4.42578125" bestFit="1" customWidth="1"/>
    <col min="18" max="18" width="5.5703125" bestFit="1" customWidth="1"/>
    <col min="19" max="19" width="4.42578125" bestFit="1" customWidth="1"/>
    <col min="20" max="20" width="5.5703125" bestFit="1" customWidth="1"/>
    <col min="21" max="21" width="4.42578125" bestFit="1" customWidth="1"/>
    <col min="22" max="22" width="5.5703125" bestFit="1" customWidth="1"/>
    <col min="23" max="23" width="4.42578125" bestFit="1" customWidth="1"/>
    <col min="24" max="24" width="5.5703125" bestFit="1" customWidth="1"/>
    <col min="25" max="25" width="4.42578125" bestFit="1" customWidth="1"/>
    <col min="26" max="26" width="5.5703125" bestFit="1" customWidth="1"/>
    <col min="27" max="27" width="4.42578125" bestFit="1" customWidth="1"/>
    <col min="28" max="28" width="5.5703125" bestFit="1" customWidth="1"/>
    <col min="29" max="29" width="4.42578125" bestFit="1" customWidth="1"/>
    <col min="30" max="30" width="5.5703125" bestFit="1" customWidth="1"/>
    <col min="31" max="31" width="4.42578125" bestFit="1" customWidth="1"/>
    <col min="32" max="32" width="5.5703125" bestFit="1" customWidth="1"/>
    <col min="33" max="33" width="4.85546875" bestFit="1" customWidth="1"/>
    <col min="34" max="34" width="5.85546875" bestFit="1" customWidth="1"/>
    <col min="35" max="35" width="5.5703125" bestFit="1" customWidth="1"/>
    <col min="36" max="36" width="4.85546875" bestFit="1" customWidth="1"/>
    <col min="37" max="37" width="5.85546875" bestFit="1" customWidth="1"/>
    <col min="38" max="38" width="5.42578125" bestFit="1" customWidth="1"/>
    <col min="39" max="39" width="16.5703125" bestFit="1" customWidth="1"/>
  </cols>
  <sheetData>
    <row r="1" spans="1:42" ht="15.75" customHeight="1">
      <c r="A1" s="88" t="s">
        <v>71</v>
      </c>
      <c r="B1" s="88" t="s">
        <v>72</v>
      </c>
      <c r="C1" s="88" t="s">
        <v>8</v>
      </c>
      <c r="D1" s="88" t="s">
        <v>7</v>
      </c>
      <c r="E1" s="89" t="s">
        <v>91</v>
      </c>
      <c r="F1" s="89" t="s">
        <v>92</v>
      </c>
      <c r="G1" s="89" t="s">
        <v>93</v>
      </c>
      <c r="H1" s="89" t="s">
        <v>94</v>
      </c>
      <c r="I1" s="87" t="s">
        <v>2</v>
      </c>
      <c r="J1" s="87"/>
      <c r="K1" s="87" t="s">
        <v>3</v>
      </c>
      <c r="L1" s="87"/>
      <c r="M1" s="87" t="s">
        <v>4</v>
      </c>
      <c r="N1" s="87"/>
      <c r="O1" s="87" t="s">
        <v>5</v>
      </c>
      <c r="P1" s="87"/>
      <c r="Q1" s="87" t="s">
        <v>6</v>
      </c>
      <c r="R1" s="87"/>
      <c r="S1" s="87" t="s">
        <v>73</v>
      </c>
      <c r="T1" s="87"/>
      <c r="U1" s="87" t="s">
        <v>74</v>
      </c>
      <c r="V1" s="87"/>
      <c r="W1" s="87" t="s">
        <v>75</v>
      </c>
      <c r="X1" s="87"/>
      <c r="Y1" s="87" t="s">
        <v>76</v>
      </c>
      <c r="Z1" s="87"/>
      <c r="AA1" s="87" t="s">
        <v>77</v>
      </c>
      <c r="AB1" s="87"/>
      <c r="AC1" s="87" t="s">
        <v>78</v>
      </c>
      <c r="AD1" s="87"/>
      <c r="AE1" s="87" t="s">
        <v>79</v>
      </c>
      <c r="AF1" s="87"/>
      <c r="AG1" s="92" t="s">
        <v>80</v>
      </c>
      <c r="AH1" s="93"/>
      <c r="AI1" s="94"/>
      <c r="AJ1" s="95" t="s">
        <v>88</v>
      </c>
      <c r="AK1" s="96"/>
      <c r="AL1" s="97" t="s">
        <v>90</v>
      </c>
      <c r="AM1" s="91" t="s">
        <v>81</v>
      </c>
      <c r="AN1" s="2"/>
      <c r="AO1" s="2"/>
      <c r="AP1" s="2"/>
    </row>
    <row r="2" spans="1:42" ht="15.75" customHeight="1">
      <c r="A2" s="88"/>
      <c r="B2" s="88"/>
      <c r="C2" s="88"/>
      <c r="D2" s="88"/>
      <c r="E2" s="90"/>
      <c r="F2" s="90"/>
      <c r="G2" s="90"/>
      <c r="H2" s="90"/>
      <c r="I2" s="13" t="s">
        <v>0</v>
      </c>
      <c r="J2" s="7" t="s">
        <v>1</v>
      </c>
      <c r="K2" s="13" t="s">
        <v>0</v>
      </c>
      <c r="L2" s="7" t="s">
        <v>1</v>
      </c>
      <c r="M2" s="13" t="s">
        <v>0</v>
      </c>
      <c r="N2" s="7" t="s">
        <v>1</v>
      </c>
      <c r="O2" s="13" t="s">
        <v>0</v>
      </c>
      <c r="P2" s="7" t="s">
        <v>1</v>
      </c>
      <c r="Q2" s="13" t="s">
        <v>0</v>
      </c>
      <c r="R2" s="7" t="s">
        <v>1</v>
      </c>
      <c r="S2" s="13" t="s">
        <v>0</v>
      </c>
      <c r="T2" s="7" t="s">
        <v>1</v>
      </c>
      <c r="U2" s="13" t="s">
        <v>0</v>
      </c>
      <c r="V2" s="7" t="s">
        <v>1</v>
      </c>
      <c r="W2" s="13" t="s">
        <v>0</v>
      </c>
      <c r="X2" s="7" t="s">
        <v>1</v>
      </c>
      <c r="Y2" s="13" t="s">
        <v>0</v>
      </c>
      <c r="Z2" s="7" t="s">
        <v>1</v>
      </c>
      <c r="AA2" s="13" t="s">
        <v>0</v>
      </c>
      <c r="AB2" s="7" t="s">
        <v>1</v>
      </c>
      <c r="AC2" s="13" t="s">
        <v>0</v>
      </c>
      <c r="AD2" s="7" t="s">
        <v>1</v>
      </c>
      <c r="AE2" s="13" t="s">
        <v>0</v>
      </c>
      <c r="AF2" s="7" t="s">
        <v>1</v>
      </c>
      <c r="AG2" s="11" t="s">
        <v>85</v>
      </c>
      <c r="AH2" s="12" t="s">
        <v>86</v>
      </c>
      <c r="AI2" s="12" t="s">
        <v>87</v>
      </c>
      <c r="AJ2" s="11" t="s">
        <v>85</v>
      </c>
      <c r="AK2" s="12" t="s">
        <v>86</v>
      </c>
      <c r="AL2" s="98"/>
      <c r="AM2" s="91"/>
      <c r="AN2" s="1"/>
      <c r="AO2" s="1"/>
      <c r="AP2" s="1"/>
    </row>
    <row r="3" spans="1:42" ht="15.75">
      <c r="A3" s="3">
        <v>1316</v>
      </c>
      <c r="B3" s="4" t="s">
        <v>59</v>
      </c>
      <c r="C3" s="5" t="s">
        <v>67</v>
      </c>
      <c r="D3" s="5" t="s">
        <v>69</v>
      </c>
      <c r="E3" s="8">
        <v>42462</v>
      </c>
      <c r="F3" s="9">
        <v>0.21643835616438356</v>
      </c>
      <c r="G3" s="8">
        <v>32403</v>
      </c>
      <c r="H3" s="9">
        <v>27.775342465753425</v>
      </c>
      <c r="I3" s="5">
        <v>0</v>
      </c>
      <c r="J3" s="5">
        <v>0</v>
      </c>
      <c r="K3" s="5">
        <v>0</v>
      </c>
      <c r="L3" s="5">
        <v>0</v>
      </c>
      <c r="M3" s="5">
        <v>0</v>
      </c>
      <c r="N3" s="5">
        <v>0</v>
      </c>
      <c r="O3" s="5">
        <v>0</v>
      </c>
      <c r="P3" s="5">
        <v>0</v>
      </c>
      <c r="Q3" s="5">
        <v>0</v>
      </c>
      <c r="R3" s="5">
        <v>0</v>
      </c>
      <c r="S3" s="6"/>
      <c r="T3" s="6"/>
      <c r="U3" s="6"/>
      <c r="V3" s="6"/>
      <c r="W3" s="6"/>
      <c r="X3" s="6"/>
      <c r="Y3" s="6"/>
      <c r="Z3" s="6"/>
      <c r="AA3" s="6"/>
      <c r="AB3" s="6"/>
      <c r="AC3" s="6"/>
      <c r="AD3" s="6"/>
      <c r="AE3" s="6"/>
      <c r="AF3" s="6"/>
      <c r="AG3">
        <f t="shared" ref="AG3:AG34" si="0">AI3-AH3</f>
        <v>8</v>
      </c>
      <c r="AH3" s="10">
        <v>6</v>
      </c>
      <c r="AI3" s="10">
        <v>14</v>
      </c>
      <c r="AJ3" s="6">
        <f t="shared" ref="AJ3:AJ34" si="1">(I3+K3+M3+O3+Q3+S3+U3+W3+Y3+AA3+AC3+AE3)</f>
        <v>0</v>
      </c>
      <c r="AK3" s="6">
        <f t="shared" ref="AK3:AK34" si="2">(J3+L3+N3+P3+R3+T3+V3+X3+Z3+AB3+AD3+AF3)</f>
        <v>0</v>
      </c>
      <c r="AL3" s="6">
        <f t="shared" ref="AL3:AL34" si="3">(AI3)-(AJ3+AK3)</f>
        <v>14</v>
      </c>
      <c r="AM3" s="6" t="s">
        <v>89</v>
      </c>
    </row>
    <row r="4" spans="1:42" ht="15.75">
      <c r="A4" s="3">
        <v>1252</v>
      </c>
      <c r="B4" s="4" t="s">
        <v>43</v>
      </c>
      <c r="C4" s="5" t="s">
        <v>64</v>
      </c>
      <c r="D4" s="5" t="s">
        <v>69</v>
      </c>
      <c r="E4" s="8">
        <v>42120</v>
      </c>
      <c r="F4" s="9">
        <v>1.1534246575342466</v>
      </c>
      <c r="G4" s="8">
        <v>35797</v>
      </c>
      <c r="H4" s="9">
        <v>18.476712328767125</v>
      </c>
      <c r="I4" s="5">
        <v>2</v>
      </c>
      <c r="J4" s="5">
        <v>0</v>
      </c>
      <c r="K4" s="5">
        <v>1</v>
      </c>
      <c r="L4" s="5">
        <v>0</v>
      </c>
      <c r="M4" s="5">
        <v>0</v>
      </c>
      <c r="N4" s="5">
        <v>0</v>
      </c>
      <c r="O4" s="5">
        <v>0</v>
      </c>
      <c r="P4" s="5">
        <v>0</v>
      </c>
      <c r="Q4" s="5">
        <v>0</v>
      </c>
      <c r="R4" s="5">
        <v>0</v>
      </c>
      <c r="S4" s="6"/>
      <c r="T4" s="6"/>
      <c r="U4" s="6"/>
      <c r="V4" s="6"/>
      <c r="W4" s="6"/>
      <c r="X4" s="6"/>
      <c r="Y4" s="6"/>
      <c r="Z4" s="6"/>
      <c r="AA4" s="6"/>
      <c r="AB4" s="6"/>
      <c r="AC4" s="6"/>
      <c r="AD4" s="6"/>
      <c r="AE4" s="6"/>
      <c r="AF4" s="6"/>
      <c r="AG4">
        <f t="shared" si="0"/>
        <v>15</v>
      </c>
      <c r="AH4" s="10">
        <v>6</v>
      </c>
      <c r="AI4" s="10">
        <v>21</v>
      </c>
      <c r="AJ4" s="6">
        <f t="shared" si="1"/>
        <v>3</v>
      </c>
      <c r="AK4" s="6">
        <f t="shared" si="2"/>
        <v>0</v>
      </c>
      <c r="AL4" s="6">
        <f t="shared" si="3"/>
        <v>18</v>
      </c>
      <c r="AM4" s="6"/>
    </row>
    <row r="5" spans="1:42" ht="15.75">
      <c r="A5" s="3">
        <v>1163</v>
      </c>
      <c r="B5" s="4" t="s">
        <v>24</v>
      </c>
      <c r="C5" s="5" t="s">
        <v>67</v>
      </c>
      <c r="D5" s="5" t="s">
        <v>69</v>
      </c>
      <c r="E5" s="8">
        <v>41484</v>
      </c>
      <c r="F5" s="9">
        <v>2.8958904109589043</v>
      </c>
      <c r="G5" s="8">
        <v>32538</v>
      </c>
      <c r="H5" s="9">
        <v>27.405479452054795</v>
      </c>
      <c r="I5" s="5">
        <v>0</v>
      </c>
      <c r="J5" s="5">
        <v>0</v>
      </c>
      <c r="K5" s="5">
        <v>0</v>
      </c>
      <c r="L5" s="5">
        <v>0</v>
      </c>
      <c r="M5" s="5">
        <v>0</v>
      </c>
      <c r="N5" s="5">
        <v>0</v>
      </c>
      <c r="O5" s="5">
        <v>0</v>
      </c>
      <c r="P5" s="5">
        <v>0</v>
      </c>
      <c r="Q5" s="5">
        <v>0</v>
      </c>
      <c r="R5" s="5">
        <v>0</v>
      </c>
      <c r="S5" s="6"/>
      <c r="T5" s="6"/>
      <c r="U5" s="6"/>
      <c r="V5" s="6"/>
      <c r="W5" s="6"/>
      <c r="X5" s="6"/>
      <c r="Y5" s="6"/>
      <c r="Z5" s="6"/>
      <c r="AA5" s="6"/>
      <c r="AB5" s="6"/>
      <c r="AC5" s="6"/>
      <c r="AD5" s="6"/>
      <c r="AE5" s="6"/>
      <c r="AF5" s="6"/>
      <c r="AG5">
        <f t="shared" si="0"/>
        <v>15</v>
      </c>
      <c r="AH5" s="10">
        <v>6</v>
      </c>
      <c r="AI5" s="10">
        <v>21</v>
      </c>
      <c r="AJ5" s="6">
        <f t="shared" si="1"/>
        <v>0</v>
      </c>
      <c r="AK5" s="6">
        <f t="shared" si="2"/>
        <v>0</v>
      </c>
      <c r="AL5" s="6">
        <f t="shared" si="3"/>
        <v>21</v>
      </c>
      <c r="AM5" s="6"/>
    </row>
    <row r="6" spans="1:42" ht="15.75">
      <c r="A6" s="3">
        <v>1311</v>
      </c>
      <c r="B6" s="4" t="s">
        <v>56</v>
      </c>
      <c r="C6" s="5" t="s">
        <v>64</v>
      </c>
      <c r="D6" s="5" t="s">
        <v>69</v>
      </c>
      <c r="E6" s="8">
        <v>41427</v>
      </c>
      <c r="F6" s="9">
        <v>3.0520547945205481</v>
      </c>
      <c r="G6" s="8">
        <v>34575</v>
      </c>
      <c r="H6" s="9">
        <v>21.824657534246576</v>
      </c>
      <c r="I6" s="5">
        <v>0</v>
      </c>
      <c r="J6" s="5">
        <v>0</v>
      </c>
      <c r="K6" s="5">
        <v>0</v>
      </c>
      <c r="L6" s="5">
        <v>0</v>
      </c>
      <c r="M6" s="5">
        <v>0</v>
      </c>
      <c r="N6" s="5">
        <v>0</v>
      </c>
      <c r="O6" s="5">
        <v>0</v>
      </c>
      <c r="P6" s="5">
        <v>0</v>
      </c>
      <c r="Q6" s="5">
        <v>0</v>
      </c>
      <c r="R6" s="5">
        <v>0</v>
      </c>
      <c r="S6" s="6"/>
      <c r="T6" s="6"/>
      <c r="U6" s="6"/>
      <c r="V6" s="6"/>
      <c r="W6" s="6"/>
      <c r="X6" s="6"/>
      <c r="Y6" s="6"/>
      <c r="Z6" s="6"/>
      <c r="AA6" s="6"/>
      <c r="AB6" s="6"/>
      <c r="AC6" s="6"/>
      <c r="AD6" s="6"/>
      <c r="AE6" s="6"/>
      <c r="AF6" s="6"/>
      <c r="AG6">
        <f t="shared" si="0"/>
        <v>15</v>
      </c>
      <c r="AH6" s="10">
        <v>6</v>
      </c>
      <c r="AI6" s="10">
        <v>21</v>
      </c>
      <c r="AJ6" s="6">
        <f t="shared" si="1"/>
        <v>0</v>
      </c>
      <c r="AK6" s="6">
        <f t="shared" si="2"/>
        <v>0</v>
      </c>
      <c r="AL6" s="6">
        <f t="shared" si="3"/>
        <v>21</v>
      </c>
      <c r="AM6" s="6"/>
    </row>
    <row r="7" spans="1:42" ht="15.75">
      <c r="A7" s="3">
        <v>1108</v>
      </c>
      <c r="B7" s="4" t="s">
        <v>17</v>
      </c>
      <c r="C7" s="5" t="s">
        <v>64</v>
      </c>
      <c r="D7" s="5" t="s">
        <v>69</v>
      </c>
      <c r="E7" s="8">
        <v>39965</v>
      </c>
      <c r="F7" s="9">
        <v>7.0575342465753428</v>
      </c>
      <c r="G7" s="8">
        <v>21729</v>
      </c>
      <c r="H7" s="9">
        <v>57.019178082191779</v>
      </c>
      <c r="I7" s="5">
        <v>0</v>
      </c>
      <c r="J7" s="5">
        <v>0</v>
      </c>
      <c r="K7" s="5">
        <v>0</v>
      </c>
      <c r="L7" s="5">
        <v>0</v>
      </c>
      <c r="M7" s="5">
        <v>0</v>
      </c>
      <c r="N7" s="5">
        <v>0</v>
      </c>
      <c r="O7" s="5">
        <v>0</v>
      </c>
      <c r="P7" s="5">
        <v>0</v>
      </c>
      <c r="Q7" s="5">
        <v>0</v>
      </c>
      <c r="R7" s="5">
        <v>0</v>
      </c>
      <c r="S7" s="6"/>
      <c r="T7" s="6"/>
      <c r="U7" s="6"/>
      <c r="V7" s="6"/>
      <c r="W7" s="6"/>
      <c r="X7" s="6"/>
      <c r="Y7" s="6"/>
      <c r="Z7" s="6"/>
      <c r="AA7" s="6"/>
      <c r="AB7" s="6"/>
      <c r="AC7" s="6"/>
      <c r="AD7" s="6"/>
      <c r="AE7" s="6"/>
      <c r="AF7" s="6"/>
      <c r="AG7">
        <f t="shared" si="0"/>
        <v>24</v>
      </c>
      <c r="AH7" s="10">
        <v>6</v>
      </c>
      <c r="AI7" s="10">
        <v>30</v>
      </c>
      <c r="AJ7" s="6">
        <f t="shared" si="1"/>
        <v>0</v>
      </c>
      <c r="AK7" s="6">
        <f t="shared" si="2"/>
        <v>0</v>
      </c>
      <c r="AL7" s="6">
        <f t="shared" si="3"/>
        <v>30</v>
      </c>
      <c r="AM7" s="6" t="s">
        <v>82</v>
      </c>
    </row>
    <row r="8" spans="1:42" ht="15.75">
      <c r="A8" s="3">
        <v>1078</v>
      </c>
      <c r="B8" s="4" t="s">
        <v>16</v>
      </c>
      <c r="C8" s="5" t="s">
        <v>68</v>
      </c>
      <c r="D8" s="5" t="s">
        <v>69</v>
      </c>
      <c r="E8" s="8">
        <v>39600</v>
      </c>
      <c r="F8" s="9">
        <v>8.0575342465753419</v>
      </c>
      <c r="G8" s="8">
        <v>33302</v>
      </c>
      <c r="H8" s="9">
        <v>25.312328767123287</v>
      </c>
      <c r="I8" s="5">
        <v>0</v>
      </c>
      <c r="J8" s="5">
        <v>0</v>
      </c>
      <c r="K8" s="5">
        <v>0</v>
      </c>
      <c r="L8" s="5">
        <v>0</v>
      </c>
      <c r="M8" s="5">
        <v>0</v>
      </c>
      <c r="N8" s="5">
        <v>0</v>
      </c>
      <c r="O8" s="5">
        <v>0</v>
      </c>
      <c r="P8" s="5">
        <v>0</v>
      </c>
      <c r="Q8" s="5">
        <v>0</v>
      </c>
      <c r="R8" s="5">
        <v>0</v>
      </c>
      <c r="S8" s="6"/>
      <c r="T8" s="6"/>
      <c r="U8" s="6"/>
      <c r="V8" s="6"/>
      <c r="W8" s="6"/>
      <c r="X8" s="6"/>
      <c r="Y8" s="6"/>
      <c r="Z8" s="6"/>
      <c r="AA8" s="6"/>
      <c r="AB8" s="6"/>
      <c r="AC8" s="6"/>
      <c r="AD8" s="6"/>
      <c r="AE8" s="6"/>
      <c r="AF8" s="6"/>
      <c r="AG8">
        <f t="shared" si="0"/>
        <v>15</v>
      </c>
      <c r="AH8" s="10">
        <v>6</v>
      </c>
      <c r="AI8" s="10">
        <v>21</v>
      </c>
      <c r="AJ8" s="6">
        <f t="shared" si="1"/>
        <v>0</v>
      </c>
      <c r="AK8" s="6">
        <f t="shared" si="2"/>
        <v>0</v>
      </c>
      <c r="AL8" s="6">
        <f t="shared" si="3"/>
        <v>21</v>
      </c>
      <c r="AM8" s="6"/>
    </row>
    <row r="9" spans="1:42" ht="15.75">
      <c r="A9" s="3">
        <v>1057</v>
      </c>
      <c r="B9" s="4" t="s">
        <v>13</v>
      </c>
      <c r="C9" s="5" t="s">
        <v>67</v>
      </c>
      <c r="D9" s="5" t="s">
        <v>69</v>
      </c>
      <c r="E9" s="8">
        <v>38964</v>
      </c>
      <c r="F9" s="9">
        <v>9.8000000000000007</v>
      </c>
      <c r="G9" s="8">
        <v>30496</v>
      </c>
      <c r="H9" s="9">
        <v>33</v>
      </c>
      <c r="I9" s="5">
        <v>0</v>
      </c>
      <c r="J9" s="5">
        <v>0</v>
      </c>
      <c r="K9" s="5">
        <v>0</v>
      </c>
      <c r="L9" s="5">
        <v>0</v>
      </c>
      <c r="M9" s="5">
        <v>0</v>
      </c>
      <c r="N9" s="5">
        <v>0</v>
      </c>
      <c r="O9" s="5">
        <v>0</v>
      </c>
      <c r="P9" s="5">
        <v>0</v>
      </c>
      <c r="Q9" s="5">
        <v>0</v>
      </c>
      <c r="R9" s="5">
        <v>0</v>
      </c>
      <c r="S9" s="6"/>
      <c r="T9" s="6"/>
      <c r="U9" s="6"/>
      <c r="V9" s="6"/>
      <c r="W9" s="6"/>
      <c r="X9" s="6"/>
      <c r="Y9" s="6"/>
      <c r="Z9" s="6"/>
      <c r="AA9" s="6"/>
      <c r="AB9" s="6"/>
      <c r="AC9" s="6"/>
      <c r="AD9" s="6"/>
      <c r="AE9" s="6"/>
      <c r="AF9" s="6"/>
      <c r="AG9">
        <f t="shared" si="0"/>
        <v>15</v>
      </c>
      <c r="AH9" s="10">
        <v>6</v>
      </c>
      <c r="AI9" s="10">
        <v>21</v>
      </c>
      <c r="AJ9" s="6">
        <f t="shared" si="1"/>
        <v>0</v>
      </c>
      <c r="AK9" s="6">
        <f t="shared" si="2"/>
        <v>0</v>
      </c>
      <c r="AL9" s="6">
        <f t="shared" si="3"/>
        <v>21</v>
      </c>
      <c r="AM9" s="6"/>
    </row>
    <row r="10" spans="1:42" ht="15.75">
      <c r="A10" s="3">
        <v>1054</v>
      </c>
      <c r="B10" s="4" t="s">
        <v>12</v>
      </c>
      <c r="C10" s="5" t="s">
        <v>67</v>
      </c>
      <c r="D10" s="5" t="s">
        <v>69</v>
      </c>
      <c r="E10" s="8">
        <v>38598</v>
      </c>
      <c r="F10" s="9">
        <v>10.802739726027397</v>
      </c>
      <c r="G10" s="8">
        <v>21642</v>
      </c>
      <c r="H10" s="9">
        <v>57.257534246575339</v>
      </c>
      <c r="I10" s="5">
        <v>0</v>
      </c>
      <c r="J10" s="5">
        <v>0</v>
      </c>
      <c r="K10" s="5">
        <v>0</v>
      </c>
      <c r="L10" s="5">
        <v>0</v>
      </c>
      <c r="M10" s="5">
        <v>0</v>
      </c>
      <c r="N10" s="5">
        <v>0</v>
      </c>
      <c r="O10" s="5">
        <v>0</v>
      </c>
      <c r="P10" s="5">
        <v>0</v>
      </c>
      <c r="Q10" s="5">
        <v>0</v>
      </c>
      <c r="R10" s="5">
        <v>0</v>
      </c>
      <c r="S10" s="6"/>
      <c r="T10" s="6"/>
      <c r="U10" s="6"/>
      <c r="V10" s="6"/>
      <c r="W10" s="6"/>
      <c r="X10" s="6"/>
      <c r="Y10" s="6"/>
      <c r="Z10" s="6"/>
      <c r="AA10" s="6"/>
      <c r="AB10" s="6"/>
      <c r="AC10" s="6"/>
      <c r="AD10" s="6"/>
      <c r="AE10" s="6"/>
      <c r="AF10" s="6"/>
      <c r="AG10">
        <f t="shared" si="0"/>
        <v>24</v>
      </c>
      <c r="AH10" s="10">
        <v>6</v>
      </c>
      <c r="AI10" s="10">
        <v>30</v>
      </c>
      <c r="AJ10" s="6">
        <f t="shared" si="1"/>
        <v>0</v>
      </c>
      <c r="AK10" s="6">
        <f t="shared" si="2"/>
        <v>0</v>
      </c>
      <c r="AL10" s="6">
        <f t="shared" si="3"/>
        <v>30</v>
      </c>
      <c r="AM10" s="6" t="s">
        <v>84</v>
      </c>
    </row>
    <row r="11" spans="1:42" ht="15.75">
      <c r="A11" s="3">
        <v>1034</v>
      </c>
      <c r="B11" s="4" t="s">
        <v>9</v>
      </c>
      <c r="C11" s="5" t="s">
        <v>64</v>
      </c>
      <c r="D11" s="5" t="s">
        <v>69</v>
      </c>
      <c r="E11" s="8">
        <v>36770</v>
      </c>
      <c r="F11" s="9">
        <v>15.810958904109588</v>
      </c>
      <c r="G11" s="8">
        <v>25112</v>
      </c>
      <c r="H11" s="9">
        <v>47.750684931506846</v>
      </c>
      <c r="I11" s="5">
        <v>2</v>
      </c>
      <c r="J11" s="5">
        <v>0</v>
      </c>
      <c r="K11" s="5">
        <v>0</v>
      </c>
      <c r="L11" s="5">
        <v>0</v>
      </c>
      <c r="M11" s="5">
        <v>0</v>
      </c>
      <c r="N11" s="5">
        <v>0</v>
      </c>
      <c r="O11" s="5">
        <v>0</v>
      </c>
      <c r="P11" s="5">
        <v>0</v>
      </c>
      <c r="Q11" s="5">
        <v>0</v>
      </c>
      <c r="R11" s="5">
        <v>0</v>
      </c>
      <c r="S11" s="6"/>
      <c r="T11" s="6"/>
      <c r="U11" s="6"/>
      <c r="V11" s="6"/>
      <c r="W11" s="6"/>
      <c r="X11" s="6"/>
      <c r="Y11" s="6"/>
      <c r="Z11" s="6"/>
      <c r="AA11" s="6"/>
      <c r="AB11" s="6"/>
      <c r="AC11" s="6"/>
      <c r="AD11" s="6"/>
      <c r="AE11" s="6"/>
      <c r="AF11" s="6"/>
      <c r="AG11">
        <f t="shared" si="0"/>
        <v>24</v>
      </c>
      <c r="AH11" s="10">
        <v>6</v>
      </c>
      <c r="AI11" s="10">
        <v>30</v>
      </c>
      <c r="AJ11" s="6">
        <f t="shared" si="1"/>
        <v>2</v>
      </c>
      <c r="AK11" s="6">
        <f t="shared" si="2"/>
        <v>0</v>
      </c>
      <c r="AL11" s="6">
        <f t="shared" si="3"/>
        <v>28</v>
      </c>
      <c r="AM11" s="6" t="s">
        <v>83</v>
      </c>
    </row>
    <row r="12" spans="1:42" ht="15.75">
      <c r="A12" s="3">
        <v>1315</v>
      </c>
      <c r="B12" s="4" t="s">
        <v>58</v>
      </c>
      <c r="C12" s="5" t="s">
        <v>67</v>
      </c>
      <c r="D12" s="5" t="s">
        <v>70</v>
      </c>
      <c r="E12" s="8">
        <v>42486</v>
      </c>
      <c r="F12" s="9">
        <v>0.15068493150684931</v>
      </c>
      <c r="G12" s="8">
        <v>33490</v>
      </c>
      <c r="H12" s="9">
        <v>24.797260273972604</v>
      </c>
      <c r="I12" s="5">
        <v>0</v>
      </c>
      <c r="J12" s="5">
        <v>0</v>
      </c>
      <c r="K12" s="5">
        <v>0</v>
      </c>
      <c r="L12" s="5">
        <v>0</v>
      </c>
      <c r="M12" s="5">
        <v>0</v>
      </c>
      <c r="N12" s="5">
        <v>0</v>
      </c>
      <c r="O12" s="5">
        <v>0</v>
      </c>
      <c r="P12" s="5">
        <v>0</v>
      </c>
      <c r="Q12" s="5">
        <v>0</v>
      </c>
      <c r="R12" s="5">
        <v>0</v>
      </c>
      <c r="S12" s="6"/>
      <c r="T12" s="6"/>
      <c r="U12" s="6"/>
      <c r="V12" s="6"/>
      <c r="W12" s="6"/>
      <c r="X12" s="6"/>
      <c r="Y12" s="6"/>
      <c r="Z12" s="6"/>
      <c r="AA12" s="6"/>
      <c r="AB12" s="6"/>
      <c r="AC12" s="6"/>
      <c r="AD12" s="6"/>
      <c r="AE12" s="6"/>
      <c r="AF12" s="6"/>
      <c r="AG12">
        <f t="shared" si="0"/>
        <v>8</v>
      </c>
      <c r="AH12" s="10">
        <v>6</v>
      </c>
      <c r="AI12" s="10">
        <v>14</v>
      </c>
      <c r="AJ12" s="6">
        <f t="shared" si="1"/>
        <v>0</v>
      </c>
      <c r="AK12" s="6">
        <f t="shared" si="2"/>
        <v>0</v>
      </c>
      <c r="AL12" s="6">
        <f t="shared" si="3"/>
        <v>14</v>
      </c>
      <c r="AM12" s="6" t="s">
        <v>89</v>
      </c>
    </row>
    <row r="13" spans="1:42" ht="15.75">
      <c r="A13" s="3">
        <v>1313</v>
      </c>
      <c r="B13" s="4" t="s">
        <v>57</v>
      </c>
      <c r="C13" s="5" t="s">
        <v>67</v>
      </c>
      <c r="D13" s="5" t="s">
        <v>70</v>
      </c>
      <c r="E13" s="8">
        <v>42471</v>
      </c>
      <c r="F13" s="9">
        <v>0.19178082191780821</v>
      </c>
      <c r="G13" s="8">
        <v>34094</v>
      </c>
      <c r="H13" s="9">
        <v>23.142465753424659</v>
      </c>
      <c r="I13" s="5">
        <v>0</v>
      </c>
      <c r="J13" s="5">
        <v>0</v>
      </c>
      <c r="K13" s="5">
        <v>0</v>
      </c>
      <c r="L13" s="5">
        <v>0</v>
      </c>
      <c r="M13" s="5">
        <v>0</v>
      </c>
      <c r="N13" s="5">
        <v>0</v>
      </c>
      <c r="O13" s="5">
        <v>0</v>
      </c>
      <c r="P13" s="5">
        <v>0</v>
      </c>
      <c r="Q13" s="5">
        <v>0</v>
      </c>
      <c r="R13" s="5">
        <v>0</v>
      </c>
      <c r="S13" s="6"/>
      <c r="T13" s="6"/>
      <c r="U13" s="6"/>
      <c r="V13" s="6"/>
      <c r="W13" s="6"/>
      <c r="X13" s="6"/>
      <c r="Y13" s="6"/>
      <c r="Z13" s="6"/>
      <c r="AA13" s="6"/>
      <c r="AB13" s="6"/>
      <c r="AC13" s="6"/>
      <c r="AD13" s="6"/>
      <c r="AE13" s="6"/>
      <c r="AF13" s="6"/>
      <c r="AG13">
        <f t="shared" si="0"/>
        <v>8</v>
      </c>
      <c r="AH13" s="10">
        <v>6</v>
      </c>
      <c r="AI13" s="10">
        <v>14</v>
      </c>
      <c r="AJ13" s="6">
        <f t="shared" si="1"/>
        <v>0</v>
      </c>
      <c r="AK13" s="6">
        <f t="shared" si="2"/>
        <v>0</v>
      </c>
      <c r="AL13" s="6">
        <f t="shared" si="3"/>
        <v>14</v>
      </c>
      <c r="AM13" s="6" t="s">
        <v>89</v>
      </c>
    </row>
    <row r="14" spans="1:42" ht="15.75">
      <c r="A14" s="3">
        <v>1310</v>
      </c>
      <c r="B14" s="4" t="s">
        <v>55</v>
      </c>
      <c r="C14" s="5" t="s">
        <v>67</v>
      </c>
      <c r="D14" s="5" t="s">
        <v>70</v>
      </c>
      <c r="E14" s="8">
        <v>42460</v>
      </c>
      <c r="F14" s="9">
        <v>0.22191780821917809</v>
      </c>
      <c r="G14" s="8">
        <v>32138</v>
      </c>
      <c r="H14" s="9">
        <v>28.5013698630137</v>
      </c>
      <c r="I14" s="5">
        <v>0</v>
      </c>
      <c r="J14" s="5">
        <v>0</v>
      </c>
      <c r="K14" s="5">
        <v>0</v>
      </c>
      <c r="L14" s="5">
        <v>0</v>
      </c>
      <c r="M14" s="5">
        <v>0</v>
      </c>
      <c r="N14" s="5">
        <v>0</v>
      </c>
      <c r="O14" s="5">
        <v>0</v>
      </c>
      <c r="P14" s="5">
        <v>0</v>
      </c>
      <c r="Q14" s="5">
        <v>0</v>
      </c>
      <c r="R14" s="5">
        <v>0</v>
      </c>
      <c r="S14" s="6"/>
      <c r="T14" s="6"/>
      <c r="U14" s="6"/>
      <c r="V14" s="6"/>
      <c r="W14" s="6"/>
      <c r="X14" s="6"/>
      <c r="Y14" s="6"/>
      <c r="Z14" s="6"/>
      <c r="AA14" s="6"/>
      <c r="AB14" s="6"/>
      <c r="AC14" s="6"/>
      <c r="AD14" s="6"/>
      <c r="AE14" s="6"/>
      <c r="AF14" s="6"/>
      <c r="AG14">
        <f t="shared" si="0"/>
        <v>11</v>
      </c>
      <c r="AH14" s="10">
        <v>6</v>
      </c>
      <c r="AI14" s="10">
        <v>17</v>
      </c>
      <c r="AJ14" s="6">
        <f t="shared" si="1"/>
        <v>0</v>
      </c>
      <c r="AK14" s="6">
        <f t="shared" si="2"/>
        <v>0</v>
      </c>
      <c r="AL14" s="6">
        <f t="shared" si="3"/>
        <v>17</v>
      </c>
      <c r="AM14" s="6" t="s">
        <v>89</v>
      </c>
    </row>
    <row r="15" spans="1:42" ht="15.75">
      <c r="A15" s="3">
        <v>1304</v>
      </c>
      <c r="B15" s="4" t="s">
        <v>54</v>
      </c>
      <c r="C15" s="5" t="s">
        <v>60</v>
      </c>
      <c r="D15" s="5" t="s">
        <v>70</v>
      </c>
      <c r="E15" s="8">
        <v>42430</v>
      </c>
      <c r="F15" s="9">
        <v>0.30410958904109592</v>
      </c>
      <c r="G15" s="8">
        <v>35235</v>
      </c>
      <c r="H15" s="9">
        <v>20.016438356164382</v>
      </c>
      <c r="I15" s="5">
        <v>0</v>
      </c>
      <c r="J15" s="5">
        <v>0</v>
      </c>
      <c r="K15" s="5">
        <v>0</v>
      </c>
      <c r="L15" s="5">
        <v>0</v>
      </c>
      <c r="M15" s="5">
        <v>0</v>
      </c>
      <c r="N15" s="5">
        <v>0</v>
      </c>
      <c r="O15" s="5">
        <v>0</v>
      </c>
      <c r="P15" s="5">
        <v>0</v>
      </c>
      <c r="Q15" s="5">
        <v>0</v>
      </c>
      <c r="R15" s="5">
        <v>0</v>
      </c>
      <c r="S15" s="6"/>
      <c r="T15" s="6"/>
      <c r="U15" s="6"/>
      <c r="V15" s="6"/>
      <c r="W15" s="6"/>
      <c r="X15" s="6"/>
      <c r="Y15" s="6"/>
      <c r="Z15" s="6"/>
      <c r="AA15" s="6"/>
      <c r="AB15" s="6"/>
      <c r="AC15" s="6"/>
      <c r="AD15" s="6"/>
      <c r="AE15" s="6"/>
      <c r="AF15" s="6"/>
      <c r="AG15">
        <f t="shared" si="0"/>
        <v>11</v>
      </c>
      <c r="AH15" s="10">
        <v>6</v>
      </c>
      <c r="AI15" s="10">
        <v>17</v>
      </c>
      <c r="AJ15" s="6">
        <f t="shared" si="1"/>
        <v>0</v>
      </c>
      <c r="AK15" s="6">
        <f t="shared" si="2"/>
        <v>0</v>
      </c>
      <c r="AL15" s="6">
        <f t="shared" si="3"/>
        <v>17</v>
      </c>
      <c r="AM15" s="6" t="s">
        <v>89</v>
      </c>
    </row>
    <row r="16" spans="1:42" ht="15.75">
      <c r="A16" s="3">
        <v>1300</v>
      </c>
      <c r="B16" s="4" t="s">
        <v>53</v>
      </c>
      <c r="C16" s="5" t="s">
        <v>67</v>
      </c>
      <c r="D16" s="5" t="s">
        <v>70</v>
      </c>
      <c r="E16" s="8">
        <v>42426</v>
      </c>
      <c r="F16" s="9">
        <v>0.31506849315068491</v>
      </c>
      <c r="G16" s="8">
        <v>25127</v>
      </c>
      <c r="H16" s="9">
        <v>47.709589041095889</v>
      </c>
      <c r="I16" s="5">
        <v>0</v>
      </c>
      <c r="J16" s="5">
        <v>0</v>
      </c>
      <c r="K16" s="5">
        <v>0</v>
      </c>
      <c r="L16" s="5">
        <v>0</v>
      </c>
      <c r="M16" s="5">
        <v>0</v>
      </c>
      <c r="N16" s="5">
        <v>0</v>
      </c>
      <c r="O16" s="5">
        <v>0</v>
      </c>
      <c r="P16" s="5">
        <v>0</v>
      </c>
      <c r="Q16" s="5">
        <v>0</v>
      </c>
      <c r="R16" s="5">
        <v>0</v>
      </c>
      <c r="S16" s="6"/>
      <c r="T16" s="6"/>
      <c r="U16" s="6"/>
      <c r="V16" s="6"/>
      <c r="W16" s="6"/>
      <c r="X16" s="6"/>
      <c r="Y16" s="6"/>
      <c r="Z16" s="6"/>
      <c r="AA16" s="6"/>
      <c r="AB16" s="6"/>
      <c r="AC16" s="6"/>
      <c r="AD16" s="6"/>
      <c r="AE16" s="6"/>
      <c r="AF16" s="6"/>
      <c r="AG16">
        <f t="shared" si="0"/>
        <v>13</v>
      </c>
      <c r="AH16" s="10">
        <v>6</v>
      </c>
      <c r="AI16" s="10">
        <v>19</v>
      </c>
      <c r="AJ16" s="6">
        <f t="shared" si="1"/>
        <v>0</v>
      </c>
      <c r="AK16" s="6">
        <f t="shared" si="2"/>
        <v>0</v>
      </c>
      <c r="AL16" s="6">
        <f t="shared" si="3"/>
        <v>19</v>
      </c>
      <c r="AM16" s="6" t="s">
        <v>89</v>
      </c>
    </row>
    <row r="17" spans="1:39" ht="15.75">
      <c r="A17" s="3">
        <v>1299</v>
      </c>
      <c r="B17" s="4" t="s">
        <v>52</v>
      </c>
      <c r="C17" s="5" t="s">
        <v>67</v>
      </c>
      <c r="D17" s="5" t="s">
        <v>70</v>
      </c>
      <c r="E17" s="8">
        <v>42425</v>
      </c>
      <c r="F17" s="9">
        <v>0.31780821917808222</v>
      </c>
      <c r="G17" s="8">
        <v>28300</v>
      </c>
      <c r="H17" s="9">
        <v>39.016438356164386</v>
      </c>
      <c r="I17" s="5">
        <v>0</v>
      </c>
      <c r="J17" s="5">
        <v>0</v>
      </c>
      <c r="K17" s="5">
        <v>0</v>
      </c>
      <c r="L17" s="5">
        <v>0</v>
      </c>
      <c r="M17" s="5">
        <v>0</v>
      </c>
      <c r="N17" s="5">
        <v>0</v>
      </c>
      <c r="O17" s="5">
        <v>0</v>
      </c>
      <c r="P17" s="5">
        <v>0</v>
      </c>
      <c r="Q17" s="5">
        <v>0</v>
      </c>
      <c r="R17" s="5">
        <v>0</v>
      </c>
      <c r="S17" s="6"/>
      <c r="T17" s="6"/>
      <c r="U17" s="6"/>
      <c r="V17" s="6"/>
      <c r="W17" s="6"/>
      <c r="X17" s="6"/>
      <c r="Y17" s="6"/>
      <c r="Z17" s="6"/>
      <c r="AA17" s="6"/>
      <c r="AB17" s="6"/>
      <c r="AC17" s="6"/>
      <c r="AD17" s="6"/>
      <c r="AE17" s="6"/>
      <c r="AF17" s="6"/>
      <c r="AG17">
        <f t="shared" si="0"/>
        <v>13</v>
      </c>
      <c r="AH17" s="10">
        <v>6</v>
      </c>
      <c r="AI17" s="10">
        <v>19</v>
      </c>
      <c r="AJ17" s="6">
        <f t="shared" si="1"/>
        <v>0</v>
      </c>
      <c r="AK17" s="6">
        <f t="shared" si="2"/>
        <v>0</v>
      </c>
      <c r="AL17" s="6">
        <f t="shared" si="3"/>
        <v>19</v>
      </c>
      <c r="AM17" s="6" t="s">
        <v>89</v>
      </c>
    </row>
    <row r="18" spans="1:39" ht="15.75">
      <c r="A18" s="3">
        <v>1295</v>
      </c>
      <c r="B18" s="4" t="s">
        <v>51</v>
      </c>
      <c r="C18" s="5" t="s">
        <v>67</v>
      </c>
      <c r="D18" s="5" t="s">
        <v>70</v>
      </c>
      <c r="E18" s="8">
        <v>42410</v>
      </c>
      <c r="F18" s="9">
        <v>0.35890410958904112</v>
      </c>
      <c r="G18" s="8">
        <v>31519</v>
      </c>
      <c r="H18" s="9">
        <v>30.197260273972603</v>
      </c>
      <c r="I18" s="5">
        <v>0</v>
      </c>
      <c r="J18" s="5">
        <v>0</v>
      </c>
      <c r="K18" s="5">
        <v>0</v>
      </c>
      <c r="L18" s="5">
        <v>0</v>
      </c>
      <c r="M18" s="5">
        <v>0</v>
      </c>
      <c r="N18" s="5">
        <v>0</v>
      </c>
      <c r="O18" s="5">
        <v>0</v>
      </c>
      <c r="P18" s="5">
        <v>0</v>
      </c>
      <c r="Q18" s="5">
        <v>0</v>
      </c>
      <c r="R18" s="5">
        <v>0</v>
      </c>
      <c r="S18" s="6"/>
      <c r="T18" s="6"/>
      <c r="U18" s="6"/>
      <c r="V18" s="6"/>
      <c r="W18" s="6"/>
      <c r="X18" s="6"/>
      <c r="Y18" s="6"/>
      <c r="Z18" s="6"/>
      <c r="AA18" s="6"/>
      <c r="AB18" s="6"/>
      <c r="AC18" s="6"/>
      <c r="AD18" s="6"/>
      <c r="AE18" s="6"/>
      <c r="AF18" s="6"/>
      <c r="AG18">
        <f t="shared" si="0"/>
        <v>13</v>
      </c>
      <c r="AH18" s="10">
        <v>6</v>
      </c>
      <c r="AI18" s="10">
        <v>19</v>
      </c>
      <c r="AJ18" s="6">
        <f t="shared" si="1"/>
        <v>0</v>
      </c>
      <c r="AK18" s="6">
        <f t="shared" si="2"/>
        <v>0</v>
      </c>
      <c r="AL18" s="6">
        <f t="shared" si="3"/>
        <v>19</v>
      </c>
      <c r="AM18" s="6" t="s">
        <v>89</v>
      </c>
    </row>
    <row r="19" spans="1:39" ht="15.75">
      <c r="A19" s="3">
        <v>1275</v>
      </c>
      <c r="B19" s="4" t="s">
        <v>50</v>
      </c>
      <c r="C19" s="5" t="s">
        <v>67</v>
      </c>
      <c r="D19" s="5" t="s">
        <v>70</v>
      </c>
      <c r="E19" s="8">
        <v>42382</v>
      </c>
      <c r="F19" s="9">
        <v>0.43561643835616437</v>
      </c>
      <c r="G19" s="8">
        <v>25438</v>
      </c>
      <c r="H19" s="9">
        <v>46.857534246575341</v>
      </c>
      <c r="I19" s="5">
        <v>0</v>
      </c>
      <c r="J19" s="5">
        <v>0</v>
      </c>
      <c r="K19" s="5">
        <v>0</v>
      </c>
      <c r="L19" s="5">
        <v>0</v>
      </c>
      <c r="M19" s="5">
        <v>0</v>
      </c>
      <c r="N19" s="5">
        <v>0</v>
      </c>
      <c r="O19" s="5">
        <v>0</v>
      </c>
      <c r="P19" s="5">
        <v>0</v>
      </c>
      <c r="Q19" s="5">
        <v>0</v>
      </c>
      <c r="R19" s="5">
        <v>0</v>
      </c>
      <c r="S19" s="6"/>
      <c r="T19" s="6"/>
      <c r="U19" s="6"/>
      <c r="V19" s="6"/>
      <c r="W19" s="6"/>
      <c r="X19" s="6"/>
      <c r="Y19" s="6"/>
      <c r="Z19" s="6"/>
      <c r="AA19" s="6"/>
      <c r="AB19" s="6"/>
      <c r="AC19" s="6"/>
      <c r="AD19" s="6"/>
      <c r="AE19" s="6"/>
      <c r="AF19" s="6"/>
      <c r="AG19">
        <f t="shared" si="0"/>
        <v>15</v>
      </c>
      <c r="AH19" s="10">
        <v>6</v>
      </c>
      <c r="AI19" s="10">
        <v>21</v>
      </c>
      <c r="AJ19" s="6">
        <f t="shared" si="1"/>
        <v>0</v>
      </c>
      <c r="AK19" s="6">
        <f t="shared" si="2"/>
        <v>0</v>
      </c>
      <c r="AL19" s="6">
        <f t="shared" si="3"/>
        <v>21</v>
      </c>
      <c r="AM19" s="6" t="s">
        <v>89</v>
      </c>
    </row>
    <row r="20" spans="1:39" ht="15.75">
      <c r="A20" s="3">
        <v>1267</v>
      </c>
      <c r="B20" s="4" t="s">
        <v>49</v>
      </c>
      <c r="C20" s="5" t="s">
        <v>60</v>
      </c>
      <c r="D20" s="5" t="s">
        <v>70</v>
      </c>
      <c r="E20" s="8">
        <v>42318</v>
      </c>
      <c r="F20" s="9">
        <v>0.61095890410958908</v>
      </c>
      <c r="G20" s="8">
        <v>31629</v>
      </c>
      <c r="H20" s="9">
        <v>29.895890410958906</v>
      </c>
      <c r="I20" s="5">
        <v>0</v>
      </c>
      <c r="J20" s="5">
        <v>0</v>
      </c>
      <c r="K20" s="5">
        <v>0</v>
      </c>
      <c r="L20" s="5">
        <v>0</v>
      </c>
      <c r="M20" s="5">
        <v>0</v>
      </c>
      <c r="N20" s="5">
        <v>0</v>
      </c>
      <c r="O20" s="5">
        <v>0</v>
      </c>
      <c r="P20" s="5">
        <v>0</v>
      </c>
      <c r="Q20" s="5">
        <v>0</v>
      </c>
      <c r="R20" s="5">
        <v>0</v>
      </c>
      <c r="S20" s="6"/>
      <c r="T20" s="6"/>
      <c r="U20" s="6"/>
      <c r="V20" s="6"/>
      <c r="W20" s="6"/>
      <c r="X20" s="6"/>
      <c r="Y20" s="6"/>
      <c r="Z20" s="6"/>
      <c r="AA20" s="6"/>
      <c r="AB20" s="6"/>
      <c r="AC20" s="6"/>
      <c r="AD20" s="6"/>
      <c r="AE20" s="6"/>
      <c r="AF20" s="6"/>
      <c r="AG20">
        <f t="shared" si="0"/>
        <v>15</v>
      </c>
      <c r="AH20" s="10">
        <v>6</v>
      </c>
      <c r="AI20" s="10">
        <v>21</v>
      </c>
      <c r="AJ20" s="6">
        <f t="shared" si="1"/>
        <v>0</v>
      </c>
      <c r="AK20" s="6">
        <f t="shared" si="2"/>
        <v>0</v>
      </c>
      <c r="AL20" s="6">
        <f t="shared" si="3"/>
        <v>21</v>
      </c>
      <c r="AM20" s="6"/>
    </row>
    <row r="21" spans="1:39" ht="15.75">
      <c r="A21" s="3">
        <v>1262</v>
      </c>
      <c r="B21" s="4" t="s">
        <v>48</v>
      </c>
      <c r="C21" s="5" t="s">
        <v>65</v>
      </c>
      <c r="D21" s="5" t="s">
        <v>70</v>
      </c>
      <c r="E21" s="8">
        <v>42248</v>
      </c>
      <c r="F21" s="9">
        <v>0.80273972602739729</v>
      </c>
      <c r="G21" s="8">
        <v>30117</v>
      </c>
      <c r="H21" s="9">
        <v>34.038356164383565</v>
      </c>
      <c r="I21" s="5">
        <v>0</v>
      </c>
      <c r="J21" s="5">
        <v>0</v>
      </c>
      <c r="K21" s="5">
        <v>0</v>
      </c>
      <c r="L21" s="5">
        <v>0</v>
      </c>
      <c r="M21" s="5">
        <v>0</v>
      </c>
      <c r="N21" s="5">
        <v>0</v>
      </c>
      <c r="O21" s="5">
        <v>0</v>
      </c>
      <c r="P21" s="5">
        <v>0</v>
      </c>
      <c r="Q21" s="5">
        <v>0</v>
      </c>
      <c r="R21" s="5">
        <v>0</v>
      </c>
      <c r="S21" s="6"/>
      <c r="T21" s="6"/>
      <c r="U21" s="6"/>
      <c r="V21" s="6"/>
      <c r="W21" s="6"/>
      <c r="X21" s="6"/>
      <c r="Y21" s="6"/>
      <c r="Z21" s="6"/>
      <c r="AA21" s="6"/>
      <c r="AB21" s="6"/>
      <c r="AC21" s="6"/>
      <c r="AD21" s="6"/>
      <c r="AE21" s="6"/>
      <c r="AF21" s="6"/>
      <c r="AG21">
        <f t="shared" si="0"/>
        <v>15</v>
      </c>
      <c r="AH21" s="10">
        <v>6</v>
      </c>
      <c r="AI21" s="10">
        <v>21</v>
      </c>
      <c r="AJ21" s="6">
        <f t="shared" si="1"/>
        <v>0</v>
      </c>
      <c r="AK21" s="6">
        <f t="shared" si="2"/>
        <v>0</v>
      </c>
      <c r="AL21" s="6">
        <f t="shared" si="3"/>
        <v>21</v>
      </c>
      <c r="AM21" s="6"/>
    </row>
    <row r="22" spans="1:39" ht="15.75">
      <c r="A22" s="3">
        <v>1260</v>
      </c>
      <c r="B22" s="4" t="s">
        <v>47</v>
      </c>
      <c r="C22" s="5" t="s">
        <v>67</v>
      </c>
      <c r="D22" s="5" t="s">
        <v>70</v>
      </c>
      <c r="E22" s="8">
        <v>42217</v>
      </c>
      <c r="F22" s="9">
        <v>0.88767123287671235</v>
      </c>
      <c r="G22" s="8">
        <v>31240</v>
      </c>
      <c r="H22" s="9">
        <v>30.961643835616439</v>
      </c>
      <c r="I22" s="5">
        <v>0</v>
      </c>
      <c r="J22" s="5">
        <v>0</v>
      </c>
      <c r="K22" s="5">
        <v>0</v>
      </c>
      <c r="L22" s="5">
        <v>0</v>
      </c>
      <c r="M22" s="5">
        <v>0</v>
      </c>
      <c r="N22" s="5">
        <v>0</v>
      </c>
      <c r="O22" s="5">
        <v>0</v>
      </c>
      <c r="P22" s="5">
        <v>0</v>
      </c>
      <c r="Q22" s="5">
        <v>0</v>
      </c>
      <c r="R22" s="5">
        <v>0</v>
      </c>
      <c r="S22" s="6"/>
      <c r="T22" s="6"/>
      <c r="U22" s="6"/>
      <c r="V22" s="6"/>
      <c r="W22" s="6"/>
      <c r="X22" s="6"/>
      <c r="Y22" s="6"/>
      <c r="Z22" s="6"/>
      <c r="AA22" s="6"/>
      <c r="AB22" s="6"/>
      <c r="AC22" s="6"/>
      <c r="AD22" s="6"/>
      <c r="AE22" s="6"/>
      <c r="AF22" s="6"/>
      <c r="AG22">
        <f t="shared" si="0"/>
        <v>15</v>
      </c>
      <c r="AH22" s="10">
        <v>6</v>
      </c>
      <c r="AI22" s="10">
        <v>21</v>
      </c>
      <c r="AJ22" s="6">
        <f t="shared" si="1"/>
        <v>0</v>
      </c>
      <c r="AK22" s="6">
        <f t="shared" si="2"/>
        <v>0</v>
      </c>
      <c r="AL22" s="6">
        <f t="shared" si="3"/>
        <v>21</v>
      </c>
      <c r="AM22" s="6"/>
    </row>
    <row r="23" spans="1:39" ht="15.75">
      <c r="A23" s="3">
        <v>1259</v>
      </c>
      <c r="B23" s="4" t="s">
        <v>46</v>
      </c>
      <c r="C23" s="5" t="s">
        <v>67</v>
      </c>
      <c r="D23" s="5" t="s">
        <v>70</v>
      </c>
      <c r="E23" s="8">
        <v>42191</v>
      </c>
      <c r="F23" s="9">
        <v>0.95890410958904104</v>
      </c>
      <c r="G23" s="8">
        <v>33604</v>
      </c>
      <c r="H23" s="9">
        <v>24.484931506849314</v>
      </c>
      <c r="I23" s="5">
        <v>0</v>
      </c>
      <c r="J23" s="5">
        <v>0</v>
      </c>
      <c r="K23" s="5">
        <v>0</v>
      </c>
      <c r="L23" s="5">
        <v>0</v>
      </c>
      <c r="M23" s="5">
        <v>0</v>
      </c>
      <c r="N23" s="5">
        <v>0</v>
      </c>
      <c r="O23" s="5">
        <v>0</v>
      </c>
      <c r="P23" s="5">
        <v>0</v>
      </c>
      <c r="Q23" s="5">
        <v>0</v>
      </c>
      <c r="R23" s="5">
        <v>0</v>
      </c>
      <c r="S23" s="6"/>
      <c r="T23" s="6"/>
      <c r="U23" s="6"/>
      <c r="V23" s="6"/>
      <c r="W23" s="6"/>
      <c r="X23" s="6"/>
      <c r="Y23" s="6"/>
      <c r="Z23" s="6"/>
      <c r="AA23" s="6"/>
      <c r="AB23" s="6"/>
      <c r="AC23" s="6"/>
      <c r="AD23" s="6"/>
      <c r="AE23" s="6"/>
      <c r="AF23" s="6"/>
      <c r="AG23">
        <f t="shared" si="0"/>
        <v>15</v>
      </c>
      <c r="AH23" s="10">
        <v>6</v>
      </c>
      <c r="AI23" s="10">
        <v>21</v>
      </c>
      <c r="AJ23" s="6">
        <f t="shared" si="1"/>
        <v>0</v>
      </c>
      <c r="AK23" s="6">
        <f t="shared" si="2"/>
        <v>0</v>
      </c>
      <c r="AL23" s="6">
        <f t="shared" si="3"/>
        <v>21</v>
      </c>
      <c r="AM23" s="6"/>
    </row>
    <row r="24" spans="1:39" ht="15.75">
      <c r="A24" s="3">
        <v>1258</v>
      </c>
      <c r="B24" s="4" t="s">
        <v>45</v>
      </c>
      <c r="C24" s="5" t="s">
        <v>67</v>
      </c>
      <c r="D24" s="5" t="s">
        <v>70</v>
      </c>
      <c r="E24" s="8">
        <v>42187</v>
      </c>
      <c r="F24" s="9">
        <v>0.96986301369863015</v>
      </c>
      <c r="G24" s="8">
        <v>31423</v>
      </c>
      <c r="H24" s="9">
        <v>30.460273972602739</v>
      </c>
      <c r="I24" s="5">
        <v>0</v>
      </c>
      <c r="J24" s="5">
        <v>0</v>
      </c>
      <c r="K24" s="5">
        <v>0</v>
      </c>
      <c r="L24" s="5">
        <v>0</v>
      </c>
      <c r="M24" s="5">
        <v>0</v>
      </c>
      <c r="N24" s="5">
        <v>0</v>
      </c>
      <c r="O24" s="5">
        <v>0</v>
      </c>
      <c r="P24" s="5">
        <v>0</v>
      </c>
      <c r="Q24" s="5">
        <v>0</v>
      </c>
      <c r="R24" s="5">
        <v>0</v>
      </c>
      <c r="S24" s="6"/>
      <c r="T24" s="6"/>
      <c r="U24" s="6"/>
      <c r="V24" s="6"/>
      <c r="W24" s="6"/>
      <c r="X24" s="6"/>
      <c r="Y24" s="6"/>
      <c r="Z24" s="6"/>
      <c r="AA24" s="6"/>
      <c r="AB24" s="6"/>
      <c r="AC24" s="6"/>
      <c r="AD24" s="6"/>
      <c r="AE24" s="6"/>
      <c r="AF24" s="6"/>
      <c r="AG24">
        <f t="shared" si="0"/>
        <v>15</v>
      </c>
      <c r="AH24" s="10">
        <v>6</v>
      </c>
      <c r="AI24" s="10">
        <v>21</v>
      </c>
      <c r="AJ24" s="6">
        <f t="shared" si="1"/>
        <v>0</v>
      </c>
      <c r="AK24" s="6">
        <f t="shared" si="2"/>
        <v>0</v>
      </c>
      <c r="AL24" s="6">
        <f t="shared" si="3"/>
        <v>21</v>
      </c>
      <c r="AM24" s="6"/>
    </row>
    <row r="25" spans="1:39" ht="15.75">
      <c r="A25" s="3">
        <v>1256</v>
      </c>
      <c r="B25" s="4" t="s">
        <v>44</v>
      </c>
      <c r="C25" s="5" t="s">
        <v>67</v>
      </c>
      <c r="D25" s="5" t="s">
        <v>70</v>
      </c>
      <c r="E25" s="8">
        <v>42139</v>
      </c>
      <c r="F25" s="9">
        <v>1.1013698630136985</v>
      </c>
      <c r="G25" s="8">
        <v>31349</v>
      </c>
      <c r="H25" s="9">
        <v>30.663013698630138</v>
      </c>
      <c r="I25" s="5">
        <v>0</v>
      </c>
      <c r="J25" s="5">
        <v>0</v>
      </c>
      <c r="K25" s="5">
        <v>0</v>
      </c>
      <c r="L25" s="5">
        <v>0</v>
      </c>
      <c r="M25" s="5">
        <v>0</v>
      </c>
      <c r="N25" s="5">
        <v>0</v>
      </c>
      <c r="O25" s="5">
        <v>0</v>
      </c>
      <c r="P25" s="5">
        <v>0</v>
      </c>
      <c r="Q25" s="5">
        <v>0</v>
      </c>
      <c r="R25" s="5">
        <v>0</v>
      </c>
      <c r="S25" s="6"/>
      <c r="T25" s="6"/>
      <c r="U25" s="6"/>
      <c r="V25" s="6"/>
      <c r="W25" s="6"/>
      <c r="X25" s="6"/>
      <c r="Y25" s="6"/>
      <c r="Z25" s="6"/>
      <c r="AA25" s="6"/>
      <c r="AB25" s="6"/>
      <c r="AC25" s="6"/>
      <c r="AD25" s="6"/>
      <c r="AE25" s="6"/>
      <c r="AF25" s="6"/>
      <c r="AG25">
        <f t="shared" si="0"/>
        <v>15</v>
      </c>
      <c r="AH25" s="10">
        <v>6</v>
      </c>
      <c r="AI25" s="10">
        <v>21</v>
      </c>
      <c r="AJ25" s="6">
        <f t="shared" si="1"/>
        <v>0</v>
      </c>
      <c r="AK25" s="6">
        <f t="shared" si="2"/>
        <v>0</v>
      </c>
      <c r="AL25" s="6">
        <f t="shared" si="3"/>
        <v>21</v>
      </c>
      <c r="AM25" s="6"/>
    </row>
    <row r="26" spans="1:39" ht="15.75">
      <c r="A26" s="3">
        <v>1250</v>
      </c>
      <c r="B26" s="4" t="s">
        <v>42</v>
      </c>
      <c r="C26" s="5" t="s">
        <v>67</v>
      </c>
      <c r="D26" s="5" t="s">
        <v>70</v>
      </c>
      <c r="E26" s="8">
        <v>42101</v>
      </c>
      <c r="F26" s="9">
        <v>1.2054794520547945</v>
      </c>
      <c r="G26" s="8">
        <v>31797</v>
      </c>
      <c r="H26" s="9">
        <v>29.435616438356163</v>
      </c>
      <c r="I26" s="5">
        <v>0</v>
      </c>
      <c r="J26" s="5">
        <v>0</v>
      </c>
      <c r="K26" s="5">
        <v>0</v>
      </c>
      <c r="L26" s="5">
        <v>0</v>
      </c>
      <c r="M26" s="5">
        <v>0</v>
      </c>
      <c r="N26" s="5">
        <v>0</v>
      </c>
      <c r="O26" s="5">
        <v>0</v>
      </c>
      <c r="P26" s="5">
        <v>0</v>
      </c>
      <c r="Q26" s="5">
        <v>0</v>
      </c>
      <c r="R26" s="5">
        <v>0</v>
      </c>
      <c r="S26" s="6"/>
      <c r="T26" s="6"/>
      <c r="U26" s="6"/>
      <c r="V26" s="6"/>
      <c r="W26" s="6"/>
      <c r="X26" s="6"/>
      <c r="Y26" s="6"/>
      <c r="Z26" s="6"/>
      <c r="AA26" s="6"/>
      <c r="AB26" s="6"/>
      <c r="AC26" s="6"/>
      <c r="AD26" s="6"/>
      <c r="AE26" s="6"/>
      <c r="AF26" s="6"/>
      <c r="AG26">
        <f t="shared" si="0"/>
        <v>15</v>
      </c>
      <c r="AH26" s="10">
        <v>6</v>
      </c>
      <c r="AI26" s="10">
        <v>21</v>
      </c>
      <c r="AJ26" s="6">
        <f t="shared" si="1"/>
        <v>0</v>
      </c>
      <c r="AK26" s="6">
        <f t="shared" si="2"/>
        <v>0</v>
      </c>
      <c r="AL26" s="6">
        <f t="shared" si="3"/>
        <v>21</v>
      </c>
      <c r="AM26" s="6"/>
    </row>
    <row r="27" spans="1:39" ht="15.75">
      <c r="A27" s="3">
        <v>1248</v>
      </c>
      <c r="B27" s="4" t="s">
        <v>41</v>
      </c>
      <c r="C27" s="5" t="s">
        <v>64</v>
      </c>
      <c r="D27" s="5" t="s">
        <v>70</v>
      </c>
      <c r="E27" s="8">
        <v>42088</v>
      </c>
      <c r="F27" s="9">
        <v>1.2410958904109588</v>
      </c>
      <c r="G27" s="8">
        <v>32756</v>
      </c>
      <c r="H27" s="9">
        <v>26.80821917808219</v>
      </c>
      <c r="I27" s="5">
        <v>0</v>
      </c>
      <c r="J27" s="5">
        <v>0</v>
      </c>
      <c r="K27" s="5">
        <v>0</v>
      </c>
      <c r="L27" s="5">
        <v>0</v>
      </c>
      <c r="M27" s="5">
        <v>0</v>
      </c>
      <c r="N27" s="5">
        <v>0</v>
      </c>
      <c r="O27" s="5">
        <v>0</v>
      </c>
      <c r="P27" s="5">
        <v>0</v>
      </c>
      <c r="Q27" s="5">
        <v>0</v>
      </c>
      <c r="R27" s="5">
        <v>0</v>
      </c>
      <c r="S27" s="6"/>
      <c r="T27" s="6"/>
      <c r="U27" s="6"/>
      <c r="V27" s="6"/>
      <c r="W27" s="6"/>
      <c r="X27" s="6"/>
      <c r="Y27" s="6"/>
      <c r="Z27" s="6"/>
      <c r="AA27" s="6"/>
      <c r="AB27" s="6"/>
      <c r="AC27" s="6"/>
      <c r="AD27" s="6"/>
      <c r="AE27" s="6"/>
      <c r="AF27" s="6"/>
      <c r="AG27">
        <f t="shared" si="0"/>
        <v>15</v>
      </c>
      <c r="AH27" s="10">
        <v>6</v>
      </c>
      <c r="AI27" s="10">
        <v>21</v>
      </c>
      <c r="AJ27" s="6">
        <f t="shared" si="1"/>
        <v>0</v>
      </c>
      <c r="AK27" s="6">
        <f t="shared" si="2"/>
        <v>0</v>
      </c>
      <c r="AL27" s="6">
        <f t="shared" si="3"/>
        <v>21</v>
      </c>
      <c r="AM27" s="6"/>
    </row>
    <row r="28" spans="1:39" ht="15.75">
      <c r="A28" s="3">
        <v>1247</v>
      </c>
      <c r="B28" s="4" t="s">
        <v>40</v>
      </c>
      <c r="C28" s="5" t="s">
        <v>64</v>
      </c>
      <c r="D28" s="5" t="s">
        <v>70</v>
      </c>
      <c r="E28" s="8">
        <v>42083</v>
      </c>
      <c r="F28" s="9">
        <v>1.2547945205479452</v>
      </c>
      <c r="G28" s="8">
        <v>35065</v>
      </c>
      <c r="H28" s="9">
        <v>20.482191780821918</v>
      </c>
      <c r="I28" s="5">
        <v>0</v>
      </c>
      <c r="J28" s="5">
        <v>0</v>
      </c>
      <c r="K28" s="5">
        <v>0</v>
      </c>
      <c r="L28" s="5">
        <v>0</v>
      </c>
      <c r="M28" s="5">
        <v>0</v>
      </c>
      <c r="N28" s="5">
        <v>0</v>
      </c>
      <c r="O28" s="5">
        <v>0</v>
      </c>
      <c r="P28" s="5">
        <v>0</v>
      </c>
      <c r="Q28" s="5">
        <v>0</v>
      </c>
      <c r="R28" s="5">
        <v>0</v>
      </c>
      <c r="S28" s="6"/>
      <c r="T28" s="6"/>
      <c r="U28" s="6"/>
      <c r="V28" s="6"/>
      <c r="W28" s="6"/>
      <c r="X28" s="6"/>
      <c r="Y28" s="6"/>
      <c r="Z28" s="6"/>
      <c r="AA28" s="6"/>
      <c r="AB28" s="6"/>
      <c r="AC28" s="6"/>
      <c r="AD28" s="6"/>
      <c r="AE28" s="6"/>
      <c r="AF28" s="6"/>
      <c r="AG28">
        <f t="shared" si="0"/>
        <v>15</v>
      </c>
      <c r="AH28" s="10">
        <v>6</v>
      </c>
      <c r="AI28" s="10">
        <v>21</v>
      </c>
      <c r="AJ28" s="6">
        <f t="shared" si="1"/>
        <v>0</v>
      </c>
      <c r="AK28" s="6">
        <f t="shared" si="2"/>
        <v>0</v>
      </c>
      <c r="AL28" s="6">
        <f t="shared" si="3"/>
        <v>21</v>
      </c>
      <c r="AM28" s="6"/>
    </row>
    <row r="29" spans="1:39" ht="15.75">
      <c r="A29" s="3">
        <v>1231</v>
      </c>
      <c r="B29" s="4" t="s">
        <v>39</v>
      </c>
      <c r="C29" s="5" t="s">
        <v>64</v>
      </c>
      <c r="D29" s="5" t="s">
        <v>70</v>
      </c>
      <c r="E29" s="8">
        <v>42005</v>
      </c>
      <c r="F29" s="9">
        <v>1.4684931506849315</v>
      </c>
      <c r="G29" s="8">
        <v>36019</v>
      </c>
      <c r="H29" s="9">
        <v>17.86849315068493</v>
      </c>
      <c r="I29" s="5">
        <v>0</v>
      </c>
      <c r="J29" s="5">
        <v>0</v>
      </c>
      <c r="K29" s="5">
        <v>0</v>
      </c>
      <c r="L29" s="5">
        <v>0</v>
      </c>
      <c r="M29" s="5">
        <v>0</v>
      </c>
      <c r="N29" s="5">
        <v>0</v>
      </c>
      <c r="O29" s="5">
        <v>0</v>
      </c>
      <c r="P29" s="5">
        <v>0</v>
      </c>
      <c r="Q29" s="5">
        <v>0</v>
      </c>
      <c r="R29" s="5">
        <v>0</v>
      </c>
      <c r="S29" s="6"/>
      <c r="T29" s="6"/>
      <c r="U29" s="6"/>
      <c r="V29" s="6"/>
      <c r="W29" s="6"/>
      <c r="X29" s="6"/>
      <c r="Y29" s="6"/>
      <c r="Z29" s="6"/>
      <c r="AA29" s="6"/>
      <c r="AB29" s="6"/>
      <c r="AC29" s="6"/>
      <c r="AD29" s="6"/>
      <c r="AE29" s="6"/>
      <c r="AF29" s="6"/>
      <c r="AG29">
        <f t="shared" si="0"/>
        <v>15</v>
      </c>
      <c r="AH29" s="10">
        <v>6</v>
      </c>
      <c r="AI29" s="10">
        <v>21</v>
      </c>
      <c r="AJ29" s="6">
        <f t="shared" si="1"/>
        <v>0</v>
      </c>
      <c r="AK29" s="6">
        <f t="shared" si="2"/>
        <v>0</v>
      </c>
      <c r="AL29" s="6">
        <f t="shared" si="3"/>
        <v>21</v>
      </c>
      <c r="AM29" s="6"/>
    </row>
    <row r="30" spans="1:39" ht="15.75">
      <c r="A30" s="3">
        <v>1214</v>
      </c>
      <c r="B30" s="4" t="s">
        <v>38</v>
      </c>
      <c r="C30" s="5" t="s">
        <v>68</v>
      </c>
      <c r="D30" s="5" t="s">
        <v>70</v>
      </c>
      <c r="E30" s="8">
        <v>41876</v>
      </c>
      <c r="F30" s="9">
        <v>1.821917808219178</v>
      </c>
      <c r="G30" s="8">
        <v>33653</v>
      </c>
      <c r="H30" s="9">
        <v>24.350684931506848</v>
      </c>
      <c r="I30" s="5">
        <v>0</v>
      </c>
      <c r="J30" s="5">
        <v>0</v>
      </c>
      <c r="K30" s="5">
        <v>0</v>
      </c>
      <c r="L30" s="5">
        <v>0</v>
      </c>
      <c r="M30" s="5">
        <v>0</v>
      </c>
      <c r="N30" s="5">
        <v>0</v>
      </c>
      <c r="O30" s="5">
        <v>0</v>
      </c>
      <c r="P30" s="5">
        <v>0</v>
      </c>
      <c r="Q30" s="5">
        <v>0</v>
      </c>
      <c r="R30" s="5">
        <v>0</v>
      </c>
      <c r="S30" s="6"/>
      <c r="T30" s="6"/>
      <c r="U30" s="6"/>
      <c r="V30" s="6"/>
      <c r="W30" s="6"/>
      <c r="X30" s="6"/>
      <c r="Y30" s="6"/>
      <c r="Z30" s="6"/>
      <c r="AA30" s="6"/>
      <c r="AB30" s="6"/>
      <c r="AC30" s="6"/>
      <c r="AD30" s="6"/>
      <c r="AE30" s="6"/>
      <c r="AF30" s="6"/>
      <c r="AG30">
        <f t="shared" si="0"/>
        <v>15</v>
      </c>
      <c r="AH30" s="10">
        <v>6</v>
      </c>
      <c r="AI30" s="10">
        <v>21</v>
      </c>
      <c r="AJ30" s="6">
        <f t="shared" si="1"/>
        <v>0</v>
      </c>
      <c r="AK30" s="6">
        <f t="shared" si="2"/>
        <v>0</v>
      </c>
      <c r="AL30" s="6">
        <f t="shared" si="3"/>
        <v>21</v>
      </c>
      <c r="AM30" s="6"/>
    </row>
    <row r="31" spans="1:39" ht="15.75">
      <c r="A31" s="3">
        <v>1213</v>
      </c>
      <c r="B31" s="4" t="s">
        <v>37</v>
      </c>
      <c r="C31" s="5" t="s">
        <v>67</v>
      </c>
      <c r="D31" s="5" t="s">
        <v>70</v>
      </c>
      <c r="E31" s="8">
        <v>41872</v>
      </c>
      <c r="F31" s="9">
        <v>1.832876712328767</v>
      </c>
      <c r="G31" s="8">
        <v>24821</v>
      </c>
      <c r="H31" s="9">
        <v>48.547945205479451</v>
      </c>
      <c r="I31" s="5">
        <v>0</v>
      </c>
      <c r="J31" s="5">
        <v>0</v>
      </c>
      <c r="K31" s="5">
        <v>0</v>
      </c>
      <c r="L31" s="5">
        <v>0</v>
      </c>
      <c r="M31" s="5">
        <v>0</v>
      </c>
      <c r="N31" s="5">
        <v>0</v>
      </c>
      <c r="O31" s="5">
        <v>0</v>
      </c>
      <c r="P31" s="5">
        <v>0</v>
      </c>
      <c r="Q31" s="5">
        <v>0</v>
      </c>
      <c r="R31" s="5">
        <v>0</v>
      </c>
      <c r="S31" s="6"/>
      <c r="T31" s="6"/>
      <c r="U31" s="6"/>
      <c r="V31" s="6"/>
      <c r="W31" s="6"/>
      <c r="X31" s="6"/>
      <c r="Y31" s="6"/>
      <c r="Z31" s="6"/>
      <c r="AA31" s="6"/>
      <c r="AB31" s="6"/>
      <c r="AC31" s="6"/>
      <c r="AD31" s="6"/>
      <c r="AE31" s="6"/>
      <c r="AF31" s="6"/>
      <c r="AG31">
        <f t="shared" si="0"/>
        <v>15</v>
      </c>
      <c r="AH31" s="10">
        <v>6</v>
      </c>
      <c r="AI31" s="10">
        <v>21</v>
      </c>
      <c r="AJ31" s="6">
        <f t="shared" si="1"/>
        <v>0</v>
      </c>
      <c r="AK31" s="6">
        <f t="shared" si="2"/>
        <v>0</v>
      </c>
      <c r="AL31" s="6">
        <f t="shared" si="3"/>
        <v>21</v>
      </c>
      <c r="AM31" s="6"/>
    </row>
    <row r="32" spans="1:39" ht="15.75">
      <c r="A32" s="3">
        <v>1210</v>
      </c>
      <c r="B32" s="4" t="s">
        <v>36</v>
      </c>
      <c r="C32" s="5" t="s">
        <v>65</v>
      </c>
      <c r="D32" s="5" t="s">
        <v>70</v>
      </c>
      <c r="E32" s="8">
        <v>41854</v>
      </c>
      <c r="F32" s="9">
        <v>1.8821917808219177</v>
      </c>
      <c r="G32" s="8">
        <v>29269</v>
      </c>
      <c r="H32" s="9">
        <v>36.361643835616441</v>
      </c>
      <c r="I32" s="5">
        <v>0</v>
      </c>
      <c r="J32" s="5">
        <v>0</v>
      </c>
      <c r="K32" s="5">
        <v>0</v>
      </c>
      <c r="L32" s="5">
        <v>0</v>
      </c>
      <c r="M32" s="5">
        <v>0</v>
      </c>
      <c r="N32" s="5">
        <v>0</v>
      </c>
      <c r="O32" s="5">
        <v>0</v>
      </c>
      <c r="P32" s="5">
        <v>0</v>
      </c>
      <c r="Q32" s="5">
        <v>0</v>
      </c>
      <c r="R32" s="5">
        <v>0</v>
      </c>
      <c r="S32" s="6"/>
      <c r="T32" s="6"/>
      <c r="U32" s="6"/>
      <c r="V32" s="6"/>
      <c r="W32" s="6"/>
      <c r="X32" s="6"/>
      <c r="Y32" s="6"/>
      <c r="Z32" s="6"/>
      <c r="AA32" s="6"/>
      <c r="AB32" s="6"/>
      <c r="AC32" s="6"/>
      <c r="AD32" s="6"/>
      <c r="AE32" s="6"/>
      <c r="AF32" s="6"/>
      <c r="AG32">
        <f t="shared" si="0"/>
        <v>15</v>
      </c>
      <c r="AH32" s="10">
        <v>6</v>
      </c>
      <c r="AI32" s="10">
        <v>21</v>
      </c>
      <c r="AJ32" s="6">
        <f t="shared" si="1"/>
        <v>0</v>
      </c>
      <c r="AK32" s="6">
        <f t="shared" si="2"/>
        <v>0</v>
      </c>
      <c r="AL32" s="6">
        <f t="shared" si="3"/>
        <v>21</v>
      </c>
      <c r="AM32" s="6"/>
    </row>
    <row r="33" spans="1:39" ht="15.75">
      <c r="A33" s="3">
        <v>1208</v>
      </c>
      <c r="B33" s="4" t="s">
        <v>35</v>
      </c>
      <c r="C33" s="5" t="s">
        <v>64</v>
      </c>
      <c r="D33" s="5" t="s">
        <v>70</v>
      </c>
      <c r="E33" s="8">
        <v>41841</v>
      </c>
      <c r="F33" s="9">
        <v>1.9178082191780821</v>
      </c>
      <c r="G33" s="8">
        <v>36089</v>
      </c>
      <c r="H33" s="9">
        <v>17.676712328767124</v>
      </c>
      <c r="I33" s="5">
        <v>0</v>
      </c>
      <c r="J33" s="5">
        <v>0</v>
      </c>
      <c r="K33" s="5">
        <v>0</v>
      </c>
      <c r="L33" s="5">
        <v>0</v>
      </c>
      <c r="M33" s="5">
        <v>0</v>
      </c>
      <c r="N33" s="5">
        <v>0</v>
      </c>
      <c r="O33" s="5">
        <v>0</v>
      </c>
      <c r="P33" s="5">
        <v>0</v>
      </c>
      <c r="Q33" s="5">
        <v>0</v>
      </c>
      <c r="R33" s="5">
        <v>0</v>
      </c>
      <c r="S33" s="6"/>
      <c r="T33" s="6"/>
      <c r="U33" s="6"/>
      <c r="V33" s="6"/>
      <c r="W33" s="6"/>
      <c r="X33" s="6"/>
      <c r="Y33" s="6"/>
      <c r="Z33" s="6"/>
      <c r="AA33" s="6"/>
      <c r="AB33" s="6"/>
      <c r="AC33" s="6"/>
      <c r="AD33" s="6"/>
      <c r="AE33" s="6"/>
      <c r="AF33" s="6"/>
      <c r="AG33">
        <f t="shared" si="0"/>
        <v>15</v>
      </c>
      <c r="AH33" s="10">
        <v>6</v>
      </c>
      <c r="AI33" s="10">
        <v>21</v>
      </c>
      <c r="AJ33" s="6">
        <f t="shared" si="1"/>
        <v>0</v>
      </c>
      <c r="AK33" s="6">
        <f t="shared" si="2"/>
        <v>0</v>
      </c>
      <c r="AL33" s="6">
        <f t="shared" si="3"/>
        <v>21</v>
      </c>
      <c r="AM33" s="6"/>
    </row>
    <row r="34" spans="1:39" ht="15.75">
      <c r="A34" s="3">
        <v>1197</v>
      </c>
      <c r="B34" s="4" t="s">
        <v>34</v>
      </c>
      <c r="C34" s="5" t="s">
        <v>64</v>
      </c>
      <c r="D34" s="5" t="s">
        <v>70</v>
      </c>
      <c r="E34" s="8">
        <v>41777</v>
      </c>
      <c r="F34" s="9">
        <v>2.0931506849315067</v>
      </c>
      <c r="G34" s="8">
        <v>30782</v>
      </c>
      <c r="H34" s="9">
        <v>32.216438356164382</v>
      </c>
      <c r="I34" s="5">
        <v>0</v>
      </c>
      <c r="J34" s="5">
        <v>0</v>
      </c>
      <c r="K34" s="5">
        <v>0</v>
      </c>
      <c r="L34" s="5">
        <v>0</v>
      </c>
      <c r="M34" s="5">
        <v>0</v>
      </c>
      <c r="N34" s="5">
        <v>0</v>
      </c>
      <c r="O34" s="5">
        <v>0</v>
      </c>
      <c r="P34" s="5">
        <v>0</v>
      </c>
      <c r="Q34" s="5">
        <v>0</v>
      </c>
      <c r="R34" s="5">
        <v>0</v>
      </c>
      <c r="S34" s="6"/>
      <c r="T34" s="6"/>
      <c r="U34" s="6"/>
      <c r="V34" s="6"/>
      <c r="W34" s="6"/>
      <c r="X34" s="6"/>
      <c r="Y34" s="6"/>
      <c r="Z34" s="6"/>
      <c r="AA34" s="6"/>
      <c r="AB34" s="6"/>
      <c r="AC34" s="6"/>
      <c r="AD34" s="6"/>
      <c r="AE34" s="6"/>
      <c r="AF34" s="6"/>
      <c r="AG34">
        <f t="shared" si="0"/>
        <v>15</v>
      </c>
      <c r="AH34" s="10">
        <v>6</v>
      </c>
      <c r="AI34" s="10">
        <v>21</v>
      </c>
      <c r="AJ34" s="6">
        <f t="shared" si="1"/>
        <v>0</v>
      </c>
      <c r="AK34" s="6">
        <f t="shared" si="2"/>
        <v>0</v>
      </c>
      <c r="AL34" s="6">
        <f t="shared" si="3"/>
        <v>21</v>
      </c>
      <c r="AM34" s="6"/>
    </row>
    <row r="35" spans="1:39" ht="15.75">
      <c r="A35" s="3">
        <v>1195</v>
      </c>
      <c r="B35" s="4" t="s">
        <v>32</v>
      </c>
      <c r="C35" s="5" t="s">
        <v>62</v>
      </c>
      <c r="D35" s="5" t="s">
        <v>70</v>
      </c>
      <c r="E35" s="8">
        <v>41760</v>
      </c>
      <c r="F35" s="9">
        <v>2.1397260273972605</v>
      </c>
      <c r="G35" s="8">
        <v>32473</v>
      </c>
      <c r="H35" s="9">
        <v>27.583561643835615</v>
      </c>
      <c r="I35" s="5">
        <v>0</v>
      </c>
      <c r="J35" s="5">
        <v>0</v>
      </c>
      <c r="K35" s="5">
        <v>0</v>
      </c>
      <c r="L35" s="5">
        <v>0</v>
      </c>
      <c r="M35" s="5">
        <v>0</v>
      </c>
      <c r="N35" s="5">
        <v>0</v>
      </c>
      <c r="O35" s="5">
        <v>0</v>
      </c>
      <c r="P35" s="5">
        <v>0</v>
      </c>
      <c r="Q35" s="5">
        <v>0</v>
      </c>
      <c r="R35" s="5">
        <v>0</v>
      </c>
      <c r="S35" s="6"/>
      <c r="T35" s="6"/>
      <c r="U35" s="6"/>
      <c r="V35" s="6"/>
      <c r="W35" s="6"/>
      <c r="X35" s="6"/>
      <c r="Y35" s="6"/>
      <c r="Z35" s="6"/>
      <c r="AA35" s="6"/>
      <c r="AB35" s="6"/>
      <c r="AC35" s="6"/>
      <c r="AD35" s="6"/>
      <c r="AE35" s="6"/>
      <c r="AF35" s="6"/>
      <c r="AG35">
        <f t="shared" ref="AG35:AG53" si="4">AI35-AH35</f>
        <v>15</v>
      </c>
      <c r="AH35" s="10">
        <v>6</v>
      </c>
      <c r="AI35" s="10">
        <v>21</v>
      </c>
      <c r="AJ35" s="6">
        <f t="shared" ref="AJ35:AJ53" si="5">(I35+K35+M35+O35+Q35+S35+U35+W35+Y35+AA35+AC35+AE35)</f>
        <v>0</v>
      </c>
      <c r="AK35" s="6">
        <f t="shared" ref="AK35:AK53" si="6">(J35+L35+N35+P35+R35+T35+V35+X35+Z35+AB35+AD35+AF35)</f>
        <v>0</v>
      </c>
      <c r="AL35" s="6">
        <f t="shared" ref="AL35:AL53" si="7">(AI35)-(AJ35+AK35)</f>
        <v>21</v>
      </c>
      <c r="AM35" s="6"/>
    </row>
    <row r="36" spans="1:39" ht="15.75">
      <c r="A36" s="3">
        <v>1196</v>
      </c>
      <c r="B36" s="4" t="s">
        <v>33</v>
      </c>
      <c r="C36" s="5" t="s">
        <v>61</v>
      </c>
      <c r="D36" s="5" t="s">
        <v>70</v>
      </c>
      <c r="E36" s="8">
        <v>41760</v>
      </c>
      <c r="F36" s="9">
        <v>2.1397260273972605</v>
      </c>
      <c r="G36" s="8">
        <v>32057</v>
      </c>
      <c r="H36" s="9">
        <v>28.723287671232878</v>
      </c>
      <c r="I36" s="5">
        <v>0</v>
      </c>
      <c r="J36" s="5">
        <v>0</v>
      </c>
      <c r="K36" s="5">
        <v>0</v>
      </c>
      <c r="L36" s="5">
        <v>0</v>
      </c>
      <c r="M36" s="5">
        <v>0</v>
      </c>
      <c r="N36" s="5">
        <v>0</v>
      </c>
      <c r="O36" s="5">
        <v>0</v>
      </c>
      <c r="P36" s="5">
        <v>0</v>
      </c>
      <c r="Q36" s="5">
        <v>0</v>
      </c>
      <c r="R36" s="5">
        <v>0</v>
      </c>
      <c r="S36" s="6"/>
      <c r="T36" s="6"/>
      <c r="U36" s="6"/>
      <c r="V36" s="6"/>
      <c r="W36" s="6"/>
      <c r="X36" s="6"/>
      <c r="Y36" s="6"/>
      <c r="Z36" s="6"/>
      <c r="AA36" s="6"/>
      <c r="AB36" s="6"/>
      <c r="AC36" s="6"/>
      <c r="AD36" s="6"/>
      <c r="AE36" s="6"/>
      <c r="AF36" s="6"/>
      <c r="AG36">
        <f t="shared" si="4"/>
        <v>15</v>
      </c>
      <c r="AH36" s="10">
        <v>6</v>
      </c>
      <c r="AI36" s="10">
        <v>21</v>
      </c>
      <c r="AJ36" s="6">
        <f t="shared" si="5"/>
        <v>0</v>
      </c>
      <c r="AK36" s="6">
        <f t="shared" si="6"/>
        <v>0</v>
      </c>
      <c r="AL36" s="6">
        <f t="shared" si="7"/>
        <v>21</v>
      </c>
      <c r="AM36" s="6"/>
    </row>
    <row r="37" spans="1:39" ht="15.75">
      <c r="A37" s="3">
        <v>1184</v>
      </c>
      <c r="B37" s="4" t="s">
        <v>31</v>
      </c>
      <c r="C37" s="5" t="s">
        <v>60</v>
      </c>
      <c r="D37" s="5" t="s">
        <v>70</v>
      </c>
      <c r="E37" s="8">
        <v>41623</v>
      </c>
      <c r="F37" s="9">
        <v>2.515068493150685</v>
      </c>
      <c r="G37" s="8">
        <v>35096</v>
      </c>
      <c r="H37" s="9">
        <v>20.397260273972602</v>
      </c>
      <c r="I37" s="5">
        <v>0</v>
      </c>
      <c r="J37" s="5">
        <v>0</v>
      </c>
      <c r="K37" s="5">
        <v>0</v>
      </c>
      <c r="L37" s="5">
        <v>0</v>
      </c>
      <c r="M37" s="5">
        <v>0</v>
      </c>
      <c r="N37" s="5">
        <v>0</v>
      </c>
      <c r="O37" s="5">
        <v>0</v>
      </c>
      <c r="P37" s="5">
        <v>0</v>
      </c>
      <c r="Q37" s="5">
        <v>0</v>
      </c>
      <c r="R37" s="5">
        <v>0</v>
      </c>
      <c r="S37" s="6"/>
      <c r="T37" s="6"/>
      <c r="U37" s="6"/>
      <c r="V37" s="6"/>
      <c r="W37" s="6"/>
      <c r="X37" s="6"/>
      <c r="Y37" s="6"/>
      <c r="Z37" s="6"/>
      <c r="AA37" s="6"/>
      <c r="AB37" s="6"/>
      <c r="AC37" s="6"/>
      <c r="AD37" s="6"/>
      <c r="AE37" s="6"/>
      <c r="AF37" s="6"/>
      <c r="AG37">
        <f t="shared" si="4"/>
        <v>15</v>
      </c>
      <c r="AH37" s="10">
        <v>6</v>
      </c>
      <c r="AI37" s="10">
        <v>21</v>
      </c>
      <c r="AJ37" s="6">
        <f t="shared" si="5"/>
        <v>0</v>
      </c>
      <c r="AK37" s="6">
        <f t="shared" si="6"/>
        <v>0</v>
      </c>
      <c r="AL37" s="6">
        <f t="shared" si="7"/>
        <v>21</v>
      </c>
      <c r="AM37" s="6"/>
    </row>
    <row r="38" spans="1:39" ht="15.75">
      <c r="A38" s="3">
        <v>1181</v>
      </c>
      <c r="B38" s="4" t="s">
        <v>30</v>
      </c>
      <c r="C38" s="5" t="s">
        <v>66</v>
      </c>
      <c r="D38" s="5" t="s">
        <v>70</v>
      </c>
      <c r="E38" s="8">
        <v>41598</v>
      </c>
      <c r="F38" s="9">
        <v>2.5835616438356164</v>
      </c>
      <c r="G38" s="8">
        <v>34963</v>
      </c>
      <c r="H38" s="9">
        <v>20.761643835616439</v>
      </c>
      <c r="I38" s="5">
        <v>6</v>
      </c>
      <c r="J38" s="5">
        <v>0</v>
      </c>
      <c r="K38" s="5">
        <v>1</v>
      </c>
      <c r="L38" s="5">
        <v>0</v>
      </c>
      <c r="M38" s="5">
        <v>0</v>
      </c>
      <c r="N38" s="5">
        <v>0</v>
      </c>
      <c r="O38" s="5">
        <v>2</v>
      </c>
      <c r="P38" s="5">
        <v>0</v>
      </c>
      <c r="Q38" s="5">
        <v>0</v>
      </c>
      <c r="R38" s="5">
        <v>0</v>
      </c>
      <c r="S38" s="6"/>
      <c r="T38" s="6"/>
      <c r="U38" s="6"/>
      <c r="V38" s="6"/>
      <c r="W38" s="6"/>
      <c r="X38" s="6"/>
      <c r="Y38" s="6"/>
      <c r="Z38" s="6"/>
      <c r="AA38" s="6"/>
      <c r="AB38" s="6"/>
      <c r="AC38" s="6"/>
      <c r="AD38" s="6"/>
      <c r="AE38" s="6"/>
      <c r="AF38" s="6"/>
      <c r="AG38">
        <f t="shared" si="4"/>
        <v>15</v>
      </c>
      <c r="AH38" s="10">
        <v>6</v>
      </c>
      <c r="AI38" s="10">
        <v>21</v>
      </c>
      <c r="AJ38" s="6">
        <f t="shared" si="5"/>
        <v>9</v>
      </c>
      <c r="AK38" s="6">
        <f t="shared" si="6"/>
        <v>0</v>
      </c>
      <c r="AL38" s="6">
        <f t="shared" si="7"/>
        <v>12</v>
      </c>
      <c r="AM38" s="6"/>
    </row>
    <row r="39" spans="1:39" ht="15.75">
      <c r="A39" s="3">
        <v>1180</v>
      </c>
      <c r="B39" s="4" t="s">
        <v>29</v>
      </c>
      <c r="C39" s="5" t="s">
        <v>63</v>
      </c>
      <c r="D39" s="5" t="s">
        <v>70</v>
      </c>
      <c r="E39" s="8">
        <v>41566</v>
      </c>
      <c r="F39" s="9">
        <v>2.6712328767123288</v>
      </c>
      <c r="G39" s="8">
        <v>35820</v>
      </c>
      <c r="H39" s="9">
        <v>18.413698630136988</v>
      </c>
      <c r="I39" s="5">
        <v>0</v>
      </c>
      <c r="J39" s="5">
        <v>1</v>
      </c>
      <c r="K39" s="5">
        <v>1</v>
      </c>
      <c r="L39" s="5">
        <v>0</v>
      </c>
      <c r="M39" s="5">
        <v>0</v>
      </c>
      <c r="N39" s="5">
        <v>0</v>
      </c>
      <c r="O39" s="5">
        <v>2</v>
      </c>
      <c r="P39" s="5">
        <v>0</v>
      </c>
      <c r="Q39" s="5">
        <v>0</v>
      </c>
      <c r="R39" s="5">
        <v>0</v>
      </c>
      <c r="S39" s="6"/>
      <c r="T39" s="6"/>
      <c r="U39" s="6"/>
      <c r="V39" s="6"/>
      <c r="W39" s="6"/>
      <c r="X39" s="6"/>
      <c r="Y39" s="6"/>
      <c r="Z39" s="6"/>
      <c r="AA39" s="6"/>
      <c r="AB39" s="6"/>
      <c r="AC39" s="6"/>
      <c r="AD39" s="6"/>
      <c r="AE39" s="6"/>
      <c r="AF39" s="6"/>
      <c r="AG39">
        <f t="shared" si="4"/>
        <v>15</v>
      </c>
      <c r="AH39" s="10">
        <v>6</v>
      </c>
      <c r="AI39" s="10">
        <v>21</v>
      </c>
      <c r="AJ39" s="6">
        <f t="shared" si="5"/>
        <v>3</v>
      </c>
      <c r="AK39" s="6">
        <f t="shared" si="6"/>
        <v>1</v>
      </c>
      <c r="AL39" s="6">
        <f t="shared" si="7"/>
        <v>17</v>
      </c>
      <c r="AM39" s="6"/>
    </row>
    <row r="40" spans="1:39" ht="15.75">
      <c r="A40" s="3">
        <v>1175</v>
      </c>
      <c r="B40" s="4" t="s">
        <v>28</v>
      </c>
      <c r="C40" s="5" t="s">
        <v>67</v>
      </c>
      <c r="D40" s="5" t="s">
        <v>70</v>
      </c>
      <c r="E40" s="8">
        <v>41522</v>
      </c>
      <c r="F40" s="9">
        <v>2.7917808219178082</v>
      </c>
      <c r="G40" s="8">
        <v>29477</v>
      </c>
      <c r="H40" s="9">
        <v>35.791780821917811</v>
      </c>
      <c r="I40" s="5">
        <v>0</v>
      </c>
      <c r="J40" s="5">
        <v>0</v>
      </c>
      <c r="K40" s="5">
        <v>0</v>
      </c>
      <c r="L40" s="5">
        <v>0</v>
      </c>
      <c r="M40" s="5">
        <v>0</v>
      </c>
      <c r="N40" s="5">
        <v>0</v>
      </c>
      <c r="O40" s="5">
        <v>0</v>
      </c>
      <c r="P40" s="5">
        <v>0</v>
      </c>
      <c r="Q40" s="5">
        <v>0</v>
      </c>
      <c r="R40" s="5">
        <v>0</v>
      </c>
      <c r="S40" s="6"/>
      <c r="T40" s="6"/>
      <c r="U40" s="6"/>
      <c r="V40" s="6"/>
      <c r="W40" s="6"/>
      <c r="X40" s="6"/>
      <c r="Y40" s="6"/>
      <c r="Z40" s="6"/>
      <c r="AA40" s="6"/>
      <c r="AB40" s="6"/>
      <c r="AC40" s="6"/>
      <c r="AD40" s="6"/>
      <c r="AE40" s="6"/>
      <c r="AF40" s="6"/>
      <c r="AG40">
        <f t="shared" si="4"/>
        <v>15</v>
      </c>
      <c r="AH40" s="10">
        <v>6</v>
      </c>
      <c r="AI40" s="10">
        <v>21</v>
      </c>
      <c r="AJ40" s="6">
        <f t="shared" si="5"/>
        <v>0</v>
      </c>
      <c r="AK40" s="6">
        <f t="shared" si="6"/>
        <v>0</v>
      </c>
      <c r="AL40" s="6">
        <f t="shared" si="7"/>
        <v>21</v>
      </c>
      <c r="AM40" s="6"/>
    </row>
    <row r="41" spans="1:39" ht="15.75">
      <c r="A41" s="3">
        <v>1170</v>
      </c>
      <c r="B41" s="4" t="s">
        <v>27</v>
      </c>
      <c r="C41" s="5" t="s">
        <v>64</v>
      </c>
      <c r="D41" s="5" t="s">
        <v>70</v>
      </c>
      <c r="E41" s="8">
        <v>41499</v>
      </c>
      <c r="F41" s="9">
        <v>2.8547945205479452</v>
      </c>
      <c r="G41" s="8">
        <v>35822</v>
      </c>
      <c r="H41" s="9">
        <v>18.408219178082192</v>
      </c>
      <c r="I41" s="5">
        <v>0</v>
      </c>
      <c r="J41" s="5">
        <v>0</v>
      </c>
      <c r="K41" s="5">
        <v>0</v>
      </c>
      <c r="L41" s="5">
        <v>0</v>
      </c>
      <c r="M41" s="5">
        <v>0</v>
      </c>
      <c r="N41" s="5">
        <v>0</v>
      </c>
      <c r="O41" s="5">
        <v>0</v>
      </c>
      <c r="P41" s="5">
        <v>0</v>
      </c>
      <c r="Q41" s="5">
        <v>0</v>
      </c>
      <c r="R41" s="5">
        <v>0</v>
      </c>
      <c r="S41" s="6"/>
      <c r="T41" s="6"/>
      <c r="U41" s="6"/>
      <c r="V41" s="6"/>
      <c r="W41" s="6"/>
      <c r="X41" s="6"/>
      <c r="Y41" s="6"/>
      <c r="Z41" s="6"/>
      <c r="AA41" s="6"/>
      <c r="AB41" s="6"/>
      <c r="AC41" s="6"/>
      <c r="AD41" s="6"/>
      <c r="AE41" s="6"/>
      <c r="AF41" s="6"/>
      <c r="AG41">
        <f t="shared" si="4"/>
        <v>15</v>
      </c>
      <c r="AH41" s="10">
        <v>6</v>
      </c>
      <c r="AI41" s="10">
        <v>21</v>
      </c>
      <c r="AJ41" s="6">
        <f t="shared" si="5"/>
        <v>0</v>
      </c>
      <c r="AK41" s="6">
        <f t="shared" si="6"/>
        <v>0</v>
      </c>
      <c r="AL41" s="6">
        <f t="shared" si="7"/>
        <v>21</v>
      </c>
      <c r="AM41" s="6"/>
    </row>
    <row r="42" spans="1:39" ht="15.75">
      <c r="A42" s="3">
        <v>1168</v>
      </c>
      <c r="B42" s="4" t="s">
        <v>26</v>
      </c>
      <c r="C42" s="5" t="s">
        <v>65</v>
      </c>
      <c r="D42" s="5" t="s">
        <v>70</v>
      </c>
      <c r="E42" s="8">
        <v>41498</v>
      </c>
      <c r="F42" s="9">
        <v>2.8575342465753426</v>
      </c>
      <c r="G42" s="8">
        <v>30929</v>
      </c>
      <c r="H42" s="9">
        <v>31.813698630136987</v>
      </c>
      <c r="I42" s="5">
        <v>0</v>
      </c>
      <c r="J42" s="5">
        <v>0</v>
      </c>
      <c r="K42" s="5">
        <v>0</v>
      </c>
      <c r="L42" s="5">
        <v>0</v>
      </c>
      <c r="M42" s="5">
        <v>0</v>
      </c>
      <c r="N42" s="5">
        <v>0</v>
      </c>
      <c r="O42" s="5">
        <v>0</v>
      </c>
      <c r="P42" s="5">
        <v>0</v>
      </c>
      <c r="Q42" s="5">
        <v>0</v>
      </c>
      <c r="R42" s="5">
        <v>0</v>
      </c>
      <c r="S42" s="6"/>
      <c r="T42" s="6"/>
      <c r="U42" s="6"/>
      <c r="V42" s="6"/>
      <c r="W42" s="6"/>
      <c r="X42" s="6"/>
      <c r="Y42" s="6"/>
      <c r="Z42" s="6"/>
      <c r="AA42" s="6"/>
      <c r="AB42" s="6"/>
      <c r="AC42" s="6"/>
      <c r="AD42" s="6"/>
      <c r="AE42" s="6"/>
      <c r="AF42" s="6"/>
      <c r="AG42">
        <f t="shared" si="4"/>
        <v>15</v>
      </c>
      <c r="AH42" s="10">
        <v>6</v>
      </c>
      <c r="AI42" s="10">
        <v>21</v>
      </c>
      <c r="AJ42" s="6">
        <f t="shared" si="5"/>
        <v>0</v>
      </c>
      <c r="AK42" s="6">
        <f t="shared" si="6"/>
        <v>0</v>
      </c>
      <c r="AL42" s="6">
        <f t="shared" si="7"/>
        <v>21</v>
      </c>
      <c r="AM42" s="6"/>
    </row>
    <row r="43" spans="1:39" ht="15.75">
      <c r="A43" s="3">
        <v>1166</v>
      </c>
      <c r="B43" s="4" t="s">
        <v>25</v>
      </c>
      <c r="C43" s="5" t="s">
        <v>66</v>
      </c>
      <c r="D43" s="5" t="s">
        <v>70</v>
      </c>
      <c r="E43" s="8">
        <v>41491</v>
      </c>
      <c r="F43" s="9">
        <v>2.8767123287671232</v>
      </c>
      <c r="G43" s="8">
        <v>29547</v>
      </c>
      <c r="H43" s="9">
        <v>35.6</v>
      </c>
      <c r="I43" s="5">
        <v>0</v>
      </c>
      <c r="J43" s="5">
        <v>0</v>
      </c>
      <c r="K43" s="5">
        <v>0</v>
      </c>
      <c r="L43" s="5">
        <v>0</v>
      </c>
      <c r="M43" s="5">
        <v>0</v>
      </c>
      <c r="N43" s="5">
        <v>0</v>
      </c>
      <c r="O43" s="5">
        <v>0</v>
      </c>
      <c r="P43" s="5">
        <v>0</v>
      </c>
      <c r="Q43" s="5">
        <v>0</v>
      </c>
      <c r="R43" s="5">
        <v>0</v>
      </c>
      <c r="S43" s="6"/>
      <c r="T43" s="6"/>
      <c r="U43" s="6"/>
      <c r="V43" s="6"/>
      <c r="W43" s="6"/>
      <c r="X43" s="6"/>
      <c r="Y43" s="6"/>
      <c r="Z43" s="6"/>
      <c r="AA43" s="6"/>
      <c r="AB43" s="6"/>
      <c r="AC43" s="6"/>
      <c r="AD43" s="6"/>
      <c r="AE43" s="6"/>
      <c r="AF43" s="6"/>
      <c r="AG43">
        <f t="shared" si="4"/>
        <v>15</v>
      </c>
      <c r="AH43" s="10">
        <v>6</v>
      </c>
      <c r="AI43" s="10">
        <v>21</v>
      </c>
      <c r="AJ43" s="6">
        <f t="shared" si="5"/>
        <v>0</v>
      </c>
      <c r="AK43" s="6">
        <f t="shared" si="6"/>
        <v>0</v>
      </c>
      <c r="AL43" s="6">
        <f t="shared" si="7"/>
        <v>21</v>
      </c>
      <c r="AM43" s="6"/>
    </row>
    <row r="44" spans="1:39" ht="15.75">
      <c r="A44" s="3">
        <v>1157</v>
      </c>
      <c r="B44" s="4" t="s">
        <v>23</v>
      </c>
      <c r="C44" s="5" t="s">
        <v>61</v>
      </c>
      <c r="D44" s="5" t="s">
        <v>70</v>
      </c>
      <c r="E44" s="8">
        <v>41385</v>
      </c>
      <c r="F44" s="9">
        <v>3.1671232876712327</v>
      </c>
      <c r="G44" s="8">
        <v>31306</v>
      </c>
      <c r="H44" s="9">
        <v>30.780821917808218</v>
      </c>
      <c r="I44" s="5">
        <v>0</v>
      </c>
      <c r="J44" s="5">
        <v>0</v>
      </c>
      <c r="K44" s="5">
        <v>0</v>
      </c>
      <c r="L44" s="5">
        <v>0</v>
      </c>
      <c r="M44" s="5">
        <v>0</v>
      </c>
      <c r="N44" s="5">
        <v>0</v>
      </c>
      <c r="O44" s="5">
        <v>0</v>
      </c>
      <c r="P44" s="5">
        <v>0</v>
      </c>
      <c r="Q44" s="5">
        <v>0</v>
      </c>
      <c r="R44" s="5">
        <v>0</v>
      </c>
      <c r="S44" s="6"/>
      <c r="T44" s="6"/>
      <c r="U44" s="6"/>
      <c r="V44" s="6"/>
      <c r="W44" s="6"/>
      <c r="X44" s="6"/>
      <c r="Y44" s="6"/>
      <c r="Z44" s="6"/>
      <c r="AA44" s="6"/>
      <c r="AB44" s="6"/>
      <c r="AC44" s="6"/>
      <c r="AD44" s="6"/>
      <c r="AE44" s="6"/>
      <c r="AF44" s="6"/>
      <c r="AG44">
        <f t="shared" si="4"/>
        <v>15</v>
      </c>
      <c r="AH44" s="10">
        <v>6</v>
      </c>
      <c r="AI44" s="10">
        <v>21</v>
      </c>
      <c r="AJ44" s="6">
        <f t="shared" si="5"/>
        <v>0</v>
      </c>
      <c r="AK44" s="6">
        <f t="shared" si="6"/>
        <v>0</v>
      </c>
      <c r="AL44" s="6">
        <f t="shared" si="7"/>
        <v>21</v>
      </c>
      <c r="AM44" s="6"/>
    </row>
    <row r="45" spans="1:39" ht="15.75">
      <c r="A45" s="3">
        <v>1142</v>
      </c>
      <c r="B45" s="4" t="s">
        <v>22</v>
      </c>
      <c r="C45" s="5" t="s">
        <v>67</v>
      </c>
      <c r="D45" s="5" t="s">
        <v>70</v>
      </c>
      <c r="E45" s="8">
        <v>41147</v>
      </c>
      <c r="F45" s="9">
        <v>3.8191780821917809</v>
      </c>
      <c r="G45" s="8">
        <v>32470</v>
      </c>
      <c r="H45" s="9">
        <v>27.591780821917808</v>
      </c>
      <c r="I45" s="5">
        <v>0</v>
      </c>
      <c r="J45" s="5">
        <v>0</v>
      </c>
      <c r="K45" s="5">
        <v>0</v>
      </c>
      <c r="L45" s="5">
        <v>0</v>
      </c>
      <c r="M45" s="5">
        <v>0</v>
      </c>
      <c r="N45" s="5">
        <v>0</v>
      </c>
      <c r="O45" s="5">
        <v>0</v>
      </c>
      <c r="P45" s="5">
        <v>0</v>
      </c>
      <c r="Q45" s="5">
        <v>0</v>
      </c>
      <c r="R45" s="5">
        <v>0</v>
      </c>
      <c r="S45" s="6"/>
      <c r="T45" s="6"/>
      <c r="U45" s="6"/>
      <c r="V45" s="6"/>
      <c r="W45" s="6"/>
      <c r="X45" s="6"/>
      <c r="Y45" s="6"/>
      <c r="Z45" s="6"/>
      <c r="AA45" s="6"/>
      <c r="AB45" s="6"/>
      <c r="AC45" s="6"/>
      <c r="AD45" s="6"/>
      <c r="AE45" s="6"/>
      <c r="AF45" s="6"/>
      <c r="AG45">
        <f t="shared" si="4"/>
        <v>15</v>
      </c>
      <c r="AH45" s="10">
        <v>6</v>
      </c>
      <c r="AI45" s="10">
        <v>21</v>
      </c>
      <c r="AJ45" s="6">
        <f t="shared" si="5"/>
        <v>0</v>
      </c>
      <c r="AK45" s="6">
        <f t="shared" si="6"/>
        <v>0</v>
      </c>
      <c r="AL45" s="6">
        <f t="shared" si="7"/>
        <v>21</v>
      </c>
      <c r="AM45" s="6"/>
    </row>
    <row r="46" spans="1:39" ht="15.75">
      <c r="A46" s="3">
        <v>1126</v>
      </c>
      <c r="B46" s="4" t="s">
        <v>21</v>
      </c>
      <c r="C46" s="5" t="s">
        <v>60</v>
      </c>
      <c r="D46" s="5" t="s">
        <v>70</v>
      </c>
      <c r="E46" s="8">
        <v>40544</v>
      </c>
      <c r="F46" s="9">
        <v>5.4712328767123291</v>
      </c>
      <c r="G46" s="8">
        <v>34003</v>
      </c>
      <c r="H46" s="9">
        <v>23.391780821917809</v>
      </c>
      <c r="I46" s="5">
        <v>0</v>
      </c>
      <c r="J46" s="5">
        <v>0</v>
      </c>
      <c r="K46" s="5">
        <v>0</v>
      </c>
      <c r="L46" s="5">
        <v>0</v>
      </c>
      <c r="M46" s="5">
        <v>0</v>
      </c>
      <c r="N46" s="5">
        <v>0</v>
      </c>
      <c r="O46" s="5">
        <v>0</v>
      </c>
      <c r="P46" s="5">
        <v>0</v>
      </c>
      <c r="Q46" s="5">
        <v>0</v>
      </c>
      <c r="R46" s="5">
        <v>0</v>
      </c>
      <c r="S46" s="6"/>
      <c r="T46" s="6"/>
      <c r="U46" s="6"/>
      <c r="V46" s="6"/>
      <c r="W46" s="6"/>
      <c r="X46" s="6"/>
      <c r="Y46" s="6"/>
      <c r="Z46" s="6"/>
      <c r="AA46" s="6"/>
      <c r="AB46" s="6"/>
      <c r="AC46" s="6"/>
      <c r="AD46" s="6"/>
      <c r="AE46" s="6"/>
      <c r="AF46" s="6"/>
      <c r="AG46">
        <f t="shared" si="4"/>
        <v>15</v>
      </c>
      <c r="AH46" s="10">
        <v>6</v>
      </c>
      <c r="AI46" s="10">
        <v>21</v>
      </c>
      <c r="AJ46" s="6">
        <f t="shared" si="5"/>
        <v>0</v>
      </c>
      <c r="AK46" s="6">
        <f t="shared" si="6"/>
        <v>0</v>
      </c>
      <c r="AL46" s="6">
        <f t="shared" si="7"/>
        <v>21</v>
      </c>
      <c r="AM46" s="6"/>
    </row>
    <row r="47" spans="1:39" ht="15.75">
      <c r="A47" s="3">
        <v>1125</v>
      </c>
      <c r="B47" s="4" t="s">
        <v>20</v>
      </c>
      <c r="C47" s="5" t="s">
        <v>60</v>
      </c>
      <c r="D47" s="5" t="s">
        <v>70</v>
      </c>
      <c r="E47" s="8">
        <v>40544</v>
      </c>
      <c r="F47" s="9">
        <v>5.4712328767123291</v>
      </c>
      <c r="G47" s="8">
        <v>28494</v>
      </c>
      <c r="H47" s="9">
        <v>38.484931506849314</v>
      </c>
      <c r="I47" s="5">
        <v>0</v>
      </c>
      <c r="J47" s="5">
        <v>0</v>
      </c>
      <c r="K47" s="5">
        <v>0</v>
      </c>
      <c r="L47" s="5">
        <v>0</v>
      </c>
      <c r="M47" s="5">
        <v>0</v>
      </c>
      <c r="N47" s="5">
        <v>0</v>
      </c>
      <c r="O47" s="5">
        <v>0</v>
      </c>
      <c r="P47" s="5">
        <v>0</v>
      </c>
      <c r="Q47" s="5">
        <v>0</v>
      </c>
      <c r="R47" s="5">
        <v>0</v>
      </c>
      <c r="S47" s="6"/>
      <c r="T47" s="6"/>
      <c r="U47" s="6"/>
      <c r="V47" s="6"/>
      <c r="W47" s="6"/>
      <c r="X47" s="6"/>
      <c r="Y47" s="6"/>
      <c r="Z47" s="6"/>
      <c r="AA47" s="6"/>
      <c r="AB47" s="6"/>
      <c r="AC47" s="6"/>
      <c r="AD47" s="6"/>
      <c r="AE47" s="6"/>
      <c r="AF47" s="6"/>
      <c r="AG47">
        <f t="shared" si="4"/>
        <v>15</v>
      </c>
      <c r="AH47" s="10">
        <v>6</v>
      </c>
      <c r="AI47" s="10">
        <v>21</v>
      </c>
      <c r="AJ47" s="6">
        <f t="shared" si="5"/>
        <v>0</v>
      </c>
      <c r="AK47" s="6">
        <f t="shared" si="6"/>
        <v>0</v>
      </c>
      <c r="AL47" s="6">
        <f t="shared" si="7"/>
        <v>21</v>
      </c>
      <c r="AM47" s="6"/>
    </row>
    <row r="48" spans="1:39" ht="15.75">
      <c r="A48" s="3">
        <v>1117</v>
      </c>
      <c r="B48" s="4" t="s">
        <v>19</v>
      </c>
      <c r="C48" s="5" t="s">
        <v>67</v>
      </c>
      <c r="D48" s="5" t="s">
        <v>70</v>
      </c>
      <c r="E48" s="8">
        <v>40179</v>
      </c>
      <c r="F48" s="9">
        <v>6.4712328767123291</v>
      </c>
      <c r="G48" s="8">
        <v>31565</v>
      </c>
      <c r="H48" s="9">
        <v>30.07123287671233</v>
      </c>
      <c r="I48" s="5">
        <v>0</v>
      </c>
      <c r="J48" s="5">
        <v>0</v>
      </c>
      <c r="K48" s="5">
        <v>0</v>
      </c>
      <c r="L48" s="5">
        <v>0</v>
      </c>
      <c r="M48" s="5">
        <v>0</v>
      </c>
      <c r="N48" s="5">
        <v>0</v>
      </c>
      <c r="O48" s="5">
        <v>0</v>
      </c>
      <c r="P48" s="5">
        <v>0</v>
      </c>
      <c r="Q48" s="5">
        <v>0</v>
      </c>
      <c r="R48" s="5">
        <v>0</v>
      </c>
      <c r="S48" s="6"/>
      <c r="T48" s="6"/>
      <c r="U48" s="6"/>
      <c r="V48" s="6"/>
      <c r="W48" s="6"/>
      <c r="X48" s="6"/>
      <c r="Y48" s="6"/>
      <c r="Z48" s="6"/>
      <c r="AA48" s="6"/>
      <c r="AB48" s="6"/>
      <c r="AC48" s="6"/>
      <c r="AD48" s="6"/>
      <c r="AE48" s="6"/>
      <c r="AF48" s="6"/>
      <c r="AG48">
        <f t="shared" si="4"/>
        <v>15</v>
      </c>
      <c r="AH48" s="10">
        <v>6</v>
      </c>
      <c r="AI48" s="10">
        <v>21</v>
      </c>
      <c r="AJ48" s="6">
        <f t="shared" si="5"/>
        <v>0</v>
      </c>
      <c r="AK48" s="6">
        <f t="shared" si="6"/>
        <v>0</v>
      </c>
      <c r="AL48" s="6">
        <f t="shared" si="7"/>
        <v>21</v>
      </c>
      <c r="AM48" s="6"/>
    </row>
    <row r="49" spans="1:39" ht="15.75">
      <c r="A49" s="3">
        <v>1110</v>
      </c>
      <c r="B49" s="4" t="s">
        <v>18</v>
      </c>
      <c r="C49" s="5" t="s">
        <v>68</v>
      </c>
      <c r="D49" s="5" t="s">
        <v>70</v>
      </c>
      <c r="E49" s="8">
        <v>39965</v>
      </c>
      <c r="F49" s="9">
        <v>7.0575342465753428</v>
      </c>
      <c r="G49" s="8">
        <v>29968</v>
      </c>
      <c r="H49" s="9">
        <v>34.446575342465756</v>
      </c>
      <c r="I49" s="5">
        <v>0</v>
      </c>
      <c r="J49" s="5">
        <v>0</v>
      </c>
      <c r="K49" s="5">
        <v>0</v>
      </c>
      <c r="L49" s="5">
        <v>0</v>
      </c>
      <c r="M49" s="5">
        <v>0</v>
      </c>
      <c r="N49" s="5">
        <v>0</v>
      </c>
      <c r="O49" s="5">
        <v>0</v>
      </c>
      <c r="P49" s="5">
        <v>0</v>
      </c>
      <c r="Q49" s="5">
        <v>0</v>
      </c>
      <c r="R49" s="5">
        <v>0</v>
      </c>
      <c r="S49" s="6"/>
      <c r="T49" s="6"/>
      <c r="U49" s="6"/>
      <c r="V49" s="6"/>
      <c r="W49" s="6"/>
      <c r="X49" s="6"/>
      <c r="Y49" s="6"/>
      <c r="Z49" s="6"/>
      <c r="AA49" s="6"/>
      <c r="AB49" s="6"/>
      <c r="AC49" s="6"/>
      <c r="AD49" s="6"/>
      <c r="AE49" s="6"/>
      <c r="AF49" s="6"/>
      <c r="AG49">
        <f t="shared" si="4"/>
        <v>15</v>
      </c>
      <c r="AH49" s="10">
        <v>6</v>
      </c>
      <c r="AI49" s="10">
        <v>21</v>
      </c>
      <c r="AJ49" s="6">
        <f t="shared" si="5"/>
        <v>0</v>
      </c>
      <c r="AK49" s="6">
        <f t="shared" si="6"/>
        <v>0</v>
      </c>
      <c r="AL49" s="6">
        <f t="shared" si="7"/>
        <v>21</v>
      </c>
      <c r="AM49" s="6"/>
    </row>
    <row r="50" spans="1:39" ht="15.75">
      <c r="A50" s="3">
        <v>1072</v>
      </c>
      <c r="B50" s="4" t="s">
        <v>15</v>
      </c>
      <c r="C50" s="5" t="s">
        <v>66</v>
      </c>
      <c r="D50" s="5" t="s">
        <v>70</v>
      </c>
      <c r="E50" s="8">
        <v>39376</v>
      </c>
      <c r="F50" s="9">
        <v>8.6712328767123292</v>
      </c>
      <c r="G50" s="8">
        <v>33617</v>
      </c>
      <c r="H50" s="9">
        <v>24.449315068493149</v>
      </c>
      <c r="I50" s="5">
        <v>0</v>
      </c>
      <c r="J50" s="5">
        <v>0</v>
      </c>
      <c r="K50" s="5">
        <v>0</v>
      </c>
      <c r="L50" s="5">
        <v>0</v>
      </c>
      <c r="M50" s="5">
        <v>0</v>
      </c>
      <c r="N50" s="5">
        <v>0</v>
      </c>
      <c r="O50" s="5">
        <v>0</v>
      </c>
      <c r="P50" s="5">
        <v>0</v>
      </c>
      <c r="Q50" s="5">
        <v>0</v>
      </c>
      <c r="R50" s="5">
        <v>0</v>
      </c>
      <c r="S50" s="6"/>
      <c r="T50" s="6"/>
      <c r="U50" s="6"/>
      <c r="V50" s="6"/>
      <c r="W50" s="6"/>
      <c r="X50" s="6"/>
      <c r="Y50" s="6"/>
      <c r="Z50" s="6"/>
      <c r="AA50" s="6"/>
      <c r="AB50" s="6"/>
      <c r="AC50" s="6"/>
      <c r="AD50" s="6"/>
      <c r="AE50" s="6"/>
      <c r="AF50" s="6"/>
      <c r="AG50">
        <f t="shared" si="4"/>
        <v>15</v>
      </c>
      <c r="AH50" s="10">
        <v>6</v>
      </c>
      <c r="AI50" s="10">
        <v>21</v>
      </c>
      <c r="AJ50" s="6">
        <f t="shared" si="5"/>
        <v>0</v>
      </c>
      <c r="AK50" s="6">
        <f t="shared" si="6"/>
        <v>0</v>
      </c>
      <c r="AL50" s="6">
        <f t="shared" si="7"/>
        <v>21</v>
      </c>
      <c r="AM50" s="6"/>
    </row>
    <row r="51" spans="1:39" ht="15.75">
      <c r="A51" s="3">
        <v>1064</v>
      </c>
      <c r="B51" s="4" t="s">
        <v>14</v>
      </c>
      <c r="C51" s="5" t="s">
        <v>67</v>
      </c>
      <c r="D51" s="5" t="s">
        <v>70</v>
      </c>
      <c r="E51" s="8">
        <v>39209</v>
      </c>
      <c r="F51" s="9">
        <v>9.1287671232876715</v>
      </c>
      <c r="G51" s="8">
        <v>32937</v>
      </c>
      <c r="H51" s="9">
        <v>26.312328767123287</v>
      </c>
      <c r="I51" s="5">
        <v>0</v>
      </c>
      <c r="J51" s="5">
        <v>0</v>
      </c>
      <c r="K51" s="5">
        <v>0</v>
      </c>
      <c r="L51" s="5">
        <v>0</v>
      </c>
      <c r="M51" s="5">
        <v>0</v>
      </c>
      <c r="N51" s="5">
        <v>0</v>
      </c>
      <c r="O51" s="5">
        <v>0</v>
      </c>
      <c r="P51" s="5">
        <v>0</v>
      </c>
      <c r="Q51" s="5">
        <v>0</v>
      </c>
      <c r="R51" s="5">
        <v>0</v>
      </c>
      <c r="S51" s="6"/>
      <c r="T51" s="6"/>
      <c r="U51" s="6"/>
      <c r="V51" s="6"/>
      <c r="W51" s="6"/>
      <c r="X51" s="6"/>
      <c r="Y51" s="6"/>
      <c r="Z51" s="6"/>
      <c r="AA51" s="6"/>
      <c r="AB51" s="6"/>
      <c r="AC51" s="6"/>
      <c r="AD51" s="6"/>
      <c r="AE51" s="6"/>
      <c r="AF51" s="6"/>
      <c r="AG51">
        <f t="shared" si="4"/>
        <v>15</v>
      </c>
      <c r="AH51" s="10">
        <v>6</v>
      </c>
      <c r="AI51" s="10">
        <v>21</v>
      </c>
      <c r="AJ51" s="6">
        <f t="shared" si="5"/>
        <v>0</v>
      </c>
      <c r="AK51" s="6">
        <f t="shared" si="6"/>
        <v>0</v>
      </c>
      <c r="AL51" s="6">
        <f t="shared" si="7"/>
        <v>21</v>
      </c>
      <c r="AM51" s="6"/>
    </row>
    <row r="52" spans="1:39" ht="15.75">
      <c r="A52" s="3">
        <v>1043</v>
      </c>
      <c r="B52" s="4" t="s">
        <v>11</v>
      </c>
      <c r="C52" s="5" t="s">
        <v>67</v>
      </c>
      <c r="D52" s="5" t="s">
        <v>70</v>
      </c>
      <c r="E52" s="8">
        <v>37712</v>
      </c>
      <c r="F52" s="9">
        <v>13.230136986301369</v>
      </c>
      <c r="G52" s="8">
        <v>28048</v>
      </c>
      <c r="H52" s="9">
        <v>39.706849315068496</v>
      </c>
      <c r="I52" s="5">
        <v>0</v>
      </c>
      <c r="J52" s="5">
        <v>0</v>
      </c>
      <c r="K52" s="5">
        <v>0</v>
      </c>
      <c r="L52" s="5">
        <v>0</v>
      </c>
      <c r="M52" s="5">
        <v>0</v>
      </c>
      <c r="N52" s="5">
        <v>0</v>
      </c>
      <c r="O52" s="5">
        <v>0</v>
      </c>
      <c r="P52" s="5">
        <v>0</v>
      </c>
      <c r="Q52" s="5">
        <v>0</v>
      </c>
      <c r="R52" s="5">
        <v>0</v>
      </c>
      <c r="S52" s="6"/>
      <c r="T52" s="6"/>
      <c r="U52" s="6"/>
      <c r="V52" s="6"/>
      <c r="W52" s="6"/>
      <c r="X52" s="6"/>
      <c r="Y52" s="6"/>
      <c r="Z52" s="6"/>
      <c r="AA52" s="6"/>
      <c r="AB52" s="6"/>
      <c r="AC52" s="6"/>
      <c r="AD52" s="6"/>
      <c r="AE52" s="6"/>
      <c r="AF52" s="6"/>
      <c r="AG52">
        <f t="shared" si="4"/>
        <v>24</v>
      </c>
      <c r="AH52" s="10">
        <v>6</v>
      </c>
      <c r="AI52" s="10">
        <v>30</v>
      </c>
      <c r="AJ52" s="6">
        <f t="shared" si="5"/>
        <v>0</v>
      </c>
      <c r="AK52" s="6">
        <f t="shared" si="6"/>
        <v>0</v>
      </c>
      <c r="AL52" s="6">
        <f t="shared" si="7"/>
        <v>30</v>
      </c>
      <c r="AM52" s="6" t="s">
        <v>83</v>
      </c>
    </row>
    <row r="53" spans="1:39" ht="15.75">
      <c r="A53" s="3">
        <v>1036</v>
      </c>
      <c r="B53" s="4" t="s">
        <v>10</v>
      </c>
      <c r="C53" s="5" t="s">
        <v>67</v>
      </c>
      <c r="D53" s="5" t="s">
        <v>70</v>
      </c>
      <c r="E53" s="8">
        <v>37083</v>
      </c>
      <c r="F53" s="9">
        <v>14.953424657534246</v>
      </c>
      <c r="G53" s="8">
        <v>23020</v>
      </c>
      <c r="H53" s="9">
        <v>53.482191780821921</v>
      </c>
      <c r="I53" s="5">
        <v>0</v>
      </c>
      <c r="J53" s="5">
        <v>0</v>
      </c>
      <c r="K53" s="5">
        <v>0</v>
      </c>
      <c r="L53" s="5">
        <v>0</v>
      </c>
      <c r="M53" s="5">
        <v>0</v>
      </c>
      <c r="N53" s="5">
        <v>0</v>
      </c>
      <c r="O53" s="5">
        <v>0</v>
      </c>
      <c r="P53" s="5">
        <v>0</v>
      </c>
      <c r="Q53" s="5">
        <v>0</v>
      </c>
      <c r="R53" s="5">
        <v>0</v>
      </c>
      <c r="S53" s="6"/>
      <c r="T53" s="6"/>
      <c r="U53" s="6"/>
      <c r="V53" s="6"/>
      <c r="W53" s="6"/>
      <c r="X53" s="6"/>
      <c r="Y53" s="6"/>
      <c r="Z53" s="6"/>
      <c r="AA53" s="6"/>
      <c r="AB53" s="6"/>
      <c r="AC53" s="6"/>
      <c r="AD53" s="6"/>
      <c r="AE53" s="6"/>
      <c r="AF53" s="6"/>
      <c r="AG53">
        <f t="shared" si="4"/>
        <v>24</v>
      </c>
      <c r="AH53" s="10">
        <v>6</v>
      </c>
      <c r="AI53" s="10">
        <v>30</v>
      </c>
      <c r="AJ53" s="6">
        <f t="shared" si="5"/>
        <v>0</v>
      </c>
      <c r="AK53" s="6">
        <f t="shared" si="6"/>
        <v>0</v>
      </c>
      <c r="AL53" s="6">
        <f t="shared" si="7"/>
        <v>30</v>
      </c>
      <c r="AM53" s="6" t="s">
        <v>84</v>
      </c>
    </row>
  </sheetData>
  <mergeCells count="24">
    <mergeCell ref="AM1:AM2"/>
    <mergeCell ref="Q1:R1"/>
    <mergeCell ref="S1:T1"/>
    <mergeCell ref="U1:V1"/>
    <mergeCell ref="W1:X1"/>
    <mergeCell ref="Y1:Z1"/>
    <mergeCell ref="AA1:AB1"/>
    <mergeCell ref="AC1:AD1"/>
    <mergeCell ref="AE1:AF1"/>
    <mergeCell ref="AG1:AI1"/>
    <mergeCell ref="AJ1:AK1"/>
    <mergeCell ref="AL1:AL2"/>
    <mergeCell ref="O1:P1"/>
    <mergeCell ref="A1:A2"/>
    <mergeCell ref="B1:B2"/>
    <mergeCell ref="C1:C2"/>
    <mergeCell ref="D1:D2"/>
    <mergeCell ref="E1:E2"/>
    <mergeCell ref="F1:F2"/>
    <mergeCell ref="G1:G2"/>
    <mergeCell ref="H1:H2"/>
    <mergeCell ref="I1:J1"/>
    <mergeCell ref="K1:L1"/>
    <mergeCell ref="M1:N1"/>
  </mergeCells>
  <conditionalFormatting sqref="AL1:AL2">
    <cfRule type="cellIs" dxfId="2" priority="3" operator="lessThan">
      <formula>0</formula>
    </cfRule>
  </conditionalFormatting>
  <conditionalFormatting sqref="AK3:AK53">
    <cfRule type="cellIs" dxfId="1" priority="2" operator="greaterThan">
      <formula>6</formula>
    </cfRule>
  </conditionalFormatting>
  <conditionalFormatting sqref="AL3:AL53">
    <cfRule type="cellIs" dxfId="0"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امثله وقواعد عامه</vt:lpstr>
      <vt:lpstr>رصيد الاجازات </vt:lpstr>
      <vt:lpstr>التبين وقارون</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Ahmed-Anwar</dc:creator>
  <cp:lastModifiedBy>pc7</cp:lastModifiedBy>
  <cp:lastPrinted>2017-09-11T11:23:08Z</cp:lastPrinted>
  <dcterms:created xsi:type="dcterms:W3CDTF">2016-06-07T11:16:36Z</dcterms:created>
  <dcterms:modified xsi:type="dcterms:W3CDTF">2022-03-01T07:21:19Z</dcterms:modified>
</cp:coreProperties>
</file>