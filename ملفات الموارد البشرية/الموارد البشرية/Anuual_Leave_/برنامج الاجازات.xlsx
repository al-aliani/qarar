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490" windowHeight="7050" activeTab="1"/>
  </bookViews>
  <sheets>
    <sheet name="الصفحة الرئيسية" sheetId="3" r:id="rId1"/>
    <sheet name="برنامج الاجازات " sheetId="1" r:id="rId2"/>
    <sheet name="كارت رصيد الاجازات " sheetId="2" r:id="rId3"/>
  </sheets>
  <definedNames>
    <definedName name="_xlnm._FilterDatabase" localSheetId="1" hidden="1">'برنامج الاجازات '!$A$4:$L$29</definedName>
    <definedName name="_xlnm.Print_Area" localSheetId="2">'كارت رصيد الاجازات '!$A$1:$I$28</definedName>
  </definedNames>
  <calcPr calcId="144525"/>
</workbook>
</file>

<file path=xl/calcChain.xml><?xml version="1.0" encoding="utf-8"?>
<calcChain xmlns="http://schemas.openxmlformats.org/spreadsheetml/2006/main">
  <c r="I22" i="2" l="1"/>
  <c r="I21" i="2"/>
  <c r="I20" i="2"/>
  <c r="I19" i="2"/>
  <c r="I18" i="2"/>
  <c r="C16" i="2"/>
  <c r="H14" i="2"/>
  <c r="C14" i="2"/>
  <c r="H12" i="2"/>
  <c r="C12" i="2"/>
  <c r="C10" i="2"/>
  <c r="U30" i="1" l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F100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Q39" i="1" l="1"/>
  <c r="Q96" i="1"/>
  <c r="Q99" i="1"/>
  <c r="Q97" i="1"/>
  <c r="Q95" i="1"/>
  <c r="Q93" i="1"/>
  <c r="Q91" i="1"/>
  <c r="Q89" i="1"/>
  <c r="Q87" i="1"/>
  <c r="Q85" i="1"/>
  <c r="Q83" i="1"/>
  <c r="Q81" i="1"/>
  <c r="Q79" i="1"/>
  <c r="Q77" i="1"/>
  <c r="Q75" i="1"/>
  <c r="Q73" i="1"/>
  <c r="Q71" i="1"/>
  <c r="Q69" i="1"/>
  <c r="Q67" i="1"/>
  <c r="Q65" i="1"/>
  <c r="Q63" i="1"/>
  <c r="Q61" i="1"/>
  <c r="Q59" i="1"/>
  <c r="Q57" i="1"/>
  <c r="Q55" i="1"/>
  <c r="Q53" i="1"/>
  <c r="Q51" i="1"/>
  <c r="Q49" i="1"/>
  <c r="Q47" i="1"/>
  <c r="Q45" i="1"/>
  <c r="Q43" i="1"/>
  <c r="Q37" i="1"/>
  <c r="Q35" i="1"/>
  <c r="Q33" i="1"/>
  <c r="Q31" i="1"/>
  <c r="Q100" i="1"/>
  <c r="Q98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2" i="1"/>
  <c r="Q50" i="1"/>
  <c r="Q48" i="1"/>
  <c r="Q46" i="1"/>
  <c r="Q44" i="1"/>
  <c r="Q42" i="1"/>
  <c r="Q40" i="1"/>
  <c r="Q38" i="1"/>
  <c r="Q36" i="1"/>
  <c r="Q34" i="1"/>
  <c r="Q32" i="1"/>
  <c r="Q30" i="1"/>
  <c r="Q54" i="1"/>
  <c r="Q41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F7" i="1"/>
  <c r="F6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J29" i="1" s="1"/>
  <c r="U5" i="1"/>
  <c r="T5" i="1"/>
  <c r="S5" i="1"/>
  <c r="O5" i="1"/>
  <c r="N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5" i="1" l="1"/>
  <c r="J20" i="1"/>
  <c r="J21" i="1"/>
  <c r="J22" i="1"/>
  <c r="J23" i="1"/>
  <c r="J24" i="1"/>
  <c r="J25" i="1"/>
  <c r="J26" i="1"/>
  <c r="J27" i="1"/>
  <c r="J28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Q6" i="1"/>
  <c r="Q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5" i="1"/>
  <c r="Q26" i="1" l="1"/>
  <c r="Q24" i="1"/>
  <c r="Q22" i="1"/>
  <c r="Q20" i="1"/>
  <c r="Q18" i="1"/>
  <c r="Q16" i="1"/>
  <c r="Q14" i="1"/>
  <c r="Q12" i="1"/>
  <c r="Q10" i="1"/>
  <c r="Q8" i="1"/>
  <c r="Q28" i="1"/>
  <c r="Q29" i="1"/>
  <c r="Q27" i="1"/>
  <c r="Q25" i="1"/>
  <c r="Q23" i="1"/>
  <c r="Q21" i="1"/>
  <c r="Q19" i="1"/>
  <c r="Q17" i="1"/>
  <c r="Q15" i="1"/>
  <c r="Q13" i="1"/>
  <c r="Q11" i="1"/>
  <c r="Q9" i="1"/>
  <c r="Q5" i="1"/>
  <c r="I24" i="2"/>
  <c r="K5" i="1"/>
  <c r="I6" i="1"/>
  <c r="J6" i="1" s="1"/>
  <c r="I5" i="1"/>
  <c r="J5" i="1" s="1"/>
</calcChain>
</file>

<file path=xl/sharedStrings.xml><?xml version="1.0" encoding="utf-8"?>
<sst xmlns="http://schemas.openxmlformats.org/spreadsheetml/2006/main" count="217" uniqueCount="79">
  <si>
    <t>تاريخ التعيين</t>
  </si>
  <si>
    <t>تاريخ الاستحقاق</t>
  </si>
  <si>
    <t xml:space="preserve">رقم الموظف </t>
  </si>
  <si>
    <t xml:space="preserve">الاسم </t>
  </si>
  <si>
    <t>المسمي الوظيفي</t>
  </si>
  <si>
    <t>الادارة / المشروع</t>
  </si>
  <si>
    <t xml:space="preserve">كارت رصيد الاجازات </t>
  </si>
  <si>
    <t>تاريخ استحقاق الرصيد السنوى</t>
  </si>
  <si>
    <t>HR Specialist</t>
  </si>
  <si>
    <t>رصيد الاعتيادى المستهلك</t>
  </si>
  <si>
    <t>رصيد العارضة المستهلك</t>
  </si>
  <si>
    <t xml:space="preserve">اجازة مرضي </t>
  </si>
  <si>
    <t xml:space="preserve">اجازة بدون أجر </t>
  </si>
  <si>
    <t>باقي رصيد الاجازات</t>
  </si>
  <si>
    <t>الوظيفة</t>
  </si>
  <si>
    <t xml:space="preserve">الادارة / المشروع </t>
  </si>
  <si>
    <t>تاريخ الميلاد</t>
  </si>
  <si>
    <t>المدة التأمينية</t>
  </si>
  <si>
    <t xml:space="preserve">هل يستحق اجازة ؟ </t>
  </si>
  <si>
    <t>عدد شهور العمل</t>
  </si>
  <si>
    <t>العمر</t>
  </si>
  <si>
    <t xml:space="preserve">الرصيد السنوى </t>
  </si>
  <si>
    <t>عودة</t>
  </si>
  <si>
    <t>اجازة بدل راحة</t>
  </si>
  <si>
    <t>الاعتيادى</t>
  </si>
  <si>
    <t>العارضة</t>
  </si>
  <si>
    <t>المجموع</t>
  </si>
  <si>
    <t>باقي الرصيد</t>
  </si>
  <si>
    <t>إعتيادى</t>
  </si>
  <si>
    <t>مرضي</t>
  </si>
  <si>
    <t xml:space="preserve">بدون أجر </t>
  </si>
  <si>
    <t>بدل راحة</t>
  </si>
  <si>
    <t xml:space="preserve">عارضة </t>
  </si>
  <si>
    <t xml:space="preserve">مرضي </t>
  </si>
  <si>
    <t>يناير</t>
  </si>
  <si>
    <t>فبراير</t>
  </si>
  <si>
    <t>مارس</t>
  </si>
  <si>
    <t>مايو</t>
  </si>
  <si>
    <t>سبتمبر</t>
  </si>
  <si>
    <t>نوفمبر</t>
  </si>
  <si>
    <t xml:space="preserve">الرصــــــــــــــــيد السنوى </t>
  </si>
  <si>
    <t xml:space="preserve">الرصيد السنوي </t>
  </si>
  <si>
    <t>أجازات خارج الرصيد السنوي</t>
  </si>
  <si>
    <t>Medhat Elsawy</t>
  </si>
  <si>
    <t>مراقب مخازن</t>
  </si>
  <si>
    <t>محاسبة</t>
  </si>
  <si>
    <t>مندوب</t>
  </si>
  <si>
    <t>مساعد</t>
  </si>
  <si>
    <t>مدير انتاج</t>
  </si>
  <si>
    <t>رئيس قسم القص</t>
  </si>
  <si>
    <t>مشرف سائقين</t>
  </si>
  <si>
    <t>سائق</t>
  </si>
  <si>
    <t>عامل مكبس</t>
  </si>
  <si>
    <t>خدمات</t>
  </si>
  <si>
    <t>فني تكسير</t>
  </si>
  <si>
    <t>فني تجليد</t>
  </si>
  <si>
    <t>مساعد اول تجليد</t>
  </si>
  <si>
    <t>فني طباعة</t>
  </si>
  <si>
    <t>مساعد تكسير</t>
  </si>
  <si>
    <t>مساعد ظرف الي</t>
  </si>
  <si>
    <t>مساعد قص</t>
  </si>
  <si>
    <t>امين مخزن</t>
  </si>
  <si>
    <t>مساعد اول تكسير</t>
  </si>
  <si>
    <t>فني قص</t>
  </si>
  <si>
    <t>مساعد تجليد</t>
  </si>
  <si>
    <t>مساعد اول طباعة</t>
  </si>
  <si>
    <t>مساعد اول ماكينة ظرف الي</t>
  </si>
  <si>
    <t>مساعد طباعة</t>
  </si>
  <si>
    <t>اخصائي موارد بشرية</t>
  </si>
  <si>
    <t xml:space="preserve">مشتريات </t>
  </si>
  <si>
    <t xml:space="preserve">مساعد ماكينة ظرف الي </t>
  </si>
  <si>
    <t>الانتاج</t>
  </si>
  <si>
    <t>الحركة</t>
  </si>
  <si>
    <t>اغسطس</t>
  </si>
  <si>
    <t>اكتوبر</t>
  </si>
  <si>
    <t>دبسمبر</t>
  </si>
  <si>
    <t>ابريل</t>
  </si>
  <si>
    <t>يونيه</t>
  </si>
  <si>
    <t>يوليو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</si>
</sst>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6"/>
      <color theme="0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36"/>
      <color theme="0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u/>
      <vertAlign val="superscript"/>
      <sz val="26"/>
      <name val="Calibri"/>
      <family val="2"/>
      <scheme val="minor"/>
    </font>
    <font>
      <b/>
      <u/>
      <vertAlign val="superscript"/>
      <sz val="18"/>
      <name val="Calibri"/>
      <family val="2"/>
      <scheme val="minor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0"/>
      <color theme="0"/>
      <name val="Blackadder ITC"/>
      <family val="5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medium">
        <color auto="1"/>
      </top>
      <bottom/>
      <diagonal/>
    </border>
    <border>
      <left style="hair">
        <color auto="1"/>
      </left>
      <right style="double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" fillId="0" borderId="0"/>
  </cellStyleXfs>
  <cellXfs count="153">
    <xf numFmtId="0" fontId="0" fillId="0" borderId="0" xfId="0"/>
    <xf numFmtId="0" fontId="0" fillId="3" borderId="0" xfId="0" applyFill="1" applyAlignment="1" applyProtection="1">
      <alignment horizontal="center" vertical="center"/>
      <protection locked="0"/>
    </xf>
    <xf numFmtId="164" fontId="0" fillId="3" borderId="0" xfId="0" applyNumberFormat="1" applyFill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164" fontId="3" fillId="2" borderId="0" xfId="0" applyNumberFormat="1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Border="1" applyAlignment="1" applyProtection="1">
      <alignment horizontal="center" vertical="center"/>
      <protection locked="0"/>
    </xf>
    <xf numFmtId="0" fontId="3" fillId="2" borderId="48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49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3" borderId="0" xfId="0" applyFont="1" applyFill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0" borderId="49" xfId="0" applyFont="1" applyBorder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3" borderId="0" xfId="0" applyFill="1" applyProtection="1"/>
    <xf numFmtId="0" fontId="3" fillId="2" borderId="0" xfId="0" applyFont="1" applyFill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</xf>
    <xf numFmtId="0" fontId="0" fillId="0" borderId="0" xfId="0" applyProtection="1"/>
    <xf numFmtId="0" fontId="0" fillId="3" borderId="0" xfId="0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164" fontId="0" fillId="3" borderId="0" xfId="0" applyNumberFormat="1" applyFill="1" applyProtection="1"/>
    <xf numFmtId="164" fontId="3" fillId="2" borderId="0" xfId="0" applyNumberFormat="1" applyFont="1" applyFill="1" applyAlignment="1" applyProtection="1">
      <alignment horizontal="center" vertical="center"/>
    </xf>
    <xf numFmtId="164" fontId="0" fillId="0" borderId="0" xfId="0" applyNumberFormat="1" applyProtection="1"/>
    <xf numFmtId="0" fontId="3" fillId="2" borderId="0" xfId="0" applyFont="1" applyFill="1" applyAlignment="1" applyProtection="1">
      <alignment horizontal="center" vertical="center" wrapText="1"/>
    </xf>
    <xf numFmtId="0" fontId="3" fillId="2" borderId="45" xfId="0" applyFont="1" applyFill="1" applyBorder="1" applyAlignment="1" applyProtection="1">
      <alignment horizontal="center" vertical="center"/>
    </xf>
    <xf numFmtId="0" fontId="3" fillId="2" borderId="46" xfId="0" applyFont="1" applyFill="1" applyBorder="1" applyAlignment="1" applyProtection="1">
      <alignment horizontal="center" vertical="center"/>
    </xf>
    <xf numFmtId="0" fontId="3" fillId="2" borderId="47" xfId="0" applyFont="1" applyFill="1" applyBorder="1" applyAlignment="1" applyProtection="1">
      <alignment horizontal="center" vertical="center" wrapText="1"/>
    </xf>
    <xf numFmtId="0" fontId="3" fillId="2" borderId="44" xfId="0" applyFont="1" applyFill="1" applyBorder="1" applyAlignment="1" applyProtection="1">
      <alignment horizontal="center" vertical="center" wrapText="1"/>
    </xf>
    <xf numFmtId="0" fontId="11" fillId="0" borderId="48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49" xfId="0" applyFont="1" applyBorder="1" applyAlignment="1" applyProtection="1">
      <alignment horizontal="center" vertical="center"/>
    </xf>
    <xf numFmtId="0" fontId="11" fillId="0" borderId="55" xfId="0" applyFont="1" applyBorder="1" applyAlignment="1" applyProtection="1">
      <alignment horizontal="center" vertical="center"/>
    </xf>
    <xf numFmtId="0" fontId="3" fillId="2" borderId="47" xfId="0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0" fontId="15" fillId="4" borderId="0" xfId="0" applyFont="1" applyFill="1" applyAlignment="1">
      <alignment horizontal="center" vertical="center"/>
    </xf>
    <xf numFmtId="2" fontId="15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0" fontId="21" fillId="4" borderId="0" xfId="0" applyFont="1" applyFill="1" applyBorder="1" applyAlignment="1">
      <alignment vertical="center"/>
    </xf>
    <xf numFmtId="0" fontId="22" fillId="4" borderId="41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4" fillId="3" borderId="0" xfId="0" applyFont="1" applyFill="1" applyProtection="1"/>
    <xf numFmtId="14" fontId="2" fillId="0" borderId="0" xfId="2" applyNumberFormat="1" applyFont="1" applyBorder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/>
    </xf>
    <xf numFmtId="14" fontId="0" fillId="0" borderId="0" xfId="0" applyNumberFormat="1" applyProtection="1"/>
    <xf numFmtId="14" fontId="11" fillId="0" borderId="0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</xf>
    <xf numFmtId="0" fontId="24" fillId="3" borderId="0" xfId="0" applyFont="1" applyFill="1" applyAlignment="1" applyProtection="1">
      <alignment horizontal="center" vertical="center"/>
    </xf>
    <xf numFmtId="0" fontId="9" fillId="3" borderId="0" xfId="1" applyFont="1" applyFill="1" applyAlignment="1" applyProtection="1">
      <alignment horizontal="center" vertical="center"/>
      <protection locked="0"/>
    </xf>
    <xf numFmtId="0" fontId="10" fillId="2" borderId="45" xfId="0" applyFont="1" applyFill="1" applyBorder="1" applyAlignment="1" applyProtection="1">
      <alignment horizontal="center" vertical="center"/>
    </xf>
    <xf numFmtId="0" fontId="10" fillId="2" borderId="46" xfId="0" applyFont="1" applyFill="1" applyBorder="1" applyAlignment="1" applyProtection="1">
      <alignment horizontal="center" vertical="center"/>
    </xf>
    <xf numFmtId="0" fontId="10" fillId="2" borderId="47" xfId="0" applyFont="1" applyFill="1" applyBorder="1" applyAlignment="1" applyProtection="1">
      <alignment horizontal="center" vertical="center"/>
    </xf>
    <xf numFmtId="0" fontId="10" fillId="2" borderId="50" xfId="0" applyFont="1" applyFill="1" applyBorder="1" applyAlignment="1" applyProtection="1">
      <alignment horizontal="center" vertical="center"/>
    </xf>
    <xf numFmtId="0" fontId="10" fillId="2" borderId="51" xfId="0" applyFont="1" applyFill="1" applyBorder="1" applyAlignment="1" applyProtection="1">
      <alignment horizontal="center" vertical="center"/>
    </xf>
    <xf numFmtId="0" fontId="10" fillId="2" borderId="52" xfId="0" applyFont="1" applyFill="1" applyBorder="1" applyAlignment="1" applyProtection="1">
      <alignment horizontal="center" vertical="center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2" borderId="46" xfId="0" applyFont="1" applyFill="1" applyBorder="1" applyAlignment="1" applyProtection="1">
      <alignment horizontal="center" vertical="center"/>
      <protection locked="0"/>
    </xf>
    <xf numFmtId="0" fontId="6" fillId="2" borderId="50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0" fontId="6" fillId="2" borderId="52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</xf>
    <xf numFmtId="0" fontId="13" fillId="2" borderId="47" xfId="0" applyFont="1" applyFill="1" applyBorder="1" applyAlignment="1" applyProtection="1">
      <alignment horizontal="center" vertical="center"/>
    </xf>
    <xf numFmtId="0" fontId="13" fillId="2" borderId="50" xfId="0" applyFont="1" applyFill="1" applyBorder="1" applyAlignment="1" applyProtection="1">
      <alignment horizontal="center" vertical="center"/>
    </xf>
    <xf numFmtId="0" fontId="13" fillId="2" borderId="51" xfId="0" applyFont="1" applyFill="1" applyBorder="1" applyAlignment="1" applyProtection="1">
      <alignment horizontal="center" vertical="center"/>
    </xf>
    <xf numFmtId="0" fontId="13" fillId="2" borderId="52" xfId="0" applyFont="1" applyFill="1" applyBorder="1" applyAlignment="1" applyProtection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14" fillId="4" borderId="38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14" fillId="4" borderId="40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23" fillId="5" borderId="0" xfId="1" applyFont="1" applyFill="1" applyAlignment="1">
      <alignment horizontal="center" vertical="center"/>
    </xf>
    <xf numFmtId="0" fontId="14" fillId="4" borderId="0" xfId="0" applyFont="1" applyFill="1" applyAlignment="1">
      <alignment horizontal="right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54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164" fontId="19" fillId="4" borderId="17" xfId="0" applyNumberFormat="1" applyFont="1" applyFill="1" applyBorder="1" applyAlignment="1">
      <alignment horizontal="center" vertical="center"/>
    </xf>
    <xf numFmtId="164" fontId="19" fillId="4" borderId="12" xfId="0" applyNumberFormat="1" applyFont="1" applyFill="1" applyBorder="1" applyAlignment="1">
      <alignment horizontal="center" vertical="center"/>
    </xf>
    <xf numFmtId="164" fontId="19" fillId="4" borderId="21" xfId="0" applyNumberFormat="1" applyFont="1" applyFill="1" applyBorder="1" applyAlignment="1">
      <alignment horizontal="center" vertical="center"/>
    </xf>
    <xf numFmtId="164" fontId="19" fillId="4" borderId="14" xfId="0" applyNumberFormat="1" applyFont="1" applyFill="1" applyBorder="1" applyAlignment="1">
      <alignment horizontal="center" vertical="center"/>
    </xf>
    <xf numFmtId="164" fontId="19" fillId="4" borderId="22" xfId="0" applyNumberFormat="1" applyFont="1" applyFill="1" applyBorder="1" applyAlignment="1">
      <alignment horizontal="center" vertical="center"/>
    </xf>
    <xf numFmtId="164" fontId="19" fillId="4" borderId="2" xfId="0" applyNumberFormat="1" applyFont="1" applyFill="1" applyBorder="1" applyAlignment="1">
      <alignment horizontal="center" vertical="center"/>
    </xf>
    <xf numFmtId="164" fontId="19" fillId="4" borderId="3" xfId="0" applyNumberFormat="1" applyFont="1" applyFill="1" applyBorder="1" applyAlignment="1">
      <alignment horizontal="center" vertical="center"/>
    </xf>
    <xf numFmtId="164" fontId="19" fillId="4" borderId="26" xfId="0" applyNumberFormat="1" applyFont="1" applyFill="1" applyBorder="1" applyAlignment="1">
      <alignment horizontal="center" vertical="center"/>
    </xf>
    <xf numFmtId="164" fontId="19" fillId="4" borderId="5" xfId="0" applyNumberFormat="1" applyFont="1" applyFill="1" applyBorder="1" applyAlignment="1">
      <alignment horizontal="center" vertical="center"/>
    </xf>
    <xf numFmtId="164" fontId="19" fillId="4" borderId="6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&#1603;&#1575;&#1585;&#1578; &#1585;&#1589;&#1610;&#1583; &#1575;&#1604;&#1575;&#1580;&#1575;&#1586;&#1575;&#1578; '!A1"/><Relationship Id="rId1" Type="http://schemas.openxmlformats.org/officeDocument/2006/relationships/hyperlink" Target="#'&#1576;&#1585;&#1606;&#1575;&#1605;&#1580; &#1575;&#1604;&#1575;&#1580;&#1575;&#1586;&#1575;&#1578;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3</xdr:row>
      <xdr:rowOff>171450</xdr:rowOff>
    </xdr:from>
    <xdr:to>
      <xdr:col>14</xdr:col>
      <xdr:colOff>409575</xdr:colOff>
      <xdr:row>7</xdr:row>
      <xdr:rowOff>28575</xdr:rowOff>
    </xdr:to>
    <xdr:sp macro="" textlink="">
      <xdr:nvSpPr>
        <xdr:cNvPr id="2" name="Rounded Rectangle 1"/>
        <xdr:cNvSpPr/>
      </xdr:nvSpPr>
      <xdr:spPr>
        <a:xfrm>
          <a:off x="9978742425" y="742950"/>
          <a:ext cx="4257675" cy="6191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2400" b="1"/>
            <a:t>برنامج الاجازات للعاملين بالشركة</a:t>
          </a:r>
          <a:endParaRPr lang="en-US" sz="2400" b="1"/>
        </a:p>
      </xdr:txBody>
    </xdr:sp>
    <xdr:clientData/>
  </xdr:twoCellAnchor>
  <xdr:twoCellAnchor>
    <xdr:from>
      <xdr:col>9</xdr:col>
      <xdr:colOff>299027</xdr:colOff>
      <xdr:row>7</xdr:row>
      <xdr:rowOff>180975</xdr:rowOff>
    </xdr:from>
    <xdr:to>
      <xdr:col>11</xdr:col>
      <xdr:colOff>123827</xdr:colOff>
      <xdr:row>12</xdr:row>
      <xdr:rowOff>20475</xdr:rowOff>
    </xdr:to>
    <xdr:cxnSp macro="">
      <xdr:nvCxnSpPr>
        <xdr:cNvPr id="4" name="Elbow Connector 3"/>
        <xdr:cNvCxnSpPr/>
      </xdr:nvCxnSpPr>
      <xdr:spPr>
        <a:xfrm>
          <a:off x="9980856973" y="1514475"/>
          <a:ext cx="1044000" cy="79200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10</xdr:row>
      <xdr:rowOff>142876</xdr:rowOff>
    </xdr:from>
    <xdr:to>
      <xdr:col>8</xdr:col>
      <xdr:colOff>590550</xdr:colOff>
      <xdr:row>13</xdr:row>
      <xdr:rowOff>28576</xdr:rowOff>
    </xdr:to>
    <xdr:sp macro="" textlink="">
      <xdr:nvSpPr>
        <xdr:cNvPr id="6" name="Rectangle 5">
          <a:hlinkClick xmlns:r="http://schemas.openxmlformats.org/officeDocument/2006/relationships" r:id="rId1"/>
        </xdr:cNvPr>
        <xdr:cNvSpPr/>
      </xdr:nvSpPr>
      <xdr:spPr>
        <a:xfrm>
          <a:off x="9982219050" y="2047876"/>
          <a:ext cx="1924050" cy="4572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b="1"/>
            <a:t>ترصيد الاجازات</a:t>
          </a:r>
          <a:endParaRPr lang="en-US" sz="1800" b="1"/>
        </a:p>
      </xdr:txBody>
    </xdr:sp>
    <xdr:clientData/>
  </xdr:twoCellAnchor>
  <xdr:twoCellAnchor>
    <xdr:from>
      <xdr:col>11</xdr:col>
      <xdr:colOff>123823</xdr:colOff>
      <xdr:row>7</xdr:row>
      <xdr:rowOff>180975</xdr:rowOff>
    </xdr:from>
    <xdr:to>
      <xdr:col>13</xdr:col>
      <xdr:colOff>219075</xdr:colOff>
      <xdr:row>12</xdr:row>
      <xdr:rowOff>47625</xdr:rowOff>
    </xdr:to>
    <xdr:cxnSp macro="">
      <xdr:nvCxnSpPr>
        <xdr:cNvPr id="10" name="Elbow Connector 9"/>
        <xdr:cNvCxnSpPr/>
      </xdr:nvCxnSpPr>
      <xdr:spPr>
        <a:xfrm rot="10800000" flipV="1">
          <a:off x="9979542525" y="1514475"/>
          <a:ext cx="1314452" cy="81915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10</xdr:row>
      <xdr:rowOff>171450</xdr:rowOff>
    </xdr:from>
    <xdr:to>
      <xdr:col>16</xdr:col>
      <xdr:colOff>514350</xdr:colOff>
      <xdr:row>13</xdr:row>
      <xdr:rowOff>57150</xdr:rowOff>
    </xdr:to>
    <xdr:sp macro="" textlink="">
      <xdr:nvSpPr>
        <xdr:cNvPr id="12" name="Rectangle 11">
          <a:hlinkClick xmlns:r="http://schemas.openxmlformats.org/officeDocument/2006/relationships" r:id="rId2"/>
        </xdr:cNvPr>
        <xdr:cNvSpPr/>
      </xdr:nvSpPr>
      <xdr:spPr>
        <a:xfrm>
          <a:off x="9977418450" y="2076450"/>
          <a:ext cx="1924050" cy="4572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ar-EG" sz="1800" b="1"/>
            <a:t>كارت رصيد الاجازات</a:t>
          </a:r>
          <a:endParaRPr lang="en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19:T20"/>
  <sheetViews>
    <sheetView showGridLines="0" showRowColHeaders="0" rightToLeft="1" zoomScale="90" zoomScaleNormal="90" workbookViewId="0"/>
  </sheetViews>
  <sheetFormatPr defaultRowHeight="15"/>
  <cols>
    <col min="1" max="16384" width="9.140625" style="3"/>
  </cols>
  <sheetData>
    <row r="19" spans="17:20" ht="20.25" customHeight="1">
      <c r="Q19" s="57"/>
      <c r="R19" s="65" t="s">
        <v>8</v>
      </c>
      <c r="S19" s="65"/>
      <c r="T19" s="57"/>
    </row>
    <row r="20" spans="17:20" ht="24.75" customHeight="1">
      <c r="Q20" s="66" t="s">
        <v>43</v>
      </c>
      <c r="R20" s="66"/>
      <c r="S20" s="66"/>
      <c r="T20" s="66"/>
    </row>
  </sheetData>
  <mergeCells count="2">
    <mergeCell ref="R19:S19"/>
    <mergeCell ref="Q20:T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5"/>
  <sheetViews>
    <sheetView rightToLeft="1" tabSelected="1" zoomScale="80" zoomScaleNormal="80" workbookViewId="0">
      <selection activeCell="Z10" sqref="Z10"/>
    </sheetView>
  </sheetViews>
  <sheetFormatPr defaultRowHeight="21.95" customHeight="1"/>
  <cols>
    <col min="1" max="1" width="9.140625" style="23" customWidth="1"/>
    <col min="2" max="2" width="19.42578125" style="23" bestFit="1" customWidth="1"/>
    <col min="3" max="3" width="20.5703125" style="23" hidden="1" customWidth="1"/>
    <col min="4" max="4" width="15.7109375" style="23" hidden="1" customWidth="1"/>
    <col min="5" max="5" width="14" style="24" hidden="1" customWidth="1"/>
    <col min="6" max="6" width="5.140625" style="28" hidden="1" customWidth="1"/>
    <col min="7" max="7" width="0" style="23" hidden="1" customWidth="1"/>
    <col min="8" max="8" width="13" style="24" hidden="1" customWidth="1"/>
    <col min="9" max="9" width="8.7109375" style="31" hidden="1" customWidth="1"/>
    <col min="10" max="10" width="16.140625" style="31" hidden="1" customWidth="1"/>
    <col min="11" max="11" width="13.85546875" style="34" hidden="1" customWidth="1"/>
    <col min="12" max="12" width="8.140625" style="31" hidden="1" customWidth="1"/>
    <col min="13" max="13" width="2.5703125" style="1" customWidth="1"/>
    <col min="14" max="14" width="7.5703125" style="31" customWidth="1"/>
    <col min="15" max="16" width="7.7109375" style="31" customWidth="1"/>
    <col min="17" max="17" width="9.140625" style="31"/>
    <col min="18" max="18" width="2.5703125" style="1" customWidth="1"/>
    <col min="19" max="19" width="7.85546875" style="31" customWidth="1"/>
    <col min="20" max="20" width="7.7109375" style="31" customWidth="1"/>
    <col min="21" max="21" width="8.42578125" style="31" customWidth="1"/>
    <col min="22" max="22" width="2.5703125" style="1" customWidth="1"/>
    <col min="23" max="27" width="9.140625" style="23"/>
    <col min="28" max="28" width="2.140625" style="1" customWidth="1"/>
    <col min="29" max="33" width="9.140625" style="5"/>
    <col min="34" max="34" width="1.7109375" style="3" customWidth="1"/>
    <col min="35" max="39" width="9.140625" style="5"/>
    <col min="40" max="40" width="2.28515625" style="3" customWidth="1"/>
    <col min="41" max="45" width="9.140625" style="5"/>
    <col min="46" max="46" width="2.140625" style="3" customWidth="1"/>
    <col min="47" max="51" width="9.140625" style="5"/>
    <col min="52" max="52" width="2.140625" style="3" customWidth="1"/>
    <col min="53" max="57" width="9.140625" style="5"/>
    <col min="58" max="58" width="2.140625" style="3" customWidth="1"/>
    <col min="59" max="63" width="9.140625" style="5"/>
    <col min="64" max="64" width="2.140625" style="3" customWidth="1"/>
    <col min="65" max="69" width="9.140625" style="5"/>
    <col min="70" max="70" width="2.140625" style="3" customWidth="1"/>
    <col min="71" max="75" width="9.140625" style="5"/>
    <col min="76" max="76" width="2.140625" style="3" customWidth="1"/>
    <col min="77" max="81" width="9.140625" style="5"/>
    <col min="82" max="82" width="2.140625" style="3" customWidth="1"/>
    <col min="83" max="87" width="9.140625" style="5"/>
    <col min="88" max="88" width="2.140625" style="3" customWidth="1"/>
    <col min="89" max="93" width="9.140625" style="5"/>
    <col min="94" max="119" width="9.140625" style="3"/>
    <col min="120" max="16384" width="9.140625" style="5"/>
  </cols>
  <sheetData>
    <row r="1" spans="1:119" s="3" customFormat="1" ht="21.95" customHeight="1" thickBot="1">
      <c r="A1" s="1"/>
      <c r="B1" s="67" t="s">
        <v>22</v>
      </c>
      <c r="C1" s="1"/>
      <c r="D1" s="1"/>
      <c r="E1" s="2"/>
      <c r="F1" s="25"/>
      <c r="G1" s="1"/>
      <c r="H1" s="2"/>
      <c r="I1" s="29"/>
      <c r="J1" s="29"/>
      <c r="K1" s="32"/>
      <c r="L1" s="29"/>
      <c r="M1" s="1"/>
      <c r="N1" s="29"/>
      <c r="O1" s="29"/>
      <c r="P1" s="29"/>
      <c r="Q1" s="29"/>
      <c r="R1" s="1"/>
      <c r="S1" s="29"/>
      <c r="T1" s="29"/>
      <c r="U1" s="29"/>
      <c r="V1" s="1"/>
      <c r="W1" s="1"/>
      <c r="X1" s="1"/>
      <c r="Y1" s="1"/>
      <c r="Z1" s="1"/>
      <c r="AA1" s="1"/>
      <c r="AB1" s="1"/>
    </row>
    <row r="2" spans="1:119" ht="21.95" customHeight="1">
      <c r="A2" s="1"/>
      <c r="B2" s="67"/>
      <c r="C2" s="1"/>
      <c r="D2" s="1"/>
      <c r="E2" s="2"/>
      <c r="F2" s="25"/>
      <c r="G2" s="1"/>
      <c r="H2" s="2"/>
      <c r="I2" s="29"/>
      <c r="J2" s="29"/>
      <c r="K2" s="32"/>
      <c r="L2" s="29"/>
      <c r="N2" s="68" t="s">
        <v>40</v>
      </c>
      <c r="O2" s="69"/>
      <c r="P2" s="69"/>
      <c r="Q2" s="70"/>
      <c r="S2" s="80" t="s">
        <v>42</v>
      </c>
      <c r="T2" s="81"/>
      <c r="U2" s="82"/>
      <c r="W2" s="74" t="s">
        <v>73</v>
      </c>
      <c r="X2" s="75"/>
      <c r="Y2" s="75"/>
      <c r="Z2" s="75"/>
      <c r="AA2" s="75"/>
      <c r="AB2" s="4"/>
      <c r="AC2" s="75" t="s">
        <v>38</v>
      </c>
      <c r="AD2" s="75"/>
      <c r="AE2" s="75"/>
      <c r="AF2" s="75"/>
      <c r="AG2" s="78"/>
      <c r="AH2" s="4"/>
      <c r="AI2" s="74" t="s">
        <v>74</v>
      </c>
      <c r="AJ2" s="75"/>
      <c r="AK2" s="75"/>
      <c r="AL2" s="75"/>
      <c r="AM2" s="78"/>
      <c r="AN2" s="4"/>
      <c r="AO2" s="74" t="s">
        <v>39</v>
      </c>
      <c r="AP2" s="75"/>
      <c r="AQ2" s="75"/>
      <c r="AR2" s="75"/>
      <c r="AS2" s="78"/>
      <c r="AT2" s="4"/>
      <c r="AU2" s="74" t="s">
        <v>75</v>
      </c>
      <c r="AV2" s="75"/>
      <c r="AW2" s="75"/>
      <c r="AX2" s="75"/>
      <c r="AY2" s="78"/>
      <c r="AZ2" s="4"/>
      <c r="BA2" s="74" t="s">
        <v>34</v>
      </c>
      <c r="BB2" s="75"/>
      <c r="BC2" s="75"/>
      <c r="BD2" s="75"/>
      <c r="BE2" s="78"/>
      <c r="BF2" s="4"/>
      <c r="BG2" s="74" t="s">
        <v>35</v>
      </c>
      <c r="BH2" s="75"/>
      <c r="BI2" s="75"/>
      <c r="BJ2" s="75"/>
      <c r="BK2" s="78"/>
      <c r="BL2" s="4"/>
      <c r="BM2" s="74" t="s">
        <v>36</v>
      </c>
      <c r="BN2" s="75"/>
      <c r="BO2" s="75"/>
      <c r="BP2" s="75"/>
      <c r="BQ2" s="78"/>
      <c r="BR2" s="4"/>
      <c r="BS2" s="74" t="s">
        <v>76</v>
      </c>
      <c r="BT2" s="75"/>
      <c r="BU2" s="75"/>
      <c r="BV2" s="75"/>
      <c r="BW2" s="78"/>
      <c r="BX2" s="4"/>
      <c r="BY2" s="74" t="s">
        <v>37</v>
      </c>
      <c r="BZ2" s="75"/>
      <c r="CA2" s="75"/>
      <c r="CB2" s="75"/>
      <c r="CC2" s="78"/>
      <c r="CD2" s="4"/>
      <c r="CE2" s="74" t="s">
        <v>77</v>
      </c>
      <c r="CF2" s="75"/>
      <c r="CG2" s="75"/>
      <c r="CH2" s="75"/>
      <c r="CI2" s="78"/>
      <c r="CJ2" s="4"/>
      <c r="CK2" s="74" t="s">
        <v>78</v>
      </c>
      <c r="CL2" s="75"/>
      <c r="CM2" s="75"/>
      <c r="CN2" s="75"/>
      <c r="CO2" s="78"/>
    </row>
    <row r="3" spans="1:119" ht="21.95" customHeight="1" thickBot="1">
      <c r="A3" s="1"/>
      <c r="B3" s="67"/>
      <c r="C3" s="1"/>
      <c r="D3" s="1"/>
      <c r="E3" s="2"/>
      <c r="F3" s="25"/>
      <c r="G3" s="1"/>
      <c r="H3" s="2"/>
      <c r="I3" s="29"/>
      <c r="J3" s="29"/>
      <c r="K3" s="32"/>
      <c r="L3" s="29"/>
      <c r="N3" s="71"/>
      <c r="O3" s="72"/>
      <c r="P3" s="72"/>
      <c r="Q3" s="73"/>
      <c r="S3" s="83"/>
      <c r="T3" s="84"/>
      <c r="U3" s="85"/>
      <c r="W3" s="76"/>
      <c r="X3" s="77"/>
      <c r="Y3" s="77"/>
      <c r="Z3" s="77"/>
      <c r="AA3" s="77"/>
      <c r="AB3" s="4"/>
      <c r="AC3" s="77"/>
      <c r="AD3" s="77"/>
      <c r="AE3" s="77"/>
      <c r="AF3" s="77"/>
      <c r="AG3" s="79"/>
      <c r="AH3" s="4"/>
      <c r="AI3" s="76"/>
      <c r="AJ3" s="77"/>
      <c r="AK3" s="77"/>
      <c r="AL3" s="77"/>
      <c r="AM3" s="79"/>
      <c r="AN3" s="4"/>
      <c r="AO3" s="76"/>
      <c r="AP3" s="77"/>
      <c r="AQ3" s="77"/>
      <c r="AR3" s="77"/>
      <c r="AS3" s="79"/>
      <c r="AT3" s="4"/>
      <c r="AU3" s="76"/>
      <c r="AV3" s="77"/>
      <c r="AW3" s="77"/>
      <c r="AX3" s="77"/>
      <c r="AY3" s="79"/>
      <c r="AZ3" s="4"/>
      <c r="BA3" s="76"/>
      <c r="BB3" s="77"/>
      <c r="BC3" s="77"/>
      <c r="BD3" s="77"/>
      <c r="BE3" s="79"/>
      <c r="BF3" s="4"/>
      <c r="BG3" s="76"/>
      <c r="BH3" s="77"/>
      <c r="BI3" s="77"/>
      <c r="BJ3" s="77"/>
      <c r="BK3" s="79"/>
      <c r="BL3" s="4"/>
      <c r="BM3" s="76"/>
      <c r="BN3" s="77"/>
      <c r="BO3" s="77"/>
      <c r="BP3" s="77"/>
      <c r="BQ3" s="79"/>
      <c r="BR3" s="4"/>
      <c r="BS3" s="76"/>
      <c r="BT3" s="77"/>
      <c r="BU3" s="77"/>
      <c r="BV3" s="77"/>
      <c r="BW3" s="79"/>
      <c r="BX3" s="4"/>
      <c r="BY3" s="76"/>
      <c r="BZ3" s="77"/>
      <c r="CA3" s="77"/>
      <c r="CB3" s="77"/>
      <c r="CC3" s="79"/>
      <c r="CD3" s="4"/>
      <c r="CE3" s="76"/>
      <c r="CF3" s="77"/>
      <c r="CG3" s="77"/>
      <c r="CH3" s="77"/>
      <c r="CI3" s="79"/>
      <c r="CJ3" s="4"/>
      <c r="CK3" s="76"/>
      <c r="CL3" s="77"/>
      <c r="CM3" s="77"/>
      <c r="CN3" s="77"/>
      <c r="CO3" s="79"/>
    </row>
    <row r="4" spans="1:119" s="14" customFormat="1" ht="45">
      <c r="A4" s="6" t="s">
        <v>2</v>
      </c>
      <c r="B4" s="6" t="s">
        <v>3</v>
      </c>
      <c r="C4" s="6" t="s">
        <v>14</v>
      </c>
      <c r="D4" s="6" t="s">
        <v>15</v>
      </c>
      <c r="E4" s="7" t="s">
        <v>16</v>
      </c>
      <c r="F4" s="26" t="s">
        <v>20</v>
      </c>
      <c r="G4" s="8" t="s">
        <v>17</v>
      </c>
      <c r="H4" s="7" t="s">
        <v>0</v>
      </c>
      <c r="I4" s="30" t="s">
        <v>19</v>
      </c>
      <c r="J4" s="26" t="s">
        <v>18</v>
      </c>
      <c r="K4" s="33" t="s">
        <v>1</v>
      </c>
      <c r="L4" s="35" t="s">
        <v>21</v>
      </c>
      <c r="M4" s="9"/>
      <c r="N4" s="36" t="s">
        <v>24</v>
      </c>
      <c r="O4" s="37" t="s">
        <v>25</v>
      </c>
      <c r="P4" s="38" t="s">
        <v>26</v>
      </c>
      <c r="Q4" s="39" t="s">
        <v>27</v>
      </c>
      <c r="R4" s="9"/>
      <c r="S4" s="36" t="s">
        <v>29</v>
      </c>
      <c r="T4" s="37" t="s">
        <v>31</v>
      </c>
      <c r="U4" s="44" t="s">
        <v>30</v>
      </c>
      <c r="V4" s="9"/>
      <c r="W4" s="10" t="s">
        <v>28</v>
      </c>
      <c r="X4" s="11" t="s">
        <v>32</v>
      </c>
      <c r="Y4" s="11" t="s">
        <v>33</v>
      </c>
      <c r="Z4" s="11" t="s">
        <v>31</v>
      </c>
      <c r="AA4" s="12" t="s">
        <v>30</v>
      </c>
      <c r="AB4" s="9"/>
      <c r="AC4" s="10" t="s">
        <v>28</v>
      </c>
      <c r="AD4" s="11" t="s">
        <v>32</v>
      </c>
      <c r="AE4" s="11" t="s">
        <v>33</v>
      </c>
      <c r="AF4" s="11" t="s">
        <v>31</v>
      </c>
      <c r="AG4" s="12" t="s">
        <v>30</v>
      </c>
      <c r="AH4" s="9"/>
      <c r="AI4" s="10" t="s">
        <v>28</v>
      </c>
      <c r="AJ4" s="11" t="s">
        <v>32</v>
      </c>
      <c r="AK4" s="11" t="s">
        <v>33</v>
      </c>
      <c r="AL4" s="11" t="s">
        <v>31</v>
      </c>
      <c r="AM4" s="12" t="s">
        <v>30</v>
      </c>
      <c r="AN4" s="9"/>
      <c r="AO4" s="10" t="s">
        <v>28</v>
      </c>
      <c r="AP4" s="11" t="s">
        <v>32</v>
      </c>
      <c r="AQ4" s="11" t="s">
        <v>33</v>
      </c>
      <c r="AR4" s="11" t="s">
        <v>31</v>
      </c>
      <c r="AS4" s="12" t="s">
        <v>30</v>
      </c>
      <c r="AT4" s="9"/>
      <c r="AU4" s="10" t="s">
        <v>28</v>
      </c>
      <c r="AV4" s="11" t="s">
        <v>32</v>
      </c>
      <c r="AW4" s="11" t="s">
        <v>33</v>
      </c>
      <c r="AX4" s="11" t="s">
        <v>31</v>
      </c>
      <c r="AY4" s="12" t="s">
        <v>30</v>
      </c>
      <c r="AZ4" s="9"/>
      <c r="BA4" s="10" t="s">
        <v>28</v>
      </c>
      <c r="BB4" s="11" t="s">
        <v>32</v>
      </c>
      <c r="BC4" s="11" t="s">
        <v>33</v>
      </c>
      <c r="BD4" s="11" t="s">
        <v>31</v>
      </c>
      <c r="BE4" s="12" t="s">
        <v>30</v>
      </c>
      <c r="BF4" s="9"/>
      <c r="BG4" s="10" t="s">
        <v>28</v>
      </c>
      <c r="BH4" s="11" t="s">
        <v>32</v>
      </c>
      <c r="BI4" s="11" t="s">
        <v>33</v>
      </c>
      <c r="BJ4" s="11" t="s">
        <v>31</v>
      </c>
      <c r="BK4" s="12" t="s">
        <v>30</v>
      </c>
      <c r="BL4" s="9"/>
      <c r="BM4" s="10" t="s">
        <v>28</v>
      </c>
      <c r="BN4" s="11" t="s">
        <v>32</v>
      </c>
      <c r="BO4" s="11" t="s">
        <v>33</v>
      </c>
      <c r="BP4" s="11" t="s">
        <v>31</v>
      </c>
      <c r="BQ4" s="12" t="s">
        <v>30</v>
      </c>
      <c r="BR4" s="9"/>
      <c r="BS4" s="10" t="s">
        <v>28</v>
      </c>
      <c r="BT4" s="11" t="s">
        <v>32</v>
      </c>
      <c r="BU4" s="11" t="s">
        <v>33</v>
      </c>
      <c r="BV4" s="11" t="s">
        <v>31</v>
      </c>
      <c r="BW4" s="12" t="s">
        <v>30</v>
      </c>
      <c r="BX4" s="9"/>
      <c r="BY4" s="10" t="s">
        <v>28</v>
      </c>
      <c r="BZ4" s="11" t="s">
        <v>32</v>
      </c>
      <c r="CA4" s="11" t="s">
        <v>33</v>
      </c>
      <c r="CB4" s="11" t="s">
        <v>31</v>
      </c>
      <c r="CC4" s="12" t="s">
        <v>30</v>
      </c>
      <c r="CD4" s="9"/>
      <c r="CE4" s="10" t="s">
        <v>28</v>
      </c>
      <c r="CF4" s="11" t="s">
        <v>32</v>
      </c>
      <c r="CG4" s="11" t="s">
        <v>33</v>
      </c>
      <c r="CH4" s="11" t="s">
        <v>31</v>
      </c>
      <c r="CI4" s="12" t="s">
        <v>30</v>
      </c>
      <c r="CJ4" s="9"/>
      <c r="CK4" s="10" t="s">
        <v>28</v>
      </c>
      <c r="CL4" s="11" t="s">
        <v>32</v>
      </c>
      <c r="CM4" s="11" t="s">
        <v>33</v>
      </c>
      <c r="CN4" s="11" t="s">
        <v>31</v>
      </c>
      <c r="CO4" s="12" t="s">
        <v>30</v>
      </c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</row>
    <row r="5" spans="1:119" s="21" customFormat="1" ht="21.95" customHeight="1">
      <c r="A5" s="15"/>
      <c r="B5" s="15"/>
      <c r="C5" s="15" t="s">
        <v>44</v>
      </c>
      <c r="D5" s="15" t="s">
        <v>15</v>
      </c>
      <c r="E5" s="58">
        <v>35411</v>
      </c>
      <c r="F5" s="27">
        <f ca="1">DATEDIF(E5,TODAY(),"Y")</f>
        <v>25</v>
      </c>
      <c r="G5" s="15">
        <v>2</v>
      </c>
      <c r="H5" s="60">
        <v>43522</v>
      </c>
      <c r="I5" s="27">
        <f ca="1">DATEDIF(H5,TODAY(),"M")</f>
        <v>36</v>
      </c>
      <c r="J5" s="45" t="str">
        <f ca="1">IF(I5&gt;6,"يستحق","لايستحق")</f>
        <v>يستحق</v>
      </c>
      <c r="K5" s="61">
        <f>180+H5</f>
        <v>43702</v>
      </c>
      <c r="L5" s="27">
        <v>21</v>
      </c>
      <c r="M5" s="16"/>
      <c r="N5" s="40">
        <f>W5+AC5+AI5+AO5+AU5+BA5+BG5+BM5+BS5+BY5+CE5+CK5</f>
        <v>0</v>
      </c>
      <c r="O5" s="41">
        <f>X5+AD5+AJ5+AP5+AV5+BB5+BH5+BN5+BT5+BZ5+CF5+CL5</f>
        <v>0</v>
      </c>
      <c r="P5" s="42">
        <f>N5+O5</f>
        <v>0</v>
      </c>
      <c r="Q5" s="43">
        <f>L5-P5</f>
        <v>21</v>
      </c>
      <c r="R5" s="16"/>
      <c r="S5" s="40">
        <f>Y5+AE5+AK5+AQ5+AW5+BC5+BI5+BO5+BU5+CA5+CG5+CM5</f>
        <v>0</v>
      </c>
      <c r="T5" s="41">
        <f>Z5+AF5+AL5+AR5+AX5+BD5+BJ5+BP5+BV5+CB5+CH5+CN5</f>
        <v>0</v>
      </c>
      <c r="U5" s="42">
        <f>AA5+AG5+AM5+AS5+AY5+BE5+BK5+BQ5+BW5+CC5+CI5+CO5</f>
        <v>0</v>
      </c>
      <c r="V5" s="16"/>
      <c r="W5" s="17"/>
      <c r="X5" s="18"/>
      <c r="Y5" s="18"/>
      <c r="Z5" s="18"/>
      <c r="AA5" s="19"/>
      <c r="AB5" s="16"/>
      <c r="AC5" s="17"/>
      <c r="AD5" s="18"/>
      <c r="AE5" s="18"/>
      <c r="AF5" s="18"/>
      <c r="AG5" s="19"/>
      <c r="AH5" s="16"/>
      <c r="AI5" s="17"/>
      <c r="AJ5" s="18"/>
      <c r="AK5" s="18"/>
      <c r="AL5" s="18"/>
      <c r="AM5" s="19"/>
      <c r="AN5" s="16"/>
      <c r="AO5" s="17"/>
      <c r="AP5" s="18"/>
      <c r="AQ5" s="18"/>
      <c r="AR5" s="18"/>
      <c r="AS5" s="19"/>
      <c r="AT5" s="16"/>
      <c r="AU5" s="17"/>
      <c r="AV5" s="18"/>
      <c r="AW5" s="18"/>
      <c r="AX5" s="18"/>
      <c r="AY5" s="19"/>
      <c r="AZ5" s="16"/>
      <c r="BA5" s="17"/>
      <c r="BB5" s="18"/>
      <c r="BC5" s="18"/>
      <c r="BD5" s="18"/>
      <c r="BE5" s="19"/>
      <c r="BF5" s="16"/>
      <c r="BG5" s="17"/>
      <c r="BH5" s="18"/>
      <c r="BI5" s="18"/>
      <c r="BJ5" s="18"/>
      <c r="BK5" s="19"/>
      <c r="BL5" s="16"/>
      <c r="BM5" s="17"/>
      <c r="BN5" s="18"/>
      <c r="BO5" s="18"/>
      <c r="BP5" s="18"/>
      <c r="BQ5" s="19"/>
      <c r="BR5" s="16"/>
      <c r="BS5" s="17"/>
      <c r="BT5" s="18"/>
      <c r="BU5" s="18"/>
      <c r="BV5" s="18"/>
      <c r="BW5" s="19"/>
      <c r="BX5" s="16"/>
      <c r="BY5" s="17"/>
      <c r="BZ5" s="18"/>
      <c r="CA5" s="18"/>
      <c r="CB5" s="18"/>
      <c r="CC5" s="19"/>
      <c r="CD5" s="16"/>
      <c r="CE5" s="17"/>
      <c r="CF5" s="18"/>
      <c r="CG5" s="18"/>
      <c r="CH5" s="18"/>
      <c r="CI5" s="19"/>
      <c r="CJ5" s="16"/>
      <c r="CK5" s="17"/>
      <c r="CL5" s="18"/>
      <c r="CM5" s="18"/>
      <c r="CN5" s="18"/>
      <c r="CO5" s="19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19" s="21" customFormat="1" ht="21.95" customHeight="1">
      <c r="A6" s="15"/>
      <c r="B6" s="15"/>
      <c r="C6" s="15" t="s">
        <v>45</v>
      </c>
      <c r="D6" s="15" t="s">
        <v>15</v>
      </c>
      <c r="E6" s="58">
        <v>35263</v>
      </c>
      <c r="F6" s="27">
        <f t="shared" ref="F6:F69" ca="1" si="0">DATEDIF(E6,TODAY(),"Y")</f>
        <v>25</v>
      </c>
      <c r="G6" s="15">
        <v>2</v>
      </c>
      <c r="H6" s="60">
        <v>43522</v>
      </c>
      <c r="I6" s="27">
        <f ca="1">DATEDIF(H6,TODAY(),"M")</f>
        <v>36</v>
      </c>
      <c r="J6" s="45" t="str">
        <f ca="1">IF(I6&gt;6,"يستحق","لايستحق")</f>
        <v>يستحق</v>
      </c>
      <c r="K6" s="61">
        <f t="shared" ref="K6:K69" si="1">180+H6</f>
        <v>43702</v>
      </c>
      <c r="L6" s="27">
        <v>21</v>
      </c>
      <c r="M6" s="16"/>
      <c r="N6" s="40">
        <f t="shared" ref="N6:N69" si="2">W6+AC6+AI6+AO6+AU6+BA6+BG6+BM6+BS6+BY6+CE6+CK6</f>
        <v>0</v>
      </c>
      <c r="O6" s="41">
        <f t="shared" ref="O6:O69" si="3">X6+AD6+AJ6+AP6+AV6+BB6+BH6+BN6+BT6+BZ6+CF6+CL6</f>
        <v>0</v>
      </c>
      <c r="P6" s="42">
        <f t="shared" ref="P6:P69" si="4">N6+O6</f>
        <v>0</v>
      </c>
      <c r="Q6" s="43">
        <f t="shared" ref="Q6:Q69" si="5">L6-P6</f>
        <v>21</v>
      </c>
      <c r="R6" s="16"/>
      <c r="S6" s="40">
        <f t="shared" ref="S6:S69" si="6">Y6+AE6+AK6+AQ6+AW6+BC6+BI6+BO6+BU6+CA6+CG6+CM6</f>
        <v>0</v>
      </c>
      <c r="T6" s="41">
        <f t="shared" ref="T6:T69" si="7">Z6+AF6+AL6+AR6+AX6+BD6+BJ6+BP6+BV6+CB6+CH6+CN6</f>
        <v>0</v>
      </c>
      <c r="U6" s="42">
        <f t="shared" ref="U6:U69" si="8">AA6+AG6+AM6+AS6+AY6+BE6+BK6+BQ6+BW6+CC6+CI6+CO6</f>
        <v>0</v>
      </c>
      <c r="V6" s="16"/>
      <c r="W6" s="17"/>
      <c r="X6" s="18"/>
      <c r="Y6" s="18"/>
      <c r="Z6" s="18"/>
      <c r="AA6" s="19"/>
      <c r="AB6" s="16"/>
      <c r="AC6" s="17"/>
      <c r="AD6" s="18"/>
      <c r="AE6" s="18"/>
      <c r="AF6" s="18"/>
      <c r="AG6" s="19"/>
      <c r="AH6" s="16"/>
      <c r="AI6" s="17"/>
      <c r="AJ6" s="18"/>
      <c r="AK6" s="18"/>
      <c r="AL6" s="18"/>
      <c r="AM6" s="19"/>
      <c r="AN6" s="16"/>
      <c r="AO6" s="17"/>
      <c r="AP6" s="18"/>
      <c r="AQ6" s="18"/>
      <c r="AR6" s="18"/>
      <c r="AS6" s="19"/>
      <c r="AT6" s="16"/>
      <c r="AU6" s="17"/>
      <c r="AV6" s="18"/>
      <c r="AW6" s="18"/>
      <c r="AX6" s="18"/>
      <c r="AY6" s="19"/>
      <c r="AZ6" s="16"/>
      <c r="BA6" s="17"/>
      <c r="BB6" s="18"/>
      <c r="BC6" s="18"/>
      <c r="BD6" s="18"/>
      <c r="BE6" s="19"/>
      <c r="BF6" s="16"/>
      <c r="BG6" s="17"/>
      <c r="BH6" s="18"/>
      <c r="BI6" s="18"/>
      <c r="BJ6" s="18"/>
      <c r="BK6" s="19"/>
      <c r="BL6" s="16"/>
      <c r="BM6" s="17"/>
      <c r="BN6" s="18"/>
      <c r="BO6" s="18"/>
      <c r="BP6" s="18"/>
      <c r="BQ6" s="19"/>
      <c r="BR6" s="16"/>
      <c r="BS6" s="17"/>
      <c r="BT6" s="18"/>
      <c r="BU6" s="18"/>
      <c r="BV6" s="18"/>
      <c r="BW6" s="19"/>
      <c r="BX6" s="16"/>
      <c r="BY6" s="17"/>
      <c r="BZ6" s="18"/>
      <c r="CA6" s="18"/>
      <c r="CB6" s="18"/>
      <c r="CC6" s="19"/>
      <c r="CD6" s="16"/>
      <c r="CE6" s="17"/>
      <c r="CF6" s="18"/>
      <c r="CG6" s="18"/>
      <c r="CH6" s="18"/>
      <c r="CI6" s="19"/>
      <c r="CJ6" s="16"/>
      <c r="CK6" s="17"/>
      <c r="CL6" s="18"/>
      <c r="CM6" s="18"/>
      <c r="CN6" s="18"/>
      <c r="CO6" s="19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</row>
    <row r="7" spans="1:119" s="21" customFormat="1" ht="21.95" customHeight="1">
      <c r="A7" s="15"/>
      <c r="B7" s="15"/>
      <c r="C7" s="15" t="s">
        <v>46</v>
      </c>
      <c r="D7" s="15" t="s">
        <v>15</v>
      </c>
      <c r="E7" s="63">
        <v>43654</v>
      </c>
      <c r="F7" s="27">
        <f t="shared" ca="1" si="0"/>
        <v>2</v>
      </c>
      <c r="G7" s="15">
        <v>2</v>
      </c>
      <c r="H7" s="60">
        <v>43522</v>
      </c>
      <c r="I7" s="27">
        <f t="shared" ref="I7:I70" ca="1" si="9">DATEDIF(H7,TODAY(),"M")</f>
        <v>36</v>
      </c>
      <c r="J7" s="45" t="str">
        <f t="shared" ref="J7:J19" ca="1" si="10">IF(I7&gt;6,"يستحق","لايستحق")</f>
        <v>يستحق</v>
      </c>
      <c r="K7" s="61">
        <f t="shared" si="1"/>
        <v>43702</v>
      </c>
      <c r="L7" s="27">
        <v>21</v>
      </c>
      <c r="M7" s="16"/>
      <c r="N7" s="40">
        <f t="shared" si="2"/>
        <v>0</v>
      </c>
      <c r="O7" s="41">
        <f t="shared" si="3"/>
        <v>0</v>
      </c>
      <c r="P7" s="42">
        <f t="shared" si="4"/>
        <v>0</v>
      </c>
      <c r="Q7" s="43">
        <f t="shared" si="5"/>
        <v>21</v>
      </c>
      <c r="R7" s="16"/>
      <c r="S7" s="40">
        <f t="shared" si="6"/>
        <v>0</v>
      </c>
      <c r="T7" s="41">
        <f t="shared" si="7"/>
        <v>0</v>
      </c>
      <c r="U7" s="42">
        <f t="shared" si="8"/>
        <v>0</v>
      </c>
      <c r="V7" s="16"/>
      <c r="W7" s="17"/>
      <c r="X7" s="18"/>
      <c r="Y7" s="18"/>
      <c r="Z7" s="18"/>
      <c r="AA7" s="19"/>
      <c r="AB7" s="16"/>
      <c r="AC7" s="17"/>
      <c r="AD7" s="18"/>
      <c r="AE7" s="18"/>
      <c r="AF7" s="18"/>
      <c r="AG7" s="19"/>
      <c r="AH7" s="16"/>
      <c r="AI7" s="17"/>
      <c r="AJ7" s="18"/>
      <c r="AK7" s="18"/>
      <c r="AL7" s="18"/>
      <c r="AM7" s="19"/>
      <c r="AN7" s="16"/>
      <c r="AO7" s="17"/>
      <c r="AP7" s="18"/>
      <c r="AQ7" s="18"/>
      <c r="AR7" s="18"/>
      <c r="AS7" s="19"/>
      <c r="AT7" s="16"/>
      <c r="AU7" s="17"/>
      <c r="AV7" s="18"/>
      <c r="AW7" s="18"/>
      <c r="AX7" s="18"/>
      <c r="AY7" s="19"/>
      <c r="AZ7" s="16"/>
      <c r="BA7" s="17"/>
      <c r="BB7" s="18"/>
      <c r="BC7" s="18"/>
      <c r="BD7" s="18"/>
      <c r="BE7" s="19"/>
      <c r="BF7" s="16"/>
      <c r="BG7" s="17"/>
      <c r="BH7" s="18"/>
      <c r="BI7" s="18"/>
      <c r="BJ7" s="18"/>
      <c r="BK7" s="19"/>
      <c r="BL7" s="16"/>
      <c r="BM7" s="17"/>
      <c r="BN7" s="18"/>
      <c r="BO7" s="18"/>
      <c r="BP7" s="18"/>
      <c r="BQ7" s="19"/>
      <c r="BR7" s="16"/>
      <c r="BS7" s="17"/>
      <c r="BT7" s="18"/>
      <c r="BU7" s="18"/>
      <c r="BV7" s="18"/>
      <c r="BW7" s="19"/>
      <c r="BX7" s="16"/>
      <c r="BY7" s="17"/>
      <c r="BZ7" s="18"/>
      <c r="CA7" s="18"/>
      <c r="CB7" s="18"/>
      <c r="CC7" s="19"/>
      <c r="CD7" s="16"/>
      <c r="CE7" s="17"/>
      <c r="CF7" s="18"/>
      <c r="CG7" s="18"/>
      <c r="CH7" s="18"/>
      <c r="CI7" s="19"/>
      <c r="CJ7" s="16"/>
      <c r="CK7" s="17"/>
      <c r="CL7" s="18"/>
      <c r="CM7" s="18"/>
      <c r="CN7" s="18"/>
      <c r="CO7" s="19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</row>
    <row r="8" spans="1:119" s="21" customFormat="1" ht="21.95" customHeight="1">
      <c r="A8" s="15"/>
      <c r="B8" s="15"/>
      <c r="C8" s="15" t="s">
        <v>47</v>
      </c>
      <c r="D8" s="15" t="s">
        <v>71</v>
      </c>
      <c r="E8" s="63">
        <v>43971</v>
      </c>
      <c r="F8" s="27">
        <f t="shared" ca="1" si="0"/>
        <v>1</v>
      </c>
      <c r="G8" s="15">
        <v>4</v>
      </c>
      <c r="H8" s="60">
        <v>43971</v>
      </c>
      <c r="I8" s="27">
        <f t="shared" ca="1" si="9"/>
        <v>21</v>
      </c>
      <c r="J8" s="45" t="str">
        <f t="shared" ca="1" si="10"/>
        <v>يستحق</v>
      </c>
      <c r="K8" s="61">
        <f t="shared" si="1"/>
        <v>44151</v>
      </c>
      <c r="L8" s="27">
        <v>21</v>
      </c>
      <c r="M8" s="16"/>
      <c r="N8" s="40">
        <f t="shared" si="2"/>
        <v>0</v>
      </c>
      <c r="O8" s="41">
        <f t="shared" si="3"/>
        <v>0</v>
      </c>
      <c r="P8" s="42">
        <f t="shared" si="4"/>
        <v>0</v>
      </c>
      <c r="Q8" s="43">
        <f t="shared" si="5"/>
        <v>21</v>
      </c>
      <c r="R8" s="16"/>
      <c r="S8" s="40">
        <f t="shared" si="6"/>
        <v>0</v>
      </c>
      <c r="T8" s="41">
        <f t="shared" si="7"/>
        <v>0</v>
      </c>
      <c r="U8" s="42">
        <f t="shared" si="8"/>
        <v>0</v>
      </c>
      <c r="V8" s="16"/>
      <c r="W8" s="17"/>
      <c r="X8" s="18"/>
      <c r="Y8" s="18"/>
      <c r="Z8" s="18"/>
      <c r="AA8" s="19"/>
      <c r="AB8" s="16"/>
      <c r="AC8" s="17"/>
      <c r="AD8" s="18"/>
      <c r="AE8" s="18"/>
      <c r="AF8" s="18"/>
      <c r="AG8" s="19"/>
      <c r="AH8" s="16"/>
      <c r="AI8" s="17"/>
      <c r="AJ8" s="18"/>
      <c r="AK8" s="18"/>
      <c r="AL8" s="18"/>
      <c r="AM8" s="19"/>
      <c r="AN8" s="16"/>
      <c r="AO8" s="17"/>
      <c r="AP8" s="18"/>
      <c r="AQ8" s="18"/>
      <c r="AR8" s="18"/>
      <c r="AS8" s="19"/>
      <c r="AT8" s="16"/>
      <c r="AU8" s="17"/>
      <c r="AV8" s="18"/>
      <c r="AW8" s="18"/>
      <c r="AX8" s="18"/>
      <c r="AY8" s="19"/>
      <c r="AZ8" s="16"/>
      <c r="BA8" s="17"/>
      <c r="BB8" s="18"/>
      <c r="BC8" s="18"/>
      <c r="BD8" s="18"/>
      <c r="BE8" s="19"/>
      <c r="BF8" s="16"/>
      <c r="BG8" s="17"/>
      <c r="BH8" s="18"/>
      <c r="BI8" s="18"/>
      <c r="BJ8" s="18"/>
      <c r="BK8" s="19"/>
      <c r="BL8" s="16"/>
      <c r="BM8" s="17"/>
      <c r="BN8" s="18"/>
      <c r="BO8" s="18"/>
      <c r="BP8" s="18"/>
      <c r="BQ8" s="19"/>
      <c r="BR8" s="16"/>
      <c r="BS8" s="17"/>
      <c r="BT8" s="18"/>
      <c r="BU8" s="18"/>
      <c r="BV8" s="18"/>
      <c r="BW8" s="19"/>
      <c r="BX8" s="16"/>
      <c r="BY8" s="17"/>
      <c r="BZ8" s="18"/>
      <c r="CA8" s="18"/>
      <c r="CB8" s="18"/>
      <c r="CC8" s="19"/>
      <c r="CD8" s="16"/>
      <c r="CE8" s="17"/>
      <c r="CF8" s="18"/>
      <c r="CG8" s="18"/>
      <c r="CH8" s="18"/>
      <c r="CI8" s="19"/>
      <c r="CJ8" s="16"/>
      <c r="CK8" s="17"/>
      <c r="CL8" s="18"/>
      <c r="CM8" s="18"/>
      <c r="CN8" s="18"/>
      <c r="CO8" s="19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</row>
    <row r="9" spans="1:119" s="21" customFormat="1" ht="21.95" customHeight="1">
      <c r="A9" s="15"/>
      <c r="B9" s="15"/>
      <c r="C9" s="15" t="s">
        <v>48</v>
      </c>
      <c r="D9" s="15" t="s">
        <v>71</v>
      </c>
      <c r="E9" s="58">
        <v>27386</v>
      </c>
      <c r="F9" s="27">
        <f t="shared" ca="1" si="0"/>
        <v>47</v>
      </c>
      <c r="G9" s="15">
        <v>11</v>
      </c>
      <c r="H9" s="60">
        <v>37622</v>
      </c>
      <c r="I9" s="27">
        <f t="shared" ca="1" si="9"/>
        <v>230</v>
      </c>
      <c r="J9" s="45" t="str">
        <f t="shared" ca="1" si="10"/>
        <v>يستحق</v>
      </c>
      <c r="K9" s="61">
        <f t="shared" si="1"/>
        <v>37802</v>
      </c>
      <c r="L9" s="27">
        <v>21</v>
      </c>
      <c r="M9" s="16"/>
      <c r="N9" s="40">
        <f t="shared" si="2"/>
        <v>0</v>
      </c>
      <c r="O9" s="41">
        <f t="shared" si="3"/>
        <v>0</v>
      </c>
      <c r="P9" s="42">
        <f t="shared" si="4"/>
        <v>0</v>
      </c>
      <c r="Q9" s="43">
        <f t="shared" si="5"/>
        <v>21</v>
      </c>
      <c r="R9" s="16"/>
      <c r="S9" s="40">
        <f t="shared" si="6"/>
        <v>0</v>
      </c>
      <c r="T9" s="41">
        <f t="shared" si="7"/>
        <v>0</v>
      </c>
      <c r="U9" s="42">
        <f t="shared" si="8"/>
        <v>0</v>
      </c>
      <c r="V9" s="16"/>
      <c r="W9" s="17"/>
      <c r="X9" s="18"/>
      <c r="Y9" s="18"/>
      <c r="Z9" s="18"/>
      <c r="AA9" s="19"/>
      <c r="AB9" s="16"/>
      <c r="AC9" s="17"/>
      <c r="AD9" s="18"/>
      <c r="AE9" s="18"/>
      <c r="AF9" s="18"/>
      <c r="AG9" s="19"/>
      <c r="AH9" s="16"/>
      <c r="AI9" s="17"/>
      <c r="AJ9" s="18"/>
      <c r="AK9" s="18"/>
      <c r="AL9" s="18"/>
      <c r="AM9" s="19"/>
      <c r="AN9" s="16"/>
      <c r="AO9" s="17"/>
      <c r="AP9" s="18"/>
      <c r="AQ9" s="18"/>
      <c r="AR9" s="18"/>
      <c r="AS9" s="19"/>
      <c r="AT9" s="16"/>
      <c r="AU9" s="17"/>
      <c r="AV9" s="18"/>
      <c r="AW9" s="18"/>
      <c r="AX9" s="18"/>
      <c r="AY9" s="19"/>
      <c r="AZ9" s="16"/>
      <c r="BA9" s="17"/>
      <c r="BB9" s="18"/>
      <c r="BC9" s="18"/>
      <c r="BD9" s="18"/>
      <c r="BE9" s="19"/>
      <c r="BF9" s="16"/>
      <c r="BG9" s="17"/>
      <c r="BH9" s="18"/>
      <c r="BI9" s="18"/>
      <c r="BJ9" s="18"/>
      <c r="BK9" s="19"/>
      <c r="BL9" s="16"/>
      <c r="BM9" s="17"/>
      <c r="BN9" s="18"/>
      <c r="BO9" s="18"/>
      <c r="BP9" s="18"/>
      <c r="BQ9" s="19"/>
      <c r="BR9" s="16"/>
      <c r="BS9" s="17"/>
      <c r="BT9" s="18"/>
      <c r="BU9" s="18"/>
      <c r="BV9" s="18"/>
      <c r="BW9" s="19"/>
      <c r="BX9" s="16"/>
      <c r="BY9" s="17"/>
      <c r="BZ9" s="18"/>
      <c r="CA9" s="18"/>
      <c r="CB9" s="18"/>
      <c r="CC9" s="19"/>
      <c r="CD9" s="16"/>
      <c r="CE9" s="17"/>
      <c r="CF9" s="18"/>
      <c r="CG9" s="18"/>
      <c r="CH9" s="18"/>
      <c r="CI9" s="19"/>
      <c r="CJ9" s="16"/>
      <c r="CK9" s="17"/>
      <c r="CL9" s="18"/>
      <c r="CM9" s="18"/>
      <c r="CN9" s="18"/>
      <c r="CO9" s="19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</row>
    <row r="10" spans="1:119" s="21" customFormat="1" ht="21.95" customHeight="1">
      <c r="A10" s="15"/>
      <c r="B10" s="15"/>
      <c r="C10" s="15" t="s">
        <v>49</v>
      </c>
      <c r="D10" s="15" t="s">
        <v>71</v>
      </c>
      <c r="E10" s="58">
        <v>19711</v>
      </c>
      <c r="F10" s="27">
        <f t="shared" ca="1" si="0"/>
        <v>68</v>
      </c>
      <c r="G10" s="15">
        <v>0</v>
      </c>
      <c r="H10" s="60">
        <v>33970</v>
      </c>
      <c r="I10" s="27">
        <f t="shared" ca="1" si="9"/>
        <v>350</v>
      </c>
      <c r="J10" s="45" t="str">
        <f t="shared" ca="1" si="10"/>
        <v>يستحق</v>
      </c>
      <c r="K10" s="61">
        <f t="shared" si="1"/>
        <v>34150</v>
      </c>
      <c r="L10" s="27">
        <v>21</v>
      </c>
      <c r="M10" s="16"/>
      <c r="N10" s="40">
        <f t="shared" si="2"/>
        <v>0</v>
      </c>
      <c r="O10" s="41">
        <f t="shared" si="3"/>
        <v>0</v>
      </c>
      <c r="P10" s="42">
        <f t="shared" si="4"/>
        <v>0</v>
      </c>
      <c r="Q10" s="43">
        <f t="shared" si="5"/>
        <v>21</v>
      </c>
      <c r="R10" s="16"/>
      <c r="S10" s="40">
        <f t="shared" si="6"/>
        <v>0</v>
      </c>
      <c r="T10" s="41">
        <f t="shared" si="7"/>
        <v>0</v>
      </c>
      <c r="U10" s="42">
        <f t="shared" si="8"/>
        <v>0</v>
      </c>
      <c r="V10" s="16"/>
      <c r="W10" s="17"/>
      <c r="X10" s="18"/>
      <c r="Y10" s="18"/>
      <c r="Z10" s="18"/>
      <c r="AA10" s="19"/>
      <c r="AB10" s="16"/>
      <c r="AC10" s="17"/>
      <c r="AD10" s="18"/>
      <c r="AE10" s="18"/>
      <c r="AF10" s="18"/>
      <c r="AG10" s="19"/>
      <c r="AH10" s="16"/>
      <c r="AI10" s="17"/>
      <c r="AJ10" s="18"/>
      <c r="AK10" s="18"/>
      <c r="AL10" s="18"/>
      <c r="AM10" s="19"/>
      <c r="AN10" s="16"/>
      <c r="AO10" s="17"/>
      <c r="AP10" s="18"/>
      <c r="AQ10" s="18"/>
      <c r="AR10" s="18"/>
      <c r="AS10" s="19"/>
      <c r="AT10" s="16"/>
      <c r="AU10" s="17"/>
      <c r="AV10" s="18"/>
      <c r="AW10" s="18"/>
      <c r="AX10" s="18"/>
      <c r="AY10" s="19"/>
      <c r="AZ10" s="16"/>
      <c r="BA10" s="17"/>
      <c r="BB10" s="18"/>
      <c r="BC10" s="18"/>
      <c r="BD10" s="18"/>
      <c r="BE10" s="19"/>
      <c r="BF10" s="16"/>
      <c r="BG10" s="17"/>
      <c r="BH10" s="18"/>
      <c r="BI10" s="18"/>
      <c r="BJ10" s="18"/>
      <c r="BK10" s="19"/>
      <c r="BL10" s="16"/>
      <c r="BM10" s="17"/>
      <c r="BN10" s="18"/>
      <c r="BO10" s="18"/>
      <c r="BP10" s="18"/>
      <c r="BQ10" s="19"/>
      <c r="BR10" s="16"/>
      <c r="BS10" s="17"/>
      <c r="BT10" s="18"/>
      <c r="BU10" s="18"/>
      <c r="BV10" s="18"/>
      <c r="BW10" s="19"/>
      <c r="BX10" s="16"/>
      <c r="BY10" s="17"/>
      <c r="BZ10" s="18"/>
      <c r="CA10" s="18"/>
      <c r="CB10" s="18"/>
      <c r="CC10" s="19"/>
      <c r="CD10" s="16"/>
      <c r="CE10" s="17"/>
      <c r="CF10" s="18"/>
      <c r="CG10" s="18"/>
      <c r="CH10" s="18"/>
      <c r="CI10" s="19"/>
      <c r="CJ10" s="16"/>
      <c r="CK10" s="17"/>
      <c r="CL10" s="18"/>
      <c r="CM10" s="18"/>
      <c r="CN10" s="18"/>
      <c r="CO10" s="19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</row>
    <row r="11" spans="1:119" s="21" customFormat="1" ht="21.95" customHeight="1">
      <c r="A11" s="15"/>
      <c r="B11" s="15"/>
      <c r="C11" s="15" t="s">
        <v>50</v>
      </c>
      <c r="D11" s="15" t="s">
        <v>72</v>
      </c>
      <c r="E11" s="58">
        <v>28584</v>
      </c>
      <c r="F11" s="27">
        <f t="shared" ca="1" si="0"/>
        <v>43</v>
      </c>
      <c r="G11" s="15">
        <v>11</v>
      </c>
      <c r="H11" s="60">
        <v>40496</v>
      </c>
      <c r="I11" s="27">
        <f t="shared" ca="1" si="9"/>
        <v>135</v>
      </c>
      <c r="J11" s="45" t="str">
        <f t="shared" ca="1" si="10"/>
        <v>يستحق</v>
      </c>
      <c r="K11" s="61">
        <f t="shared" si="1"/>
        <v>40676</v>
      </c>
      <c r="L11" s="27">
        <v>21</v>
      </c>
      <c r="M11" s="16"/>
      <c r="N11" s="40">
        <f t="shared" si="2"/>
        <v>0</v>
      </c>
      <c r="O11" s="41">
        <f t="shared" si="3"/>
        <v>0</v>
      </c>
      <c r="P11" s="42">
        <f t="shared" si="4"/>
        <v>0</v>
      </c>
      <c r="Q11" s="43">
        <f t="shared" si="5"/>
        <v>21</v>
      </c>
      <c r="R11" s="16"/>
      <c r="S11" s="40">
        <f t="shared" si="6"/>
        <v>0</v>
      </c>
      <c r="T11" s="41">
        <f t="shared" si="7"/>
        <v>0</v>
      </c>
      <c r="U11" s="42">
        <f t="shared" si="8"/>
        <v>0</v>
      </c>
      <c r="V11" s="16"/>
      <c r="W11" s="17"/>
      <c r="X11" s="18"/>
      <c r="Y11" s="18"/>
      <c r="Z11" s="18"/>
      <c r="AA11" s="19"/>
      <c r="AB11" s="16"/>
      <c r="AC11" s="17"/>
      <c r="AD11" s="18"/>
      <c r="AE11" s="18"/>
      <c r="AF11" s="18"/>
      <c r="AG11" s="19"/>
      <c r="AH11" s="16"/>
      <c r="AI11" s="17"/>
      <c r="AJ11" s="18"/>
      <c r="AK11" s="18"/>
      <c r="AL11" s="18"/>
      <c r="AM11" s="19"/>
      <c r="AN11" s="16"/>
      <c r="AO11" s="17"/>
      <c r="AP11" s="18"/>
      <c r="AQ11" s="18"/>
      <c r="AR11" s="18"/>
      <c r="AS11" s="19"/>
      <c r="AT11" s="16"/>
      <c r="AU11" s="17"/>
      <c r="AV11" s="18"/>
      <c r="AW11" s="18"/>
      <c r="AX11" s="18"/>
      <c r="AY11" s="19"/>
      <c r="AZ11" s="16"/>
      <c r="BA11" s="17"/>
      <c r="BB11" s="18"/>
      <c r="BC11" s="18"/>
      <c r="BD11" s="18"/>
      <c r="BE11" s="19"/>
      <c r="BF11" s="16"/>
      <c r="BG11" s="17"/>
      <c r="BH11" s="18"/>
      <c r="BI11" s="18"/>
      <c r="BJ11" s="18"/>
      <c r="BK11" s="19"/>
      <c r="BL11" s="16"/>
      <c r="BM11" s="17"/>
      <c r="BN11" s="18"/>
      <c r="BO11" s="18"/>
      <c r="BP11" s="18"/>
      <c r="BQ11" s="19"/>
      <c r="BR11" s="16"/>
      <c r="BS11" s="17"/>
      <c r="BT11" s="18"/>
      <c r="BU11" s="18"/>
      <c r="BV11" s="18"/>
      <c r="BW11" s="19"/>
      <c r="BX11" s="16"/>
      <c r="BY11" s="17"/>
      <c r="BZ11" s="18"/>
      <c r="CA11" s="18"/>
      <c r="CB11" s="18"/>
      <c r="CC11" s="19"/>
      <c r="CD11" s="16"/>
      <c r="CE11" s="17"/>
      <c r="CF11" s="18"/>
      <c r="CG11" s="18"/>
      <c r="CH11" s="18"/>
      <c r="CI11" s="19"/>
      <c r="CJ11" s="16"/>
      <c r="CK11" s="17"/>
      <c r="CL11" s="18"/>
      <c r="CM11" s="18"/>
      <c r="CN11" s="18"/>
      <c r="CO11" s="19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</row>
    <row r="12" spans="1:119" s="21" customFormat="1" ht="21.95" customHeight="1">
      <c r="A12" s="15"/>
      <c r="B12" s="15"/>
      <c r="C12" s="15" t="s">
        <v>51</v>
      </c>
      <c r="D12" s="15" t="s">
        <v>72</v>
      </c>
      <c r="E12" s="58">
        <v>28128</v>
      </c>
      <c r="F12" s="27">
        <f t="shared" ca="1" si="0"/>
        <v>45</v>
      </c>
      <c r="G12" s="15">
        <v>11</v>
      </c>
      <c r="H12" s="60">
        <v>40179</v>
      </c>
      <c r="I12" s="27">
        <f t="shared" ca="1" si="9"/>
        <v>146</v>
      </c>
      <c r="J12" s="45" t="str">
        <f t="shared" ca="1" si="10"/>
        <v>يستحق</v>
      </c>
      <c r="K12" s="61">
        <f t="shared" si="1"/>
        <v>40359</v>
      </c>
      <c r="L12" s="27">
        <v>21</v>
      </c>
      <c r="M12" s="16"/>
      <c r="N12" s="40">
        <f t="shared" si="2"/>
        <v>0</v>
      </c>
      <c r="O12" s="41">
        <f t="shared" si="3"/>
        <v>0</v>
      </c>
      <c r="P12" s="42">
        <f t="shared" si="4"/>
        <v>0</v>
      </c>
      <c r="Q12" s="43">
        <f t="shared" si="5"/>
        <v>21</v>
      </c>
      <c r="R12" s="16"/>
      <c r="S12" s="40">
        <f t="shared" si="6"/>
        <v>0</v>
      </c>
      <c r="T12" s="41">
        <f t="shared" si="7"/>
        <v>0</v>
      </c>
      <c r="U12" s="42">
        <f t="shared" si="8"/>
        <v>0</v>
      </c>
      <c r="V12" s="16"/>
      <c r="W12" s="17"/>
      <c r="X12" s="18"/>
      <c r="Y12" s="18"/>
      <c r="Z12" s="18"/>
      <c r="AA12" s="19"/>
      <c r="AB12" s="16"/>
      <c r="AC12" s="17"/>
      <c r="AD12" s="18"/>
      <c r="AE12" s="18"/>
      <c r="AF12" s="18"/>
      <c r="AG12" s="19"/>
      <c r="AH12" s="16"/>
      <c r="AI12" s="17"/>
      <c r="AJ12" s="18"/>
      <c r="AK12" s="18"/>
      <c r="AL12" s="18"/>
      <c r="AM12" s="19"/>
      <c r="AN12" s="16"/>
      <c r="AO12" s="17"/>
      <c r="AP12" s="18"/>
      <c r="AQ12" s="18"/>
      <c r="AR12" s="18"/>
      <c r="AS12" s="19"/>
      <c r="AT12" s="16"/>
      <c r="AU12" s="17"/>
      <c r="AV12" s="18"/>
      <c r="AW12" s="18"/>
      <c r="AX12" s="18"/>
      <c r="AY12" s="19"/>
      <c r="AZ12" s="16"/>
      <c r="BA12" s="17"/>
      <c r="BB12" s="18"/>
      <c r="BC12" s="18"/>
      <c r="BD12" s="18"/>
      <c r="BE12" s="19"/>
      <c r="BF12" s="16"/>
      <c r="BG12" s="17"/>
      <c r="BH12" s="18"/>
      <c r="BI12" s="18"/>
      <c r="BJ12" s="18"/>
      <c r="BK12" s="19"/>
      <c r="BL12" s="16"/>
      <c r="BM12" s="17"/>
      <c r="BN12" s="18"/>
      <c r="BO12" s="18"/>
      <c r="BP12" s="18"/>
      <c r="BQ12" s="19"/>
      <c r="BR12" s="16"/>
      <c r="BS12" s="17"/>
      <c r="BT12" s="18"/>
      <c r="BU12" s="18"/>
      <c r="BV12" s="18"/>
      <c r="BW12" s="19"/>
      <c r="BX12" s="16"/>
      <c r="BY12" s="17"/>
      <c r="BZ12" s="18"/>
      <c r="CA12" s="18"/>
      <c r="CB12" s="18"/>
      <c r="CC12" s="19"/>
      <c r="CD12" s="16"/>
      <c r="CE12" s="17"/>
      <c r="CF12" s="18"/>
      <c r="CG12" s="18"/>
      <c r="CH12" s="18"/>
      <c r="CI12" s="19"/>
      <c r="CJ12" s="16"/>
      <c r="CK12" s="17"/>
      <c r="CL12" s="18"/>
      <c r="CM12" s="18"/>
      <c r="CN12" s="18"/>
      <c r="CO12" s="19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</row>
    <row r="13" spans="1:119" s="21" customFormat="1" ht="21.95" customHeight="1">
      <c r="A13" s="15"/>
      <c r="B13" s="15"/>
      <c r="C13" s="15" t="s">
        <v>51</v>
      </c>
      <c r="D13" s="15" t="s">
        <v>72</v>
      </c>
      <c r="E13" s="58">
        <v>33071</v>
      </c>
      <c r="F13" s="27">
        <f t="shared" ca="1" si="0"/>
        <v>31</v>
      </c>
      <c r="G13" s="15">
        <v>5</v>
      </c>
      <c r="H13" s="60">
        <v>42618</v>
      </c>
      <c r="I13" s="27">
        <f t="shared" ca="1" si="9"/>
        <v>65</v>
      </c>
      <c r="J13" s="45" t="str">
        <f t="shared" ca="1" si="10"/>
        <v>يستحق</v>
      </c>
      <c r="K13" s="61">
        <f t="shared" si="1"/>
        <v>42798</v>
      </c>
      <c r="L13" s="27">
        <v>21</v>
      </c>
      <c r="M13" s="16"/>
      <c r="N13" s="40">
        <f t="shared" si="2"/>
        <v>0</v>
      </c>
      <c r="O13" s="41">
        <f t="shared" si="3"/>
        <v>0</v>
      </c>
      <c r="P13" s="42">
        <f t="shared" si="4"/>
        <v>0</v>
      </c>
      <c r="Q13" s="43">
        <f t="shared" si="5"/>
        <v>21</v>
      </c>
      <c r="R13" s="16"/>
      <c r="S13" s="40">
        <f t="shared" si="6"/>
        <v>0</v>
      </c>
      <c r="T13" s="41">
        <f t="shared" si="7"/>
        <v>0</v>
      </c>
      <c r="U13" s="42">
        <f t="shared" si="8"/>
        <v>0</v>
      </c>
      <c r="V13" s="16"/>
      <c r="W13" s="17"/>
      <c r="X13" s="18"/>
      <c r="Y13" s="18"/>
      <c r="Z13" s="18"/>
      <c r="AA13" s="19"/>
      <c r="AB13" s="16"/>
      <c r="AC13" s="17"/>
      <c r="AD13" s="18"/>
      <c r="AE13" s="18"/>
      <c r="AF13" s="18"/>
      <c r="AG13" s="19"/>
      <c r="AH13" s="16"/>
      <c r="AI13" s="17"/>
      <c r="AJ13" s="18"/>
      <c r="AK13" s="18"/>
      <c r="AL13" s="18"/>
      <c r="AM13" s="19"/>
      <c r="AN13" s="16"/>
      <c r="AO13" s="17"/>
      <c r="AP13" s="18"/>
      <c r="AQ13" s="18"/>
      <c r="AR13" s="18"/>
      <c r="AS13" s="19"/>
      <c r="AT13" s="16"/>
      <c r="AU13" s="17"/>
      <c r="AV13" s="18"/>
      <c r="AW13" s="18"/>
      <c r="AX13" s="18"/>
      <c r="AY13" s="19"/>
      <c r="AZ13" s="16"/>
      <c r="BA13" s="17"/>
      <c r="BB13" s="18"/>
      <c r="BC13" s="18"/>
      <c r="BD13" s="18"/>
      <c r="BE13" s="19"/>
      <c r="BF13" s="16"/>
      <c r="BG13" s="17"/>
      <c r="BH13" s="18"/>
      <c r="BI13" s="18"/>
      <c r="BJ13" s="18"/>
      <c r="BK13" s="19"/>
      <c r="BL13" s="16"/>
      <c r="BM13" s="17"/>
      <c r="BN13" s="18"/>
      <c r="BO13" s="18"/>
      <c r="BP13" s="18"/>
      <c r="BQ13" s="19"/>
      <c r="BR13" s="16"/>
      <c r="BS13" s="17"/>
      <c r="BT13" s="18"/>
      <c r="BU13" s="18"/>
      <c r="BV13" s="18"/>
      <c r="BW13" s="19"/>
      <c r="BX13" s="16"/>
      <c r="BY13" s="17"/>
      <c r="BZ13" s="18"/>
      <c r="CA13" s="18"/>
      <c r="CB13" s="18"/>
      <c r="CC13" s="19"/>
      <c r="CD13" s="16"/>
      <c r="CE13" s="17"/>
      <c r="CF13" s="18"/>
      <c r="CG13" s="18"/>
      <c r="CH13" s="18"/>
      <c r="CI13" s="19"/>
      <c r="CJ13" s="16"/>
      <c r="CK13" s="17"/>
      <c r="CL13" s="18"/>
      <c r="CM13" s="18"/>
      <c r="CN13" s="18"/>
      <c r="CO13" s="19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</row>
    <row r="14" spans="1:119" s="21" customFormat="1" ht="21.95" customHeight="1">
      <c r="A14" s="15"/>
      <c r="B14" s="15"/>
      <c r="C14" s="15" t="s">
        <v>52</v>
      </c>
      <c r="D14" s="15" t="s">
        <v>71</v>
      </c>
      <c r="E14" s="58">
        <v>25867</v>
      </c>
      <c r="F14" s="27">
        <f t="shared" ca="1" si="0"/>
        <v>51</v>
      </c>
      <c r="G14" s="15">
        <v>10</v>
      </c>
      <c r="H14" s="60">
        <v>40911</v>
      </c>
      <c r="I14" s="27">
        <f t="shared" ca="1" si="9"/>
        <v>121</v>
      </c>
      <c r="J14" s="45" t="str">
        <f t="shared" ca="1" si="10"/>
        <v>يستحق</v>
      </c>
      <c r="K14" s="61">
        <f t="shared" si="1"/>
        <v>41091</v>
      </c>
      <c r="L14" s="27">
        <v>21</v>
      </c>
      <c r="M14" s="16"/>
      <c r="N14" s="40">
        <f t="shared" si="2"/>
        <v>0</v>
      </c>
      <c r="O14" s="41">
        <f t="shared" si="3"/>
        <v>0</v>
      </c>
      <c r="P14" s="42">
        <f t="shared" si="4"/>
        <v>0</v>
      </c>
      <c r="Q14" s="43">
        <f t="shared" si="5"/>
        <v>21</v>
      </c>
      <c r="R14" s="16"/>
      <c r="S14" s="40">
        <f t="shared" si="6"/>
        <v>0</v>
      </c>
      <c r="T14" s="41">
        <f t="shared" si="7"/>
        <v>0</v>
      </c>
      <c r="U14" s="42">
        <f t="shared" si="8"/>
        <v>0</v>
      </c>
      <c r="V14" s="16"/>
      <c r="W14" s="17"/>
      <c r="X14" s="18"/>
      <c r="Y14" s="18"/>
      <c r="Z14" s="18"/>
      <c r="AA14" s="19"/>
      <c r="AB14" s="16"/>
      <c r="AC14" s="17"/>
      <c r="AD14" s="18"/>
      <c r="AE14" s="18"/>
      <c r="AF14" s="18"/>
      <c r="AG14" s="19"/>
      <c r="AH14" s="16"/>
      <c r="AI14" s="17"/>
      <c r="AJ14" s="18"/>
      <c r="AK14" s="18"/>
      <c r="AL14" s="18"/>
      <c r="AM14" s="19"/>
      <c r="AN14" s="16"/>
      <c r="AO14" s="17"/>
      <c r="AP14" s="18"/>
      <c r="AQ14" s="18"/>
      <c r="AR14" s="18"/>
      <c r="AS14" s="19"/>
      <c r="AT14" s="16"/>
      <c r="AU14" s="17"/>
      <c r="AV14" s="18"/>
      <c r="AW14" s="18"/>
      <c r="AX14" s="18"/>
      <c r="AY14" s="19"/>
      <c r="AZ14" s="16"/>
      <c r="BA14" s="17"/>
      <c r="BB14" s="18"/>
      <c r="BC14" s="18"/>
      <c r="BD14" s="18"/>
      <c r="BE14" s="19"/>
      <c r="BF14" s="16"/>
      <c r="BG14" s="17"/>
      <c r="BH14" s="18"/>
      <c r="BI14" s="18"/>
      <c r="BJ14" s="18"/>
      <c r="BK14" s="19"/>
      <c r="BL14" s="16"/>
      <c r="BM14" s="17"/>
      <c r="BN14" s="18"/>
      <c r="BO14" s="18"/>
      <c r="BP14" s="18"/>
      <c r="BQ14" s="19"/>
      <c r="BR14" s="16"/>
      <c r="BS14" s="17"/>
      <c r="BT14" s="18"/>
      <c r="BU14" s="18"/>
      <c r="BV14" s="18"/>
      <c r="BW14" s="19"/>
      <c r="BX14" s="16"/>
      <c r="BY14" s="17"/>
      <c r="BZ14" s="18"/>
      <c r="CA14" s="18"/>
      <c r="CB14" s="18"/>
      <c r="CC14" s="19"/>
      <c r="CD14" s="16"/>
      <c r="CE14" s="17"/>
      <c r="CF14" s="18"/>
      <c r="CG14" s="18"/>
      <c r="CH14" s="18"/>
      <c r="CI14" s="19"/>
      <c r="CJ14" s="16"/>
      <c r="CK14" s="17"/>
      <c r="CL14" s="18"/>
      <c r="CM14" s="18"/>
      <c r="CN14" s="18"/>
      <c r="CO14" s="19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</row>
    <row r="15" spans="1:119" s="21" customFormat="1" ht="21.95" customHeight="1">
      <c r="A15" s="15"/>
      <c r="B15" s="15"/>
      <c r="C15" s="15" t="s">
        <v>53</v>
      </c>
      <c r="D15" s="15" t="s">
        <v>15</v>
      </c>
      <c r="E15" s="58">
        <v>29302</v>
      </c>
      <c r="F15" s="27">
        <f t="shared" ca="1" si="0"/>
        <v>41</v>
      </c>
      <c r="G15" s="15">
        <v>7</v>
      </c>
      <c r="H15" s="60">
        <v>42381</v>
      </c>
      <c r="I15" s="27">
        <f t="shared" ca="1" si="9"/>
        <v>73</v>
      </c>
      <c r="J15" s="45" t="str">
        <f t="shared" ca="1" si="10"/>
        <v>يستحق</v>
      </c>
      <c r="K15" s="61">
        <f t="shared" si="1"/>
        <v>42561</v>
      </c>
      <c r="L15" s="27">
        <v>21</v>
      </c>
      <c r="M15" s="16"/>
      <c r="N15" s="40">
        <f t="shared" si="2"/>
        <v>0</v>
      </c>
      <c r="O15" s="41">
        <f t="shared" si="3"/>
        <v>0</v>
      </c>
      <c r="P15" s="42">
        <f t="shared" si="4"/>
        <v>0</v>
      </c>
      <c r="Q15" s="43">
        <f t="shared" si="5"/>
        <v>21</v>
      </c>
      <c r="R15" s="16"/>
      <c r="S15" s="40">
        <f t="shared" si="6"/>
        <v>0</v>
      </c>
      <c r="T15" s="41">
        <f t="shared" si="7"/>
        <v>0</v>
      </c>
      <c r="U15" s="42">
        <f t="shared" si="8"/>
        <v>0</v>
      </c>
      <c r="V15" s="16"/>
      <c r="W15" s="17"/>
      <c r="X15" s="18"/>
      <c r="Y15" s="18"/>
      <c r="Z15" s="18"/>
      <c r="AA15" s="19"/>
      <c r="AB15" s="16"/>
      <c r="AC15" s="17"/>
      <c r="AD15" s="18"/>
      <c r="AE15" s="18"/>
      <c r="AF15" s="18"/>
      <c r="AG15" s="19"/>
      <c r="AH15" s="16"/>
      <c r="AI15" s="17"/>
      <c r="AJ15" s="18"/>
      <c r="AK15" s="18"/>
      <c r="AL15" s="18"/>
      <c r="AM15" s="19"/>
      <c r="AN15" s="16"/>
      <c r="AO15" s="17"/>
      <c r="AP15" s="18"/>
      <c r="AQ15" s="18"/>
      <c r="AR15" s="18"/>
      <c r="AS15" s="19"/>
      <c r="AT15" s="16"/>
      <c r="AU15" s="17"/>
      <c r="AV15" s="18"/>
      <c r="AW15" s="18"/>
      <c r="AX15" s="18"/>
      <c r="AY15" s="19"/>
      <c r="AZ15" s="16"/>
      <c r="BA15" s="17"/>
      <c r="BB15" s="18"/>
      <c r="BC15" s="18"/>
      <c r="BD15" s="18"/>
      <c r="BE15" s="19"/>
      <c r="BF15" s="16"/>
      <c r="BG15" s="17"/>
      <c r="BH15" s="18"/>
      <c r="BI15" s="18"/>
      <c r="BJ15" s="18"/>
      <c r="BK15" s="19"/>
      <c r="BL15" s="16"/>
      <c r="BM15" s="17"/>
      <c r="BN15" s="18"/>
      <c r="BO15" s="18"/>
      <c r="BP15" s="18"/>
      <c r="BQ15" s="19"/>
      <c r="BR15" s="16"/>
      <c r="BS15" s="17"/>
      <c r="BT15" s="18"/>
      <c r="BU15" s="18"/>
      <c r="BV15" s="18"/>
      <c r="BW15" s="19"/>
      <c r="BX15" s="16"/>
      <c r="BY15" s="17"/>
      <c r="BZ15" s="18"/>
      <c r="CA15" s="18"/>
      <c r="CB15" s="18"/>
      <c r="CC15" s="19"/>
      <c r="CD15" s="16"/>
      <c r="CE15" s="17"/>
      <c r="CF15" s="18"/>
      <c r="CG15" s="18"/>
      <c r="CH15" s="18"/>
      <c r="CI15" s="19"/>
      <c r="CJ15" s="16"/>
      <c r="CK15" s="17"/>
      <c r="CL15" s="18"/>
      <c r="CM15" s="18"/>
      <c r="CN15" s="18"/>
      <c r="CO15" s="19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</row>
    <row r="16" spans="1:119" s="21" customFormat="1" ht="21.95" customHeight="1">
      <c r="A16" s="15"/>
      <c r="B16" s="15"/>
      <c r="C16" s="15" t="s">
        <v>54</v>
      </c>
      <c r="D16" s="15" t="s">
        <v>71</v>
      </c>
      <c r="E16" s="58">
        <v>24098</v>
      </c>
      <c r="F16" s="27">
        <f t="shared" ca="1" si="0"/>
        <v>56</v>
      </c>
      <c r="G16" s="15">
        <v>11</v>
      </c>
      <c r="H16" s="60">
        <v>40911</v>
      </c>
      <c r="I16" s="27">
        <f t="shared" ca="1" si="9"/>
        <v>121</v>
      </c>
      <c r="J16" s="45" t="str">
        <f t="shared" ca="1" si="10"/>
        <v>يستحق</v>
      </c>
      <c r="K16" s="61">
        <f t="shared" si="1"/>
        <v>41091</v>
      </c>
      <c r="L16" s="27">
        <v>21</v>
      </c>
      <c r="M16" s="16"/>
      <c r="N16" s="40">
        <f t="shared" si="2"/>
        <v>0</v>
      </c>
      <c r="O16" s="41">
        <f t="shared" si="3"/>
        <v>0</v>
      </c>
      <c r="P16" s="42">
        <f t="shared" si="4"/>
        <v>0</v>
      </c>
      <c r="Q16" s="43">
        <f t="shared" si="5"/>
        <v>21</v>
      </c>
      <c r="R16" s="16"/>
      <c r="S16" s="40">
        <f t="shared" si="6"/>
        <v>0</v>
      </c>
      <c r="T16" s="41">
        <f t="shared" si="7"/>
        <v>0</v>
      </c>
      <c r="U16" s="42">
        <f t="shared" si="8"/>
        <v>0</v>
      </c>
      <c r="V16" s="16"/>
      <c r="W16" s="17"/>
      <c r="X16" s="18"/>
      <c r="Y16" s="18"/>
      <c r="Z16" s="18"/>
      <c r="AA16" s="19"/>
      <c r="AB16" s="16"/>
      <c r="AC16" s="17"/>
      <c r="AD16" s="18"/>
      <c r="AE16" s="18"/>
      <c r="AF16" s="18"/>
      <c r="AG16" s="19"/>
      <c r="AH16" s="16"/>
      <c r="AI16" s="17"/>
      <c r="AJ16" s="18"/>
      <c r="AK16" s="18"/>
      <c r="AL16" s="18"/>
      <c r="AM16" s="19"/>
      <c r="AN16" s="16"/>
      <c r="AO16" s="17"/>
      <c r="AP16" s="18"/>
      <c r="AQ16" s="18"/>
      <c r="AR16" s="18"/>
      <c r="AS16" s="19"/>
      <c r="AT16" s="16"/>
      <c r="AU16" s="17"/>
      <c r="AV16" s="18"/>
      <c r="AW16" s="18"/>
      <c r="AX16" s="18"/>
      <c r="AY16" s="19"/>
      <c r="AZ16" s="16"/>
      <c r="BA16" s="17"/>
      <c r="BB16" s="18"/>
      <c r="BC16" s="18"/>
      <c r="BD16" s="18"/>
      <c r="BE16" s="19"/>
      <c r="BF16" s="16"/>
      <c r="BG16" s="17"/>
      <c r="BH16" s="18"/>
      <c r="BI16" s="18"/>
      <c r="BJ16" s="18"/>
      <c r="BK16" s="19"/>
      <c r="BL16" s="16"/>
      <c r="BM16" s="17"/>
      <c r="BN16" s="18"/>
      <c r="BO16" s="18"/>
      <c r="BP16" s="18"/>
      <c r="BQ16" s="19"/>
      <c r="BR16" s="16"/>
      <c r="BS16" s="17"/>
      <c r="BT16" s="18"/>
      <c r="BU16" s="18"/>
      <c r="BV16" s="18"/>
      <c r="BW16" s="19"/>
      <c r="BX16" s="16"/>
      <c r="BY16" s="17"/>
      <c r="BZ16" s="18"/>
      <c r="CA16" s="18"/>
      <c r="CB16" s="18"/>
      <c r="CC16" s="19"/>
      <c r="CD16" s="16"/>
      <c r="CE16" s="17"/>
      <c r="CF16" s="18"/>
      <c r="CG16" s="18"/>
      <c r="CH16" s="18"/>
      <c r="CI16" s="19"/>
      <c r="CJ16" s="16"/>
      <c r="CK16" s="17"/>
      <c r="CL16" s="18"/>
      <c r="CM16" s="18"/>
      <c r="CN16" s="18"/>
      <c r="CO16" s="19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</row>
    <row r="17" spans="1:119" s="21" customFormat="1" ht="21.95" customHeight="1">
      <c r="A17" s="15"/>
      <c r="B17" s="15"/>
      <c r="C17" s="15" t="s">
        <v>55</v>
      </c>
      <c r="D17" s="15" t="s">
        <v>71</v>
      </c>
      <c r="E17" s="58">
        <v>24372</v>
      </c>
      <c r="F17" s="27">
        <f t="shared" ca="1" si="0"/>
        <v>55</v>
      </c>
      <c r="G17" s="15">
        <v>11</v>
      </c>
      <c r="H17" s="60">
        <v>40911</v>
      </c>
      <c r="I17" s="27">
        <f t="shared" ca="1" si="9"/>
        <v>121</v>
      </c>
      <c r="J17" s="45" t="str">
        <f t="shared" ca="1" si="10"/>
        <v>يستحق</v>
      </c>
      <c r="K17" s="61">
        <f t="shared" si="1"/>
        <v>41091</v>
      </c>
      <c r="L17" s="27">
        <v>21</v>
      </c>
      <c r="M17" s="16"/>
      <c r="N17" s="40">
        <f t="shared" si="2"/>
        <v>0</v>
      </c>
      <c r="O17" s="41">
        <f t="shared" si="3"/>
        <v>0</v>
      </c>
      <c r="P17" s="42">
        <f t="shared" si="4"/>
        <v>0</v>
      </c>
      <c r="Q17" s="43">
        <f t="shared" si="5"/>
        <v>21</v>
      </c>
      <c r="R17" s="16"/>
      <c r="S17" s="40">
        <f t="shared" si="6"/>
        <v>0</v>
      </c>
      <c r="T17" s="41">
        <f t="shared" si="7"/>
        <v>0</v>
      </c>
      <c r="U17" s="42">
        <f t="shared" si="8"/>
        <v>0</v>
      </c>
      <c r="V17" s="16"/>
      <c r="W17" s="17"/>
      <c r="X17" s="18"/>
      <c r="Y17" s="18"/>
      <c r="Z17" s="18"/>
      <c r="AA17" s="19"/>
      <c r="AB17" s="16"/>
      <c r="AC17" s="17"/>
      <c r="AD17" s="18"/>
      <c r="AE17" s="18"/>
      <c r="AF17" s="18"/>
      <c r="AG17" s="19"/>
      <c r="AH17" s="16"/>
      <c r="AI17" s="17"/>
      <c r="AJ17" s="18"/>
      <c r="AK17" s="18"/>
      <c r="AL17" s="18"/>
      <c r="AM17" s="19"/>
      <c r="AN17" s="16"/>
      <c r="AO17" s="17"/>
      <c r="AP17" s="18"/>
      <c r="AQ17" s="18"/>
      <c r="AR17" s="18"/>
      <c r="AS17" s="19"/>
      <c r="AT17" s="16"/>
      <c r="AU17" s="17"/>
      <c r="AV17" s="18"/>
      <c r="AW17" s="18"/>
      <c r="AX17" s="18"/>
      <c r="AY17" s="19"/>
      <c r="AZ17" s="16"/>
      <c r="BA17" s="17"/>
      <c r="BB17" s="18"/>
      <c r="BC17" s="18"/>
      <c r="BD17" s="18"/>
      <c r="BE17" s="19"/>
      <c r="BF17" s="16"/>
      <c r="BG17" s="17"/>
      <c r="BH17" s="18"/>
      <c r="BI17" s="18"/>
      <c r="BJ17" s="18"/>
      <c r="BK17" s="19"/>
      <c r="BL17" s="16"/>
      <c r="BM17" s="17"/>
      <c r="BN17" s="18"/>
      <c r="BO17" s="18"/>
      <c r="BP17" s="18"/>
      <c r="BQ17" s="19"/>
      <c r="BR17" s="16"/>
      <c r="BS17" s="17"/>
      <c r="BT17" s="18"/>
      <c r="BU17" s="18"/>
      <c r="BV17" s="18"/>
      <c r="BW17" s="19"/>
      <c r="BX17" s="16"/>
      <c r="BY17" s="17"/>
      <c r="BZ17" s="18"/>
      <c r="CA17" s="18"/>
      <c r="CB17" s="18"/>
      <c r="CC17" s="19"/>
      <c r="CD17" s="16"/>
      <c r="CE17" s="17"/>
      <c r="CF17" s="18"/>
      <c r="CG17" s="18"/>
      <c r="CH17" s="18"/>
      <c r="CI17" s="19"/>
      <c r="CJ17" s="16"/>
      <c r="CK17" s="17"/>
      <c r="CL17" s="18"/>
      <c r="CM17" s="18"/>
      <c r="CN17" s="18"/>
      <c r="CO17" s="19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</row>
    <row r="18" spans="1:119" s="21" customFormat="1" ht="21.95" customHeight="1">
      <c r="A18" s="15"/>
      <c r="B18" s="15"/>
      <c r="C18" s="15" t="s">
        <v>56</v>
      </c>
      <c r="D18" s="15" t="s">
        <v>71</v>
      </c>
      <c r="E18" s="58">
        <v>26243</v>
      </c>
      <c r="F18" s="27">
        <f t="shared" ca="1" si="0"/>
        <v>50</v>
      </c>
      <c r="G18" s="15">
        <v>5</v>
      </c>
      <c r="H18" s="60">
        <v>43971</v>
      </c>
      <c r="I18" s="27">
        <f t="shared" ca="1" si="9"/>
        <v>21</v>
      </c>
      <c r="J18" s="45" t="str">
        <f t="shared" ca="1" si="10"/>
        <v>يستحق</v>
      </c>
      <c r="K18" s="61">
        <f t="shared" si="1"/>
        <v>44151</v>
      </c>
      <c r="L18" s="27">
        <v>21</v>
      </c>
      <c r="M18" s="16"/>
      <c r="N18" s="40">
        <f t="shared" si="2"/>
        <v>0</v>
      </c>
      <c r="O18" s="41">
        <f t="shared" si="3"/>
        <v>0</v>
      </c>
      <c r="P18" s="42">
        <f t="shared" si="4"/>
        <v>0</v>
      </c>
      <c r="Q18" s="43">
        <f t="shared" si="5"/>
        <v>21</v>
      </c>
      <c r="R18" s="16"/>
      <c r="S18" s="40">
        <f t="shared" si="6"/>
        <v>0</v>
      </c>
      <c r="T18" s="41">
        <f t="shared" si="7"/>
        <v>0</v>
      </c>
      <c r="U18" s="42">
        <f t="shared" si="8"/>
        <v>0</v>
      </c>
      <c r="V18" s="16"/>
      <c r="W18" s="17"/>
      <c r="X18" s="18"/>
      <c r="Y18" s="18"/>
      <c r="Z18" s="18"/>
      <c r="AA18" s="19"/>
      <c r="AB18" s="16"/>
      <c r="AC18" s="17"/>
      <c r="AD18" s="18"/>
      <c r="AE18" s="18"/>
      <c r="AF18" s="18"/>
      <c r="AG18" s="19"/>
      <c r="AH18" s="16"/>
      <c r="AI18" s="17"/>
      <c r="AJ18" s="18"/>
      <c r="AK18" s="18"/>
      <c r="AL18" s="18"/>
      <c r="AM18" s="19"/>
      <c r="AN18" s="16"/>
      <c r="AO18" s="17"/>
      <c r="AP18" s="18"/>
      <c r="AQ18" s="18"/>
      <c r="AR18" s="18"/>
      <c r="AS18" s="19"/>
      <c r="AT18" s="16"/>
      <c r="AU18" s="17"/>
      <c r="AV18" s="18"/>
      <c r="AW18" s="18"/>
      <c r="AX18" s="18"/>
      <c r="AY18" s="19"/>
      <c r="AZ18" s="16"/>
      <c r="BA18" s="17"/>
      <c r="BB18" s="18"/>
      <c r="BC18" s="18"/>
      <c r="BD18" s="18"/>
      <c r="BE18" s="19"/>
      <c r="BF18" s="16"/>
      <c r="BG18" s="17"/>
      <c r="BH18" s="18"/>
      <c r="BI18" s="18"/>
      <c r="BJ18" s="18"/>
      <c r="BK18" s="19"/>
      <c r="BL18" s="16"/>
      <c r="BM18" s="17"/>
      <c r="BN18" s="18"/>
      <c r="BO18" s="18"/>
      <c r="BP18" s="18"/>
      <c r="BQ18" s="19"/>
      <c r="BR18" s="16"/>
      <c r="BS18" s="17"/>
      <c r="BT18" s="18"/>
      <c r="BU18" s="18"/>
      <c r="BV18" s="18"/>
      <c r="BW18" s="19"/>
      <c r="BX18" s="16"/>
      <c r="BY18" s="17"/>
      <c r="BZ18" s="18"/>
      <c r="CA18" s="18"/>
      <c r="CB18" s="18"/>
      <c r="CC18" s="19"/>
      <c r="CD18" s="16"/>
      <c r="CE18" s="17"/>
      <c r="CF18" s="18"/>
      <c r="CG18" s="18"/>
      <c r="CH18" s="18"/>
      <c r="CI18" s="19"/>
      <c r="CJ18" s="16"/>
      <c r="CK18" s="17"/>
      <c r="CL18" s="18"/>
      <c r="CM18" s="18"/>
      <c r="CN18" s="18"/>
      <c r="CO18" s="19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</row>
    <row r="19" spans="1:119" s="21" customFormat="1" ht="21.95" customHeight="1">
      <c r="A19" s="15"/>
      <c r="B19" s="15"/>
      <c r="C19" s="15" t="s">
        <v>57</v>
      </c>
      <c r="D19" s="15" t="s">
        <v>71</v>
      </c>
      <c r="E19" s="58">
        <v>27691</v>
      </c>
      <c r="F19" s="27">
        <f t="shared" ca="1" si="0"/>
        <v>46</v>
      </c>
      <c r="G19" s="15">
        <v>11</v>
      </c>
      <c r="H19" s="60">
        <v>40911</v>
      </c>
      <c r="I19" s="27">
        <f t="shared" ca="1" si="9"/>
        <v>121</v>
      </c>
      <c r="J19" s="45" t="str">
        <f t="shared" ca="1" si="10"/>
        <v>يستحق</v>
      </c>
      <c r="K19" s="61">
        <f t="shared" si="1"/>
        <v>41091</v>
      </c>
      <c r="L19" s="27">
        <v>21</v>
      </c>
      <c r="M19" s="16"/>
      <c r="N19" s="40">
        <f t="shared" si="2"/>
        <v>0</v>
      </c>
      <c r="O19" s="41">
        <f t="shared" si="3"/>
        <v>0</v>
      </c>
      <c r="P19" s="42">
        <f t="shared" si="4"/>
        <v>0</v>
      </c>
      <c r="Q19" s="43">
        <f t="shared" si="5"/>
        <v>21</v>
      </c>
      <c r="R19" s="16"/>
      <c r="S19" s="40">
        <f t="shared" si="6"/>
        <v>0</v>
      </c>
      <c r="T19" s="41">
        <f t="shared" si="7"/>
        <v>0</v>
      </c>
      <c r="U19" s="42">
        <f t="shared" si="8"/>
        <v>0</v>
      </c>
      <c r="V19" s="16"/>
      <c r="W19" s="17"/>
      <c r="X19" s="18"/>
      <c r="Y19" s="18"/>
      <c r="Z19" s="18"/>
      <c r="AA19" s="19"/>
      <c r="AB19" s="16"/>
      <c r="AC19" s="17"/>
      <c r="AD19" s="18"/>
      <c r="AE19" s="18"/>
      <c r="AF19" s="18"/>
      <c r="AG19" s="19"/>
      <c r="AH19" s="16"/>
      <c r="AI19" s="17"/>
      <c r="AJ19" s="18"/>
      <c r="AK19" s="18"/>
      <c r="AL19" s="18"/>
      <c r="AM19" s="19"/>
      <c r="AN19" s="16"/>
      <c r="AO19" s="17"/>
      <c r="AP19" s="18"/>
      <c r="AQ19" s="18"/>
      <c r="AR19" s="18"/>
      <c r="AS19" s="19"/>
      <c r="AT19" s="16"/>
      <c r="AU19" s="17"/>
      <c r="AV19" s="18"/>
      <c r="AW19" s="18"/>
      <c r="AX19" s="18"/>
      <c r="AY19" s="19"/>
      <c r="AZ19" s="16"/>
      <c r="BA19" s="17"/>
      <c r="BB19" s="18"/>
      <c r="BC19" s="18"/>
      <c r="BD19" s="18"/>
      <c r="BE19" s="19"/>
      <c r="BF19" s="16"/>
      <c r="BG19" s="17"/>
      <c r="BH19" s="18"/>
      <c r="BI19" s="18"/>
      <c r="BJ19" s="18"/>
      <c r="BK19" s="19"/>
      <c r="BL19" s="16"/>
      <c r="BM19" s="17"/>
      <c r="BN19" s="18"/>
      <c r="BO19" s="18"/>
      <c r="BP19" s="18"/>
      <c r="BQ19" s="19"/>
      <c r="BR19" s="16"/>
      <c r="BS19" s="17"/>
      <c r="BT19" s="18"/>
      <c r="BU19" s="18"/>
      <c r="BV19" s="18"/>
      <c r="BW19" s="19"/>
      <c r="BX19" s="16"/>
      <c r="BY19" s="17"/>
      <c r="BZ19" s="18"/>
      <c r="CA19" s="18"/>
      <c r="CB19" s="18"/>
      <c r="CC19" s="19"/>
      <c r="CD19" s="16"/>
      <c r="CE19" s="17"/>
      <c r="CF19" s="18"/>
      <c r="CG19" s="18"/>
      <c r="CH19" s="18"/>
      <c r="CI19" s="19"/>
      <c r="CJ19" s="16"/>
      <c r="CK19" s="17"/>
      <c r="CL19" s="18"/>
      <c r="CM19" s="18"/>
      <c r="CN19" s="18"/>
      <c r="CO19" s="19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</row>
    <row r="20" spans="1:119" s="21" customFormat="1" ht="21.95" customHeight="1">
      <c r="A20" s="15"/>
      <c r="B20" s="15"/>
      <c r="C20" s="15" t="s">
        <v>55</v>
      </c>
      <c r="D20" s="15" t="s">
        <v>71</v>
      </c>
      <c r="E20" s="58">
        <v>26323</v>
      </c>
      <c r="F20" s="27">
        <f t="shared" ca="1" si="0"/>
        <v>50</v>
      </c>
      <c r="G20" s="15">
        <v>11</v>
      </c>
      <c r="H20" s="60">
        <v>40553</v>
      </c>
      <c r="I20" s="27">
        <f t="shared" ca="1" si="9"/>
        <v>133</v>
      </c>
      <c r="J20" s="45" t="str">
        <f ca="1">IF(I20&gt;6,"يستحق","لايستحق")</f>
        <v>يستحق</v>
      </c>
      <c r="K20" s="61">
        <f t="shared" si="1"/>
        <v>40733</v>
      </c>
      <c r="L20" s="27">
        <v>21</v>
      </c>
      <c r="M20" s="16"/>
      <c r="N20" s="40">
        <f t="shared" si="2"/>
        <v>0</v>
      </c>
      <c r="O20" s="41">
        <f t="shared" si="3"/>
        <v>0</v>
      </c>
      <c r="P20" s="42">
        <f t="shared" si="4"/>
        <v>0</v>
      </c>
      <c r="Q20" s="43">
        <f t="shared" si="5"/>
        <v>21</v>
      </c>
      <c r="R20" s="16"/>
      <c r="S20" s="40">
        <f t="shared" si="6"/>
        <v>0</v>
      </c>
      <c r="T20" s="41">
        <f t="shared" si="7"/>
        <v>0</v>
      </c>
      <c r="U20" s="42">
        <f t="shared" si="8"/>
        <v>0</v>
      </c>
      <c r="V20" s="16"/>
      <c r="W20" s="17"/>
      <c r="X20" s="18"/>
      <c r="Y20" s="18"/>
      <c r="Z20" s="18"/>
      <c r="AA20" s="19"/>
      <c r="AB20" s="16"/>
      <c r="AC20" s="17"/>
      <c r="AD20" s="18"/>
      <c r="AE20" s="18"/>
      <c r="AF20" s="18"/>
      <c r="AG20" s="19"/>
      <c r="AH20" s="16"/>
      <c r="AI20" s="17"/>
      <c r="AJ20" s="18"/>
      <c r="AK20" s="18"/>
      <c r="AL20" s="18"/>
      <c r="AM20" s="19"/>
      <c r="AN20" s="16"/>
      <c r="AO20" s="17"/>
      <c r="AP20" s="18"/>
      <c r="AQ20" s="18"/>
      <c r="AR20" s="18"/>
      <c r="AS20" s="19"/>
      <c r="AT20" s="16"/>
      <c r="AU20" s="17"/>
      <c r="AV20" s="18"/>
      <c r="AW20" s="18"/>
      <c r="AX20" s="18"/>
      <c r="AY20" s="19"/>
      <c r="AZ20" s="16"/>
      <c r="BA20" s="17"/>
      <c r="BB20" s="18"/>
      <c r="BC20" s="18"/>
      <c r="BD20" s="18"/>
      <c r="BE20" s="19"/>
      <c r="BF20" s="16"/>
      <c r="BG20" s="17"/>
      <c r="BH20" s="18"/>
      <c r="BI20" s="18"/>
      <c r="BJ20" s="18"/>
      <c r="BK20" s="19"/>
      <c r="BL20" s="16"/>
      <c r="BM20" s="17"/>
      <c r="BN20" s="18"/>
      <c r="BO20" s="18"/>
      <c r="BP20" s="18"/>
      <c r="BQ20" s="19"/>
      <c r="BR20" s="16"/>
      <c r="BS20" s="17"/>
      <c r="BT20" s="18"/>
      <c r="BU20" s="18"/>
      <c r="BV20" s="18"/>
      <c r="BW20" s="19"/>
      <c r="BX20" s="16"/>
      <c r="BY20" s="17"/>
      <c r="BZ20" s="18"/>
      <c r="CA20" s="18"/>
      <c r="CB20" s="18"/>
      <c r="CC20" s="19"/>
      <c r="CD20" s="16"/>
      <c r="CE20" s="17"/>
      <c r="CF20" s="18"/>
      <c r="CG20" s="18"/>
      <c r="CH20" s="18"/>
      <c r="CI20" s="19"/>
      <c r="CJ20" s="16"/>
      <c r="CK20" s="17"/>
      <c r="CL20" s="18"/>
      <c r="CM20" s="18"/>
      <c r="CN20" s="18"/>
      <c r="CO20" s="19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</row>
    <row r="21" spans="1:119" s="21" customFormat="1" ht="21.95" customHeight="1">
      <c r="A21" s="15"/>
      <c r="B21" s="15"/>
      <c r="C21" s="15" t="s">
        <v>55</v>
      </c>
      <c r="D21" s="15" t="s">
        <v>71</v>
      </c>
      <c r="E21" s="58">
        <v>28773</v>
      </c>
      <c r="F21" s="27">
        <f t="shared" ca="1" si="0"/>
        <v>43</v>
      </c>
      <c r="G21" s="15">
        <v>9</v>
      </c>
      <c r="H21" s="60">
        <v>42381</v>
      </c>
      <c r="I21" s="27">
        <f t="shared" ca="1" si="9"/>
        <v>73</v>
      </c>
      <c r="J21" s="45" t="str">
        <f ca="1">IF(I21&gt;6,"يستحق","لايستحق")</f>
        <v>يستحق</v>
      </c>
      <c r="K21" s="61">
        <f t="shared" si="1"/>
        <v>42561</v>
      </c>
      <c r="L21" s="27">
        <v>21</v>
      </c>
      <c r="M21" s="16"/>
      <c r="N21" s="40">
        <f t="shared" si="2"/>
        <v>0</v>
      </c>
      <c r="O21" s="41">
        <f t="shared" si="3"/>
        <v>0</v>
      </c>
      <c r="P21" s="42">
        <f t="shared" si="4"/>
        <v>0</v>
      </c>
      <c r="Q21" s="43">
        <f t="shared" si="5"/>
        <v>21</v>
      </c>
      <c r="R21" s="16"/>
      <c r="S21" s="40">
        <f t="shared" si="6"/>
        <v>0</v>
      </c>
      <c r="T21" s="41">
        <f t="shared" si="7"/>
        <v>0</v>
      </c>
      <c r="U21" s="42">
        <f t="shared" si="8"/>
        <v>0</v>
      </c>
      <c r="V21" s="16"/>
      <c r="W21" s="17"/>
      <c r="X21" s="18"/>
      <c r="Y21" s="18"/>
      <c r="Z21" s="18"/>
      <c r="AA21" s="19"/>
      <c r="AB21" s="16"/>
      <c r="AC21" s="17"/>
      <c r="AD21" s="18"/>
      <c r="AE21" s="18"/>
      <c r="AF21" s="18"/>
      <c r="AG21" s="19"/>
      <c r="AH21" s="16"/>
      <c r="AI21" s="17"/>
      <c r="AJ21" s="18"/>
      <c r="AK21" s="18"/>
      <c r="AL21" s="18"/>
      <c r="AM21" s="19"/>
      <c r="AN21" s="16"/>
      <c r="AO21" s="17"/>
      <c r="AP21" s="18"/>
      <c r="AQ21" s="18"/>
      <c r="AR21" s="18"/>
      <c r="AS21" s="19"/>
      <c r="AT21" s="16"/>
      <c r="AU21" s="17"/>
      <c r="AV21" s="18"/>
      <c r="AW21" s="18"/>
      <c r="AX21" s="18"/>
      <c r="AY21" s="19"/>
      <c r="AZ21" s="16"/>
      <c r="BA21" s="17"/>
      <c r="BB21" s="18"/>
      <c r="BC21" s="18"/>
      <c r="BD21" s="18"/>
      <c r="BE21" s="19"/>
      <c r="BF21" s="16"/>
      <c r="BG21" s="17"/>
      <c r="BH21" s="18"/>
      <c r="BI21" s="18"/>
      <c r="BJ21" s="18"/>
      <c r="BK21" s="19"/>
      <c r="BL21" s="16"/>
      <c r="BM21" s="17"/>
      <c r="BN21" s="18"/>
      <c r="BO21" s="18"/>
      <c r="BP21" s="18"/>
      <c r="BQ21" s="19"/>
      <c r="BR21" s="16"/>
      <c r="BS21" s="17"/>
      <c r="BT21" s="18"/>
      <c r="BU21" s="18"/>
      <c r="BV21" s="18"/>
      <c r="BW21" s="19"/>
      <c r="BX21" s="16"/>
      <c r="BY21" s="17"/>
      <c r="BZ21" s="18"/>
      <c r="CA21" s="18"/>
      <c r="CB21" s="18"/>
      <c r="CC21" s="19"/>
      <c r="CD21" s="16"/>
      <c r="CE21" s="17"/>
      <c r="CF21" s="18"/>
      <c r="CG21" s="18"/>
      <c r="CH21" s="18"/>
      <c r="CI21" s="19"/>
      <c r="CJ21" s="16"/>
      <c r="CK21" s="17"/>
      <c r="CL21" s="18"/>
      <c r="CM21" s="18"/>
      <c r="CN21" s="18"/>
      <c r="CO21" s="19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</row>
    <row r="22" spans="1:119" s="21" customFormat="1" ht="21.95" customHeight="1">
      <c r="A22" s="15"/>
      <c r="B22" s="15"/>
      <c r="C22" s="15" t="s">
        <v>58</v>
      </c>
      <c r="D22" s="15" t="s">
        <v>71</v>
      </c>
      <c r="E22" s="58">
        <v>33184</v>
      </c>
      <c r="F22" s="27">
        <f t="shared" ca="1" si="0"/>
        <v>31</v>
      </c>
      <c r="G22" s="15">
        <v>4</v>
      </c>
      <c r="H22" s="60">
        <v>40553</v>
      </c>
      <c r="I22" s="27">
        <f t="shared" ca="1" si="9"/>
        <v>133</v>
      </c>
      <c r="J22" s="45" t="str">
        <f t="shared" ref="J22:J85" ca="1" si="11">IF(I22&gt;6,"يستحق","لايستحق")</f>
        <v>يستحق</v>
      </c>
      <c r="K22" s="61">
        <f t="shared" si="1"/>
        <v>40733</v>
      </c>
      <c r="L22" s="27">
        <v>21</v>
      </c>
      <c r="M22" s="16"/>
      <c r="N22" s="40">
        <f t="shared" si="2"/>
        <v>0</v>
      </c>
      <c r="O22" s="41">
        <f t="shared" si="3"/>
        <v>0</v>
      </c>
      <c r="P22" s="42">
        <f t="shared" si="4"/>
        <v>0</v>
      </c>
      <c r="Q22" s="43">
        <f t="shared" si="5"/>
        <v>21</v>
      </c>
      <c r="R22" s="16"/>
      <c r="S22" s="40">
        <f t="shared" si="6"/>
        <v>0</v>
      </c>
      <c r="T22" s="41">
        <f t="shared" si="7"/>
        <v>0</v>
      </c>
      <c r="U22" s="42">
        <f t="shared" si="8"/>
        <v>0</v>
      </c>
      <c r="V22" s="16"/>
      <c r="W22" s="17"/>
      <c r="X22" s="18"/>
      <c r="Y22" s="18"/>
      <c r="Z22" s="18"/>
      <c r="AA22" s="19"/>
      <c r="AB22" s="16"/>
      <c r="AC22" s="17"/>
      <c r="AD22" s="18"/>
      <c r="AE22" s="18"/>
      <c r="AF22" s="18"/>
      <c r="AG22" s="19"/>
      <c r="AH22" s="16"/>
      <c r="AI22" s="17"/>
      <c r="AJ22" s="18"/>
      <c r="AK22" s="18"/>
      <c r="AL22" s="18"/>
      <c r="AM22" s="19"/>
      <c r="AN22" s="16"/>
      <c r="AO22" s="17"/>
      <c r="AP22" s="18"/>
      <c r="AQ22" s="18"/>
      <c r="AR22" s="18"/>
      <c r="AS22" s="19"/>
      <c r="AT22" s="16"/>
      <c r="AU22" s="17"/>
      <c r="AV22" s="18"/>
      <c r="AW22" s="18"/>
      <c r="AX22" s="18"/>
      <c r="AY22" s="19"/>
      <c r="AZ22" s="16"/>
      <c r="BA22" s="17"/>
      <c r="BB22" s="18"/>
      <c r="BC22" s="18"/>
      <c r="BD22" s="18"/>
      <c r="BE22" s="19"/>
      <c r="BF22" s="16"/>
      <c r="BG22" s="17"/>
      <c r="BH22" s="18"/>
      <c r="BI22" s="18"/>
      <c r="BJ22" s="18"/>
      <c r="BK22" s="19"/>
      <c r="BL22" s="16"/>
      <c r="BM22" s="17"/>
      <c r="BN22" s="18"/>
      <c r="BO22" s="18"/>
      <c r="BP22" s="18"/>
      <c r="BQ22" s="19"/>
      <c r="BR22" s="16"/>
      <c r="BS22" s="17"/>
      <c r="BT22" s="18"/>
      <c r="BU22" s="18"/>
      <c r="BV22" s="18"/>
      <c r="BW22" s="19"/>
      <c r="BX22" s="16"/>
      <c r="BY22" s="17"/>
      <c r="BZ22" s="18"/>
      <c r="CA22" s="18"/>
      <c r="CB22" s="18"/>
      <c r="CC22" s="19"/>
      <c r="CD22" s="16"/>
      <c r="CE22" s="17"/>
      <c r="CF22" s="18"/>
      <c r="CG22" s="18"/>
      <c r="CH22" s="18"/>
      <c r="CI22" s="19"/>
      <c r="CJ22" s="16"/>
      <c r="CK22" s="17"/>
      <c r="CL22" s="18"/>
      <c r="CM22" s="18"/>
      <c r="CN22" s="18"/>
      <c r="CO22" s="19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</row>
    <row r="23" spans="1:119" s="21" customFormat="1" ht="21.95" customHeight="1">
      <c r="A23" s="15"/>
      <c r="B23" s="15"/>
      <c r="C23" s="15" t="s">
        <v>55</v>
      </c>
      <c r="D23" s="15" t="s">
        <v>71</v>
      </c>
      <c r="E23" s="58">
        <v>27681</v>
      </c>
      <c r="F23" s="27">
        <f t="shared" ca="1" si="0"/>
        <v>46</v>
      </c>
      <c r="G23" s="15">
        <v>11</v>
      </c>
      <c r="H23" s="60">
        <v>40911</v>
      </c>
      <c r="I23" s="27">
        <f t="shared" ca="1" si="9"/>
        <v>121</v>
      </c>
      <c r="J23" s="45" t="str">
        <f t="shared" ca="1" si="11"/>
        <v>يستحق</v>
      </c>
      <c r="K23" s="61">
        <f t="shared" si="1"/>
        <v>41091</v>
      </c>
      <c r="L23" s="27">
        <v>21</v>
      </c>
      <c r="M23" s="16"/>
      <c r="N23" s="40">
        <f t="shared" si="2"/>
        <v>0</v>
      </c>
      <c r="O23" s="41">
        <f t="shared" si="3"/>
        <v>0</v>
      </c>
      <c r="P23" s="42">
        <f t="shared" si="4"/>
        <v>0</v>
      </c>
      <c r="Q23" s="43">
        <f t="shared" si="5"/>
        <v>21</v>
      </c>
      <c r="R23" s="16"/>
      <c r="S23" s="40">
        <f t="shared" si="6"/>
        <v>0</v>
      </c>
      <c r="T23" s="41">
        <f t="shared" si="7"/>
        <v>0</v>
      </c>
      <c r="U23" s="42">
        <f t="shared" si="8"/>
        <v>0</v>
      </c>
      <c r="V23" s="16"/>
      <c r="W23" s="17"/>
      <c r="X23" s="18"/>
      <c r="Y23" s="18"/>
      <c r="Z23" s="18"/>
      <c r="AA23" s="19"/>
      <c r="AB23" s="16"/>
      <c r="AC23" s="17"/>
      <c r="AD23" s="18"/>
      <c r="AE23" s="18"/>
      <c r="AF23" s="18"/>
      <c r="AG23" s="19"/>
      <c r="AH23" s="16"/>
      <c r="AI23" s="17"/>
      <c r="AJ23" s="18"/>
      <c r="AK23" s="18"/>
      <c r="AL23" s="18"/>
      <c r="AM23" s="19"/>
      <c r="AN23" s="16"/>
      <c r="AO23" s="17"/>
      <c r="AP23" s="18"/>
      <c r="AQ23" s="18"/>
      <c r="AR23" s="18"/>
      <c r="AS23" s="19"/>
      <c r="AT23" s="16"/>
      <c r="AU23" s="17"/>
      <c r="AV23" s="18"/>
      <c r="AW23" s="18"/>
      <c r="AX23" s="18"/>
      <c r="AY23" s="19"/>
      <c r="AZ23" s="16"/>
      <c r="BA23" s="17"/>
      <c r="BB23" s="18"/>
      <c r="BC23" s="18"/>
      <c r="BD23" s="18"/>
      <c r="BE23" s="19"/>
      <c r="BF23" s="16"/>
      <c r="BG23" s="17"/>
      <c r="BH23" s="18"/>
      <c r="BI23" s="18"/>
      <c r="BJ23" s="18"/>
      <c r="BK23" s="19"/>
      <c r="BL23" s="16"/>
      <c r="BM23" s="17"/>
      <c r="BN23" s="18"/>
      <c r="BO23" s="18"/>
      <c r="BP23" s="18"/>
      <c r="BQ23" s="19"/>
      <c r="BR23" s="16"/>
      <c r="BS23" s="17"/>
      <c r="BT23" s="18"/>
      <c r="BU23" s="18"/>
      <c r="BV23" s="18"/>
      <c r="BW23" s="19"/>
      <c r="BX23" s="16"/>
      <c r="BY23" s="17"/>
      <c r="BZ23" s="18"/>
      <c r="CA23" s="18"/>
      <c r="CB23" s="18"/>
      <c r="CC23" s="19"/>
      <c r="CD23" s="16"/>
      <c r="CE23" s="17"/>
      <c r="CF23" s="18"/>
      <c r="CG23" s="18"/>
      <c r="CH23" s="18"/>
      <c r="CI23" s="19"/>
      <c r="CJ23" s="16"/>
      <c r="CK23" s="17"/>
      <c r="CL23" s="18"/>
      <c r="CM23" s="18"/>
      <c r="CN23" s="18"/>
      <c r="CO23" s="19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</row>
    <row r="24" spans="1:119" s="21" customFormat="1" ht="21.95" customHeight="1">
      <c r="A24" s="15"/>
      <c r="B24" s="15"/>
      <c r="C24" s="15" t="s">
        <v>59</v>
      </c>
      <c r="D24" s="15" t="s">
        <v>71</v>
      </c>
      <c r="E24" s="58">
        <v>32578</v>
      </c>
      <c r="F24" s="27">
        <f t="shared" ca="1" si="0"/>
        <v>32</v>
      </c>
      <c r="G24" s="15">
        <v>5</v>
      </c>
      <c r="H24" s="60">
        <v>40911</v>
      </c>
      <c r="I24" s="27">
        <f t="shared" ca="1" si="9"/>
        <v>121</v>
      </c>
      <c r="J24" s="45" t="str">
        <f t="shared" ca="1" si="11"/>
        <v>يستحق</v>
      </c>
      <c r="K24" s="61">
        <f t="shared" si="1"/>
        <v>41091</v>
      </c>
      <c r="L24" s="27">
        <v>21</v>
      </c>
      <c r="M24" s="16"/>
      <c r="N24" s="40">
        <f t="shared" si="2"/>
        <v>0</v>
      </c>
      <c r="O24" s="41">
        <f t="shared" si="3"/>
        <v>0</v>
      </c>
      <c r="P24" s="42">
        <f t="shared" si="4"/>
        <v>0</v>
      </c>
      <c r="Q24" s="43">
        <f t="shared" si="5"/>
        <v>21</v>
      </c>
      <c r="R24" s="16"/>
      <c r="S24" s="40">
        <f t="shared" si="6"/>
        <v>0</v>
      </c>
      <c r="T24" s="41">
        <f t="shared" si="7"/>
        <v>0</v>
      </c>
      <c r="U24" s="42">
        <f t="shared" si="8"/>
        <v>0</v>
      </c>
      <c r="V24" s="16"/>
      <c r="W24" s="17"/>
      <c r="X24" s="18"/>
      <c r="Y24" s="18"/>
      <c r="Z24" s="18"/>
      <c r="AA24" s="19"/>
      <c r="AB24" s="16"/>
      <c r="AC24" s="17"/>
      <c r="AD24" s="18"/>
      <c r="AE24" s="18"/>
      <c r="AF24" s="18"/>
      <c r="AG24" s="19"/>
      <c r="AH24" s="16"/>
      <c r="AI24" s="17"/>
      <c r="AJ24" s="18"/>
      <c r="AK24" s="18"/>
      <c r="AL24" s="18"/>
      <c r="AM24" s="19"/>
      <c r="AN24" s="16"/>
      <c r="AO24" s="17"/>
      <c r="AP24" s="18"/>
      <c r="AQ24" s="18"/>
      <c r="AR24" s="18"/>
      <c r="AS24" s="19"/>
      <c r="AT24" s="16"/>
      <c r="AU24" s="17"/>
      <c r="AV24" s="18"/>
      <c r="AW24" s="18"/>
      <c r="AX24" s="18"/>
      <c r="AY24" s="19"/>
      <c r="AZ24" s="16"/>
      <c r="BA24" s="17"/>
      <c r="BB24" s="18"/>
      <c r="BC24" s="18"/>
      <c r="BD24" s="18"/>
      <c r="BE24" s="19"/>
      <c r="BF24" s="16"/>
      <c r="BG24" s="17"/>
      <c r="BH24" s="18"/>
      <c r="BI24" s="18"/>
      <c r="BJ24" s="18"/>
      <c r="BK24" s="19"/>
      <c r="BL24" s="16"/>
      <c r="BM24" s="17"/>
      <c r="BN24" s="18"/>
      <c r="BO24" s="18"/>
      <c r="BP24" s="18"/>
      <c r="BQ24" s="19"/>
      <c r="BR24" s="16"/>
      <c r="BS24" s="17"/>
      <c r="BT24" s="18"/>
      <c r="BU24" s="18"/>
      <c r="BV24" s="18"/>
      <c r="BW24" s="19"/>
      <c r="BX24" s="16"/>
      <c r="BY24" s="17"/>
      <c r="BZ24" s="18"/>
      <c r="CA24" s="18"/>
      <c r="CB24" s="18"/>
      <c r="CC24" s="19"/>
      <c r="CD24" s="16"/>
      <c r="CE24" s="17"/>
      <c r="CF24" s="18"/>
      <c r="CG24" s="18"/>
      <c r="CH24" s="18"/>
      <c r="CI24" s="19"/>
      <c r="CJ24" s="16"/>
      <c r="CK24" s="17"/>
      <c r="CL24" s="18"/>
      <c r="CM24" s="18"/>
      <c r="CN24" s="18"/>
      <c r="CO24" s="19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</row>
    <row r="25" spans="1:119" s="21" customFormat="1" ht="21.95" customHeight="1">
      <c r="A25" s="15"/>
      <c r="B25" s="15"/>
      <c r="C25" s="15" t="s">
        <v>65</v>
      </c>
      <c r="D25" s="15" t="s">
        <v>71</v>
      </c>
      <c r="E25" s="58">
        <v>33848</v>
      </c>
      <c r="F25" s="27">
        <f t="shared" ca="1" si="0"/>
        <v>29</v>
      </c>
      <c r="G25" s="15">
        <v>6</v>
      </c>
      <c r="H25" s="60">
        <v>40187</v>
      </c>
      <c r="I25" s="27">
        <f t="shared" ca="1" si="9"/>
        <v>145</v>
      </c>
      <c r="J25" s="45" t="str">
        <f t="shared" ca="1" si="11"/>
        <v>يستحق</v>
      </c>
      <c r="K25" s="61">
        <f t="shared" si="1"/>
        <v>40367</v>
      </c>
      <c r="L25" s="27">
        <v>21</v>
      </c>
      <c r="M25" s="16"/>
      <c r="N25" s="40">
        <f t="shared" si="2"/>
        <v>0</v>
      </c>
      <c r="O25" s="41">
        <f t="shared" si="3"/>
        <v>0</v>
      </c>
      <c r="P25" s="42">
        <f t="shared" si="4"/>
        <v>0</v>
      </c>
      <c r="Q25" s="43">
        <f t="shared" si="5"/>
        <v>21</v>
      </c>
      <c r="R25" s="16"/>
      <c r="S25" s="40">
        <f t="shared" si="6"/>
        <v>0</v>
      </c>
      <c r="T25" s="41">
        <f t="shared" si="7"/>
        <v>0</v>
      </c>
      <c r="U25" s="42">
        <f t="shared" si="8"/>
        <v>0</v>
      </c>
      <c r="V25" s="16"/>
      <c r="W25" s="17"/>
      <c r="X25" s="18"/>
      <c r="Y25" s="18"/>
      <c r="Z25" s="18"/>
      <c r="AA25" s="19"/>
      <c r="AB25" s="16"/>
      <c r="AC25" s="17"/>
      <c r="AD25" s="18"/>
      <c r="AE25" s="18"/>
      <c r="AF25" s="18"/>
      <c r="AG25" s="19"/>
      <c r="AH25" s="16"/>
      <c r="AI25" s="17"/>
      <c r="AJ25" s="18"/>
      <c r="AK25" s="18"/>
      <c r="AL25" s="18"/>
      <c r="AM25" s="19"/>
      <c r="AN25" s="16"/>
      <c r="AO25" s="17"/>
      <c r="AP25" s="18"/>
      <c r="AQ25" s="18"/>
      <c r="AR25" s="18"/>
      <c r="AS25" s="19"/>
      <c r="AT25" s="16"/>
      <c r="AU25" s="17"/>
      <c r="AV25" s="18"/>
      <c r="AW25" s="18"/>
      <c r="AX25" s="18"/>
      <c r="AY25" s="19"/>
      <c r="AZ25" s="16"/>
      <c r="BA25" s="17"/>
      <c r="BB25" s="18"/>
      <c r="BC25" s="18"/>
      <c r="BD25" s="18"/>
      <c r="BE25" s="19"/>
      <c r="BF25" s="16"/>
      <c r="BG25" s="17"/>
      <c r="BH25" s="18"/>
      <c r="BI25" s="18"/>
      <c r="BJ25" s="18"/>
      <c r="BK25" s="19"/>
      <c r="BL25" s="16"/>
      <c r="BM25" s="17"/>
      <c r="BN25" s="18"/>
      <c r="BO25" s="18"/>
      <c r="BP25" s="18"/>
      <c r="BQ25" s="19"/>
      <c r="BR25" s="16"/>
      <c r="BS25" s="17"/>
      <c r="BT25" s="18"/>
      <c r="BU25" s="18"/>
      <c r="BV25" s="18"/>
      <c r="BW25" s="19"/>
      <c r="BX25" s="16"/>
      <c r="BY25" s="17"/>
      <c r="BZ25" s="18"/>
      <c r="CA25" s="18"/>
      <c r="CB25" s="18"/>
      <c r="CC25" s="19"/>
      <c r="CD25" s="16"/>
      <c r="CE25" s="17"/>
      <c r="CF25" s="18"/>
      <c r="CG25" s="18"/>
      <c r="CH25" s="18"/>
      <c r="CI25" s="19"/>
      <c r="CJ25" s="16"/>
      <c r="CK25" s="17"/>
      <c r="CL25" s="18"/>
      <c r="CM25" s="18"/>
      <c r="CN25" s="18"/>
      <c r="CO25" s="19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</row>
    <row r="26" spans="1:119" s="21" customFormat="1" ht="21.95" customHeight="1">
      <c r="A26" s="15"/>
      <c r="B26" s="15"/>
      <c r="C26" s="15" t="s">
        <v>60</v>
      </c>
      <c r="D26" s="15" t="s">
        <v>71</v>
      </c>
      <c r="E26" s="58">
        <v>30071</v>
      </c>
      <c r="F26" s="27">
        <f t="shared" ca="1" si="0"/>
        <v>39</v>
      </c>
      <c r="G26" s="15">
        <v>8</v>
      </c>
      <c r="H26" s="60">
        <v>43728</v>
      </c>
      <c r="I26" s="27">
        <f t="shared" ca="1" si="9"/>
        <v>29</v>
      </c>
      <c r="J26" s="45" t="str">
        <f t="shared" ca="1" si="11"/>
        <v>يستحق</v>
      </c>
      <c r="K26" s="61">
        <f t="shared" si="1"/>
        <v>43908</v>
      </c>
      <c r="L26" s="27">
        <v>21</v>
      </c>
      <c r="M26" s="16"/>
      <c r="N26" s="40">
        <f t="shared" si="2"/>
        <v>0</v>
      </c>
      <c r="O26" s="41">
        <f t="shared" si="3"/>
        <v>0</v>
      </c>
      <c r="P26" s="42">
        <f t="shared" si="4"/>
        <v>0</v>
      </c>
      <c r="Q26" s="43">
        <f t="shared" si="5"/>
        <v>21</v>
      </c>
      <c r="R26" s="16"/>
      <c r="S26" s="40">
        <f t="shared" si="6"/>
        <v>0</v>
      </c>
      <c r="T26" s="41">
        <f t="shared" si="7"/>
        <v>0</v>
      </c>
      <c r="U26" s="42">
        <f t="shared" si="8"/>
        <v>0</v>
      </c>
      <c r="V26" s="16"/>
      <c r="W26" s="17"/>
      <c r="X26" s="18"/>
      <c r="Y26" s="18"/>
      <c r="Z26" s="18"/>
      <c r="AA26" s="19"/>
      <c r="AB26" s="16"/>
      <c r="AC26" s="17"/>
      <c r="AD26" s="18"/>
      <c r="AE26" s="18"/>
      <c r="AF26" s="18"/>
      <c r="AG26" s="19"/>
      <c r="AH26" s="16"/>
      <c r="AI26" s="17"/>
      <c r="AJ26" s="18"/>
      <c r="AK26" s="18"/>
      <c r="AL26" s="18"/>
      <c r="AM26" s="19"/>
      <c r="AN26" s="16"/>
      <c r="AO26" s="17"/>
      <c r="AP26" s="18"/>
      <c r="AQ26" s="18"/>
      <c r="AR26" s="18"/>
      <c r="AS26" s="19"/>
      <c r="AT26" s="16"/>
      <c r="AU26" s="17"/>
      <c r="AV26" s="18"/>
      <c r="AW26" s="18"/>
      <c r="AX26" s="18"/>
      <c r="AY26" s="19"/>
      <c r="AZ26" s="16"/>
      <c r="BA26" s="17"/>
      <c r="BB26" s="18"/>
      <c r="BC26" s="18"/>
      <c r="BD26" s="18"/>
      <c r="BE26" s="19"/>
      <c r="BF26" s="16"/>
      <c r="BG26" s="17"/>
      <c r="BH26" s="18"/>
      <c r="BI26" s="18"/>
      <c r="BJ26" s="18"/>
      <c r="BK26" s="19"/>
      <c r="BL26" s="16"/>
      <c r="BM26" s="17"/>
      <c r="BN26" s="18"/>
      <c r="BO26" s="18"/>
      <c r="BP26" s="18"/>
      <c r="BQ26" s="19"/>
      <c r="BR26" s="16"/>
      <c r="BS26" s="17"/>
      <c r="BT26" s="18"/>
      <c r="BU26" s="18"/>
      <c r="BV26" s="18"/>
      <c r="BW26" s="19"/>
      <c r="BX26" s="16"/>
      <c r="BY26" s="17"/>
      <c r="BZ26" s="18"/>
      <c r="CA26" s="18"/>
      <c r="CB26" s="18"/>
      <c r="CC26" s="19"/>
      <c r="CD26" s="16"/>
      <c r="CE26" s="17"/>
      <c r="CF26" s="18"/>
      <c r="CG26" s="18"/>
      <c r="CH26" s="18"/>
      <c r="CI26" s="19"/>
      <c r="CJ26" s="16"/>
      <c r="CK26" s="17"/>
      <c r="CL26" s="18"/>
      <c r="CM26" s="18"/>
      <c r="CN26" s="18"/>
      <c r="CO26" s="19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</row>
    <row r="27" spans="1:119" s="21" customFormat="1" ht="21.95" customHeight="1">
      <c r="A27" s="15"/>
      <c r="B27" s="15"/>
      <c r="C27" s="15" t="s">
        <v>56</v>
      </c>
      <c r="D27" s="15" t="s">
        <v>71</v>
      </c>
      <c r="E27" s="58">
        <v>23782</v>
      </c>
      <c r="F27" s="27">
        <f t="shared" ca="1" si="0"/>
        <v>57</v>
      </c>
      <c r="G27" s="15">
        <v>6</v>
      </c>
      <c r="H27" s="60">
        <v>40817</v>
      </c>
      <c r="I27" s="27">
        <f t="shared" ca="1" si="9"/>
        <v>125</v>
      </c>
      <c r="J27" s="45" t="str">
        <f t="shared" ca="1" si="11"/>
        <v>يستحق</v>
      </c>
      <c r="K27" s="61">
        <f t="shared" si="1"/>
        <v>40997</v>
      </c>
      <c r="L27" s="27">
        <v>21</v>
      </c>
      <c r="M27" s="16"/>
      <c r="N27" s="40">
        <f t="shared" si="2"/>
        <v>0</v>
      </c>
      <c r="O27" s="41">
        <f t="shared" si="3"/>
        <v>0</v>
      </c>
      <c r="P27" s="42">
        <f t="shared" si="4"/>
        <v>0</v>
      </c>
      <c r="Q27" s="43">
        <f t="shared" si="5"/>
        <v>21</v>
      </c>
      <c r="R27" s="16"/>
      <c r="S27" s="40">
        <f t="shared" si="6"/>
        <v>0</v>
      </c>
      <c r="T27" s="41">
        <f t="shared" si="7"/>
        <v>0</v>
      </c>
      <c r="U27" s="42">
        <f t="shared" si="8"/>
        <v>0</v>
      </c>
      <c r="V27" s="16"/>
      <c r="W27" s="17"/>
      <c r="X27" s="18"/>
      <c r="Y27" s="18"/>
      <c r="Z27" s="18"/>
      <c r="AA27" s="19"/>
      <c r="AB27" s="16"/>
      <c r="AC27" s="17"/>
      <c r="AD27" s="18"/>
      <c r="AE27" s="18"/>
      <c r="AF27" s="18"/>
      <c r="AG27" s="19"/>
      <c r="AH27" s="16"/>
      <c r="AI27" s="17"/>
      <c r="AJ27" s="18"/>
      <c r="AK27" s="18"/>
      <c r="AL27" s="18"/>
      <c r="AM27" s="19"/>
      <c r="AN27" s="16"/>
      <c r="AO27" s="17"/>
      <c r="AP27" s="18"/>
      <c r="AQ27" s="18"/>
      <c r="AR27" s="18"/>
      <c r="AS27" s="19"/>
      <c r="AT27" s="16"/>
      <c r="AU27" s="17"/>
      <c r="AV27" s="18"/>
      <c r="AW27" s="18"/>
      <c r="AX27" s="18"/>
      <c r="AY27" s="19"/>
      <c r="AZ27" s="16"/>
      <c r="BA27" s="17"/>
      <c r="BB27" s="18"/>
      <c r="BC27" s="18"/>
      <c r="BD27" s="18"/>
      <c r="BE27" s="19"/>
      <c r="BF27" s="16"/>
      <c r="BG27" s="17"/>
      <c r="BH27" s="18"/>
      <c r="BI27" s="18"/>
      <c r="BJ27" s="18"/>
      <c r="BK27" s="19"/>
      <c r="BL27" s="16"/>
      <c r="BM27" s="17"/>
      <c r="BN27" s="18"/>
      <c r="BO27" s="18"/>
      <c r="BP27" s="18"/>
      <c r="BQ27" s="19"/>
      <c r="BR27" s="16"/>
      <c r="BS27" s="17"/>
      <c r="BT27" s="18"/>
      <c r="BU27" s="18"/>
      <c r="BV27" s="18"/>
      <c r="BW27" s="19"/>
      <c r="BX27" s="16"/>
      <c r="BY27" s="17"/>
      <c r="BZ27" s="18"/>
      <c r="CA27" s="18"/>
      <c r="CB27" s="18"/>
      <c r="CC27" s="19"/>
      <c r="CD27" s="16"/>
      <c r="CE27" s="17"/>
      <c r="CF27" s="18"/>
      <c r="CG27" s="18"/>
      <c r="CH27" s="18"/>
      <c r="CI27" s="19"/>
      <c r="CJ27" s="16"/>
      <c r="CK27" s="17"/>
      <c r="CL27" s="18"/>
      <c r="CM27" s="18"/>
      <c r="CN27" s="18"/>
      <c r="CO27" s="19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</row>
    <row r="28" spans="1:119" s="21" customFormat="1" ht="21.95" customHeight="1">
      <c r="A28" s="15"/>
      <c r="B28" s="15"/>
      <c r="C28" s="15" t="s">
        <v>61</v>
      </c>
      <c r="D28" s="15" t="s">
        <v>71</v>
      </c>
      <c r="E28" s="63"/>
      <c r="F28" s="27">
        <f t="shared" ca="1" si="0"/>
        <v>122</v>
      </c>
      <c r="G28" s="15"/>
      <c r="H28" s="60">
        <v>40969</v>
      </c>
      <c r="I28" s="27">
        <f t="shared" ca="1" si="9"/>
        <v>120</v>
      </c>
      <c r="J28" s="45" t="str">
        <f t="shared" ca="1" si="11"/>
        <v>يستحق</v>
      </c>
      <c r="K28" s="61">
        <f t="shared" si="1"/>
        <v>41149</v>
      </c>
      <c r="L28" s="27">
        <v>21</v>
      </c>
      <c r="M28" s="16"/>
      <c r="N28" s="40">
        <f t="shared" si="2"/>
        <v>0</v>
      </c>
      <c r="O28" s="41">
        <f t="shared" si="3"/>
        <v>0</v>
      </c>
      <c r="P28" s="42">
        <f t="shared" si="4"/>
        <v>0</v>
      </c>
      <c r="Q28" s="43">
        <f t="shared" si="5"/>
        <v>21</v>
      </c>
      <c r="R28" s="16"/>
      <c r="S28" s="40">
        <f t="shared" si="6"/>
        <v>0</v>
      </c>
      <c r="T28" s="41">
        <f t="shared" si="7"/>
        <v>0</v>
      </c>
      <c r="U28" s="42">
        <f t="shared" si="8"/>
        <v>0</v>
      </c>
      <c r="V28" s="16"/>
      <c r="W28" s="17"/>
      <c r="X28" s="18"/>
      <c r="Y28" s="18"/>
      <c r="Z28" s="18"/>
      <c r="AA28" s="19"/>
      <c r="AB28" s="16"/>
      <c r="AC28" s="17"/>
      <c r="AD28" s="18"/>
      <c r="AE28" s="18"/>
      <c r="AF28" s="18"/>
      <c r="AG28" s="19"/>
      <c r="AH28" s="16"/>
      <c r="AI28" s="17"/>
      <c r="AJ28" s="18"/>
      <c r="AK28" s="18"/>
      <c r="AL28" s="18"/>
      <c r="AM28" s="19"/>
      <c r="AN28" s="16"/>
      <c r="AO28" s="17"/>
      <c r="AP28" s="18"/>
      <c r="AQ28" s="18"/>
      <c r="AR28" s="18"/>
      <c r="AS28" s="19"/>
      <c r="AT28" s="16"/>
      <c r="AU28" s="17"/>
      <c r="AV28" s="18"/>
      <c r="AW28" s="18"/>
      <c r="AX28" s="18"/>
      <c r="AY28" s="19"/>
      <c r="AZ28" s="16"/>
      <c r="BA28" s="17"/>
      <c r="BB28" s="18"/>
      <c r="BC28" s="18"/>
      <c r="BD28" s="18"/>
      <c r="BE28" s="19"/>
      <c r="BF28" s="16"/>
      <c r="BG28" s="17"/>
      <c r="BH28" s="18"/>
      <c r="BI28" s="18"/>
      <c r="BJ28" s="18"/>
      <c r="BK28" s="19"/>
      <c r="BL28" s="16"/>
      <c r="BM28" s="17"/>
      <c r="BN28" s="18"/>
      <c r="BO28" s="18"/>
      <c r="BP28" s="18"/>
      <c r="BQ28" s="19"/>
      <c r="BR28" s="16"/>
      <c r="BS28" s="17"/>
      <c r="BT28" s="18"/>
      <c r="BU28" s="18"/>
      <c r="BV28" s="18"/>
      <c r="BW28" s="19"/>
      <c r="BX28" s="16"/>
      <c r="BY28" s="17"/>
      <c r="BZ28" s="18"/>
      <c r="CA28" s="18"/>
      <c r="CB28" s="18"/>
      <c r="CC28" s="19"/>
      <c r="CD28" s="16"/>
      <c r="CE28" s="17"/>
      <c r="CF28" s="18"/>
      <c r="CG28" s="18"/>
      <c r="CH28" s="18"/>
      <c r="CI28" s="19"/>
      <c r="CJ28" s="16"/>
      <c r="CK28" s="17"/>
      <c r="CL28" s="18"/>
      <c r="CM28" s="18"/>
      <c r="CN28" s="18"/>
      <c r="CO28" s="19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</row>
    <row r="29" spans="1:119" s="21" customFormat="1" ht="21.95" customHeight="1">
      <c r="A29" s="15"/>
      <c r="B29" s="15"/>
      <c r="C29" s="15" t="s">
        <v>62</v>
      </c>
      <c r="D29" s="15" t="s">
        <v>71</v>
      </c>
      <c r="E29" s="58">
        <v>27794</v>
      </c>
      <c r="F29" s="27">
        <f t="shared" ca="1" si="0"/>
        <v>46</v>
      </c>
      <c r="G29" s="15">
        <v>8</v>
      </c>
      <c r="H29" s="60">
        <v>40911</v>
      </c>
      <c r="I29" s="27">
        <f t="shared" ca="1" si="9"/>
        <v>121</v>
      </c>
      <c r="J29" s="45" t="str">
        <f t="shared" ca="1" si="11"/>
        <v>يستحق</v>
      </c>
      <c r="K29" s="61">
        <f t="shared" si="1"/>
        <v>41091</v>
      </c>
      <c r="L29" s="27">
        <v>21</v>
      </c>
      <c r="M29" s="16"/>
      <c r="N29" s="40">
        <f t="shared" si="2"/>
        <v>0</v>
      </c>
      <c r="O29" s="41">
        <f t="shared" si="3"/>
        <v>0</v>
      </c>
      <c r="P29" s="42">
        <f t="shared" si="4"/>
        <v>0</v>
      </c>
      <c r="Q29" s="43">
        <f t="shared" si="5"/>
        <v>21</v>
      </c>
      <c r="R29" s="16"/>
      <c r="S29" s="40">
        <f t="shared" si="6"/>
        <v>0</v>
      </c>
      <c r="T29" s="41">
        <f t="shared" si="7"/>
        <v>0</v>
      </c>
      <c r="U29" s="42">
        <f t="shared" si="8"/>
        <v>0</v>
      </c>
      <c r="V29" s="16"/>
      <c r="W29" s="17"/>
      <c r="X29" s="18"/>
      <c r="Y29" s="18"/>
      <c r="Z29" s="18"/>
      <c r="AA29" s="19"/>
      <c r="AB29" s="16"/>
      <c r="AC29" s="17"/>
      <c r="AD29" s="18"/>
      <c r="AE29" s="18"/>
      <c r="AF29" s="18"/>
      <c r="AG29" s="19"/>
      <c r="AH29" s="16"/>
      <c r="AI29" s="17"/>
      <c r="AJ29" s="18"/>
      <c r="AK29" s="18"/>
      <c r="AL29" s="18"/>
      <c r="AM29" s="19"/>
      <c r="AN29" s="16"/>
      <c r="AO29" s="17"/>
      <c r="AP29" s="18"/>
      <c r="AQ29" s="18"/>
      <c r="AR29" s="18"/>
      <c r="AS29" s="19"/>
      <c r="AT29" s="16"/>
      <c r="AU29" s="17"/>
      <c r="AV29" s="18"/>
      <c r="AW29" s="18"/>
      <c r="AX29" s="18"/>
      <c r="AY29" s="19"/>
      <c r="AZ29" s="16"/>
      <c r="BA29" s="17"/>
      <c r="BB29" s="18"/>
      <c r="BC29" s="18"/>
      <c r="BD29" s="18"/>
      <c r="BE29" s="19"/>
      <c r="BF29" s="16"/>
      <c r="BG29" s="17"/>
      <c r="BH29" s="18"/>
      <c r="BI29" s="18"/>
      <c r="BJ29" s="18"/>
      <c r="BK29" s="19"/>
      <c r="BL29" s="16"/>
      <c r="BM29" s="17"/>
      <c r="BN29" s="18"/>
      <c r="BO29" s="18"/>
      <c r="BP29" s="18"/>
      <c r="BQ29" s="19"/>
      <c r="BR29" s="16"/>
      <c r="BS29" s="17"/>
      <c r="BT29" s="18"/>
      <c r="BU29" s="18"/>
      <c r="BV29" s="18"/>
      <c r="BW29" s="19"/>
      <c r="BX29" s="16"/>
      <c r="BY29" s="17"/>
      <c r="BZ29" s="18"/>
      <c r="CA29" s="18"/>
      <c r="CB29" s="18"/>
      <c r="CC29" s="19"/>
      <c r="CD29" s="16"/>
      <c r="CE29" s="17"/>
      <c r="CF29" s="18"/>
      <c r="CG29" s="18"/>
      <c r="CH29" s="18"/>
      <c r="CI29" s="19"/>
      <c r="CJ29" s="16"/>
      <c r="CK29" s="17"/>
      <c r="CL29" s="18"/>
      <c r="CM29" s="18"/>
      <c r="CN29" s="18"/>
      <c r="CO29" s="19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</row>
    <row r="30" spans="1:119" s="21" customFormat="1" ht="21.95" customHeight="1">
      <c r="A30" s="15"/>
      <c r="B30" s="15"/>
      <c r="C30" s="15" t="s">
        <v>57</v>
      </c>
      <c r="D30" s="15" t="s">
        <v>71</v>
      </c>
      <c r="E30" s="58">
        <v>33470</v>
      </c>
      <c r="F30" s="27">
        <f t="shared" ca="1" si="0"/>
        <v>30</v>
      </c>
      <c r="G30" s="15">
        <v>9</v>
      </c>
      <c r="H30" s="60">
        <v>40969</v>
      </c>
      <c r="I30" s="27">
        <f t="shared" ca="1" si="9"/>
        <v>120</v>
      </c>
      <c r="J30" s="45" t="str">
        <f t="shared" ca="1" si="11"/>
        <v>يستحق</v>
      </c>
      <c r="K30" s="61">
        <f t="shared" si="1"/>
        <v>41149</v>
      </c>
      <c r="L30" s="27">
        <v>21</v>
      </c>
      <c r="M30" s="22"/>
      <c r="N30" s="40">
        <f t="shared" si="2"/>
        <v>0</v>
      </c>
      <c r="O30" s="41">
        <f t="shared" si="3"/>
        <v>0</v>
      </c>
      <c r="P30" s="42">
        <f t="shared" si="4"/>
        <v>0</v>
      </c>
      <c r="Q30" s="43">
        <f t="shared" si="5"/>
        <v>21</v>
      </c>
      <c r="R30" s="22"/>
      <c r="S30" s="40">
        <f t="shared" si="6"/>
        <v>0</v>
      </c>
      <c r="T30" s="41">
        <f t="shared" si="7"/>
        <v>0</v>
      </c>
      <c r="U30" s="42">
        <f t="shared" si="8"/>
        <v>0</v>
      </c>
      <c r="V30" s="22"/>
      <c r="W30" s="15"/>
      <c r="X30" s="15"/>
      <c r="Y30" s="15"/>
      <c r="Z30" s="15"/>
      <c r="AA30" s="15"/>
      <c r="AB30" s="22"/>
      <c r="AH30" s="20"/>
      <c r="AN30" s="20"/>
      <c r="AT30" s="20"/>
      <c r="AZ30" s="20"/>
      <c r="BF30" s="20"/>
      <c r="BL30" s="20"/>
      <c r="BR30" s="20"/>
      <c r="BX30" s="20"/>
      <c r="CD30" s="20"/>
      <c r="CJ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</row>
    <row r="31" spans="1:119" s="21" customFormat="1" ht="21.95" customHeight="1">
      <c r="A31" s="15"/>
      <c r="B31" s="15"/>
      <c r="C31" s="15" t="s">
        <v>55</v>
      </c>
      <c r="D31" s="15" t="s">
        <v>71</v>
      </c>
      <c r="E31" s="58">
        <v>26529</v>
      </c>
      <c r="F31" s="27">
        <f t="shared" ca="1" si="0"/>
        <v>49</v>
      </c>
      <c r="G31" s="15">
        <v>9</v>
      </c>
      <c r="H31" s="60">
        <v>42375</v>
      </c>
      <c r="I31" s="27">
        <f t="shared" ca="1" si="9"/>
        <v>73</v>
      </c>
      <c r="J31" s="45" t="str">
        <f t="shared" ca="1" si="11"/>
        <v>يستحق</v>
      </c>
      <c r="K31" s="61">
        <f t="shared" si="1"/>
        <v>42555</v>
      </c>
      <c r="L31" s="27">
        <v>21</v>
      </c>
      <c r="M31" s="22"/>
      <c r="N31" s="40">
        <f t="shared" si="2"/>
        <v>0</v>
      </c>
      <c r="O31" s="41">
        <f t="shared" si="3"/>
        <v>0</v>
      </c>
      <c r="P31" s="42">
        <f t="shared" si="4"/>
        <v>0</v>
      </c>
      <c r="Q31" s="43">
        <f t="shared" si="5"/>
        <v>21</v>
      </c>
      <c r="R31" s="22"/>
      <c r="S31" s="40">
        <f t="shared" si="6"/>
        <v>0</v>
      </c>
      <c r="T31" s="41">
        <f t="shared" si="7"/>
        <v>0</v>
      </c>
      <c r="U31" s="42">
        <f t="shared" si="8"/>
        <v>0</v>
      </c>
      <c r="V31" s="22"/>
      <c r="W31" s="15"/>
      <c r="X31" s="15"/>
      <c r="Y31" s="15"/>
      <c r="Z31" s="15"/>
      <c r="AA31" s="15"/>
      <c r="AB31" s="22"/>
      <c r="AH31" s="20"/>
      <c r="AN31" s="20"/>
      <c r="AT31" s="20"/>
      <c r="AZ31" s="20"/>
      <c r="BF31" s="20"/>
      <c r="BL31" s="20"/>
      <c r="BR31" s="20"/>
      <c r="BX31" s="20"/>
      <c r="CD31" s="20"/>
      <c r="CJ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</row>
    <row r="32" spans="1:119" s="21" customFormat="1" ht="21.95" customHeight="1">
      <c r="A32" s="15"/>
      <c r="B32" s="15"/>
      <c r="C32" s="15" t="s">
        <v>55</v>
      </c>
      <c r="D32" s="15" t="s">
        <v>71</v>
      </c>
      <c r="E32" s="58">
        <v>31395</v>
      </c>
      <c r="F32" s="27">
        <f t="shared" ca="1" si="0"/>
        <v>36</v>
      </c>
      <c r="G32" s="15">
        <v>6</v>
      </c>
      <c r="H32" s="60">
        <v>40817</v>
      </c>
      <c r="I32" s="27">
        <f t="shared" ca="1" si="9"/>
        <v>125</v>
      </c>
      <c r="J32" s="45" t="str">
        <f t="shared" ca="1" si="11"/>
        <v>يستحق</v>
      </c>
      <c r="K32" s="61">
        <f t="shared" si="1"/>
        <v>40997</v>
      </c>
      <c r="L32" s="27">
        <v>21</v>
      </c>
      <c r="M32" s="22"/>
      <c r="N32" s="40">
        <f t="shared" si="2"/>
        <v>0</v>
      </c>
      <c r="O32" s="41">
        <f t="shared" si="3"/>
        <v>0</v>
      </c>
      <c r="P32" s="42">
        <f t="shared" si="4"/>
        <v>0</v>
      </c>
      <c r="Q32" s="43">
        <f t="shared" si="5"/>
        <v>21</v>
      </c>
      <c r="R32" s="22"/>
      <c r="S32" s="40">
        <f t="shared" si="6"/>
        <v>0</v>
      </c>
      <c r="T32" s="41">
        <f t="shared" si="7"/>
        <v>0</v>
      </c>
      <c r="U32" s="42">
        <f t="shared" si="8"/>
        <v>0</v>
      </c>
      <c r="V32" s="22"/>
      <c r="W32" s="15"/>
      <c r="X32" s="15"/>
      <c r="Y32" s="15"/>
      <c r="Z32" s="15"/>
      <c r="AA32" s="15"/>
      <c r="AB32" s="22"/>
      <c r="AH32" s="20"/>
      <c r="AN32" s="20"/>
      <c r="AT32" s="20"/>
      <c r="AZ32" s="20"/>
      <c r="BF32" s="20"/>
      <c r="BL32" s="20"/>
      <c r="BR32" s="20"/>
      <c r="BX32" s="20"/>
      <c r="CD32" s="20"/>
      <c r="CJ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</row>
    <row r="33" spans="1:21" ht="21.95" customHeight="1">
      <c r="A33" s="15"/>
      <c r="B33" s="15"/>
      <c r="C33" s="23" t="s">
        <v>61</v>
      </c>
      <c r="D33" s="15" t="s">
        <v>71</v>
      </c>
      <c r="E33" s="58">
        <v>31846</v>
      </c>
      <c r="F33" s="27">
        <f t="shared" ca="1" si="0"/>
        <v>34</v>
      </c>
      <c r="G33" s="23">
        <v>6</v>
      </c>
      <c r="H33" s="59">
        <v>40179</v>
      </c>
      <c r="I33" s="27">
        <f t="shared" ca="1" si="9"/>
        <v>146</v>
      </c>
      <c r="J33" s="45" t="str">
        <f t="shared" ca="1" si="11"/>
        <v>يستحق</v>
      </c>
      <c r="K33" s="61">
        <f t="shared" si="1"/>
        <v>40359</v>
      </c>
      <c r="L33" s="27">
        <v>21</v>
      </c>
      <c r="N33" s="40">
        <f t="shared" si="2"/>
        <v>0</v>
      </c>
      <c r="O33" s="41">
        <f t="shared" si="3"/>
        <v>0</v>
      </c>
      <c r="P33" s="42">
        <f t="shared" si="4"/>
        <v>0</v>
      </c>
      <c r="Q33" s="43">
        <f t="shared" si="5"/>
        <v>21</v>
      </c>
      <c r="S33" s="40">
        <f t="shared" si="6"/>
        <v>0</v>
      </c>
      <c r="T33" s="41">
        <f t="shared" si="7"/>
        <v>0</v>
      </c>
      <c r="U33" s="42">
        <f t="shared" si="8"/>
        <v>0</v>
      </c>
    </row>
    <row r="34" spans="1:21" ht="21.95" customHeight="1">
      <c r="A34" s="15"/>
      <c r="B34" s="15"/>
      <c r="C34" s="23" t="s">
        <v>63</v>
      </c>
      <c r="D34" s="15" t="s">
        <v>71</v>
      </c>
      <c r="E34" s="58">
        <v>27744</v>
      </c>
      <c r="F34" s="27">
        <f t="shared" ca="1" si="0"/>
        <v>46</v>
      </c>
      <c r="G34" s="23">
        <v>8</v>
      </c>
      <c r="H34" s="59">
        <v>40179</v>
      </c>
      <c r="I34" s="27">
        <f t="shared" ca="1" si="9"/>
        <v>146</v>
      </c>
      <c r="J34" s="45" t="str">
        <f t="shared" ca="1" si="11"/>
        <v>يستحق</v>
      </c>
      <c r="K34" s="61">
        <f t="shared" si="1"/>
        <v>40359</v>
      </c>
      <c r="L34" s="27">
        <v>21</v>
      </c>
      <c r="N34" s="40">
        <f t="shared" si="2"/>
        <v>0</v>
      </c>
      <c r="O34" s="41">
        <f t="shared" si="3"/>
        <v>0</v>
      </c>
      <c r="P34" s="42">
        <f t="shared" si="4"/>
        <v>0</v>
      </c>
      <c r="Q34" s="43">
        <f t="shared" si="5"/>
        <v>21</v>
      </c>
      <c r="S34" s="40">
        <f t="shared" si="6"/>
        <v>0</v>
      </c>
      <c r="T34" s="41">
        <f t="shared" si="7"/>
        <v>0</v>
      </c>
      <c r="U34" s="42">
        <f t="shared" si="8"/>
        <v>0</v>
      </c>
    </row>
    <row r="35" spans="1:21" ht="21.95" customHeight="1">
      <c r="A35" s="15"/>
      <c r="B35" s="15"/>
      <c r="C35" s="23" t="s">
        <v>64</v>
      </c>
      <c r="D35" s="15" t="s">
        <v>71</v>
      </c>
      <c r="E35" s="58">
        <v>32295</v>
      </c>
      <c r="F35" s="27">
        <f t="shared" ca="1" si="0"/>
        <v>33</v>
      </c>
      <c r="G35" s="23">
        <v>4</v>
      </c>
      <c r="H35" s="59">
        <v>40969</v>
      </c>
      <c r="I35" s="27">
        <f t="shared" ca="1" si="9"/>
        <v>120</v>
      </c>
      <c r="J35" s="45" t="str">
        <f t="shared" ca="1" si="11"/>
        <v>يستحق</v>
      </c>
      <c r="K35" s="61">
        <f t="shared" si="1"/>
        <v>41149</v>
      </c>
      <c r="L35" s="27">
        <v>21</v>
      </c>
      <c r="N35" s="40">
        <f t="shared" si="2"/>
        <v>0</v>
      </c>
      <c r="O35" s="41">
        <f t="shared" si="3"/>
        <v>0</v>
      </c>
      <c r="P35" s="42">
        <f t="shared" si="4"/>
        <v>0</v>
      </c>
      <c r="Q35" s="43">
        <f t="shared" si="5"/>
        <v>21</v>
      </c>
      <c r="S35" s="40">
        <f t="shared" si="6"/>
        <v>0</v>
      </c>
      <c r="T35" s="41">
        <f t="shared" si="7"/>
        <v>0</v>
      </c>
      <c r="U35" s="42">
        <f t="shared" si="8"/>
        <v>0</v>
      </c>
    </row>
    <row r="36" spans="1:21" ht="21.95" customHeight="1">
      <c r="A36" s="15"/>
      <c r="B36" s="15"/>
      <c r="C36" s="23" t="s">
        <v>65</v>
      </c>
      <c r="D36" s="15" t="s">
        <v>71</v>
      </c>
      <c r="E36" s="58">
        <v>31767</v>
      </c>
      <c r="F36" s="27">
        <f t="shared" ca="1" si="0"/>
        <v>35</v>
      </c>
      <c r="G36" s="23">
        <v>9</v>
      </c>
      <c r="H36" s="59">
        <v>40969</v>
      </c>
      <c r="I36" s="27">
        <f t="shared" ca="1" si="9"/>
        <v>120</v>
      </c>
      <c r="J36" s="45" t="str">
        <f t="shared" ca="1" si="11"/>
        <v>يستحق</v>
      </c>
      <c r="K36" s="61">
        <f t="shared" si="1"/>
        <v>41149</v>
      </c>
      <c r="L36" s="27">
        <v>21</v>
      </c>
      <c r="N36" s="40">
        <f t="shared" si="2"/>
        <v>0</v>
      </c>
      <c r="O36" s="41">
        <f t="shared" si="3"/>
        <v>0</v>
      </c>
      <c r="P36" s="42">
        <f t="shared" si="4"/>
        <v>0</v>
      </c>
      <c r="Q36" s="43">
        <f t="shared" si="5"/>
        <v>21</v>
      </c>
      <c r="S36" s="40">
        <f t="shared" si="6"/>
        <v>0</v>
      </c>
      <c r="T36" s="41">
        <f t="shared" si="7"/>
        <v>0</v>
      </c>
      <c r="U36" s="42">
        <f t="shared" si="8"/>
        <v>0</v>
      </c>
    </row>
    <row r="37" spans="1:21" ht="21.95" customHeight="1">
      <c r="A37" s="15"/>
      <c r="B37" s="15"/>
      <c r="C37" s="23" t="s">
        <v>64</v>
      </c>
      <c r="D37" s="15" t="s">
        <v>71</v>
      </c>
      <c r="E37" s="58">
        <v>20682</v>
      </c>
      <c r="F37" s="27">
        <f t="shared" ca="1" si="0"/>
        <v>65</v>
      </c>
      <c r="G37" s="23">
        <v>4</v>
      </c>
      <c r="H37" s="59">
        <v>42375</v>
      </c>
      <c r="I37" s="27">
        <f t="shared" ca="1" si="9"/>
        <v>73</v>
      </c>
      <c r="J37" s="45" t="str">
        <f t="shared" ca="1" si="11"/>
        <v>يستحق</v>
      </c>
      <c r="K37" s="61">
        <f t="shared" si="1"/>
        <v>42555</v>
      </c>
      <c r="L37" s="27">
        <v>21</v>
      </c>
      <c r="N37" s="40">
        <f t="shared" si="2"/>
        <v>0</v>
      </c>
      <c r="O37" s="41">
        <f t="shared" si="3"/>
        <v>0</v>
      </c>
      <c r="P37" s="42">
        <f t="shared" si="4"/>
        <v>0</v>
      </c>
      <c r="Q37" s="43">
        <f t="shared" si="5"/>
        <v>21</v>
      </c>
      <c r="S37" s="40">
        <f t="shared" si="6"/>
        <v>0</v>
      </c>
      <c r="T37" s="41">
        <f t="shared" si="7"/>
        <v>0</v>
      </c>
      <c r="U37" s="42">
        <f t="shared" si="8"/>
        <v>0</v>
      </c>
    </row>
    <row r="38" spans="1:21" ht="21.95" customHeight="1">
      <c r="A38" s="15"/>
      <c r="B38" s="15"/>
      <c r="C38" s="23" t="s">
        <v>64</v>
      </c>
      <c r="D38" s="15" t="s">
        <v>71</v>
      </c>
      <c r="E38" s="58">
        <v>33131</v>
      </c>
      <c r="F38" s="27">
        <f t="shared" ca="1" si="0"/>
        <v>31</v>
      </c>
      <c r="G38" s="23">
        <v>5</v>
      </c>
      <c r="H38" s="59">
        <v>41698</v>
      </c>
      <c r="I38" s="27">
        <f t="shared" ca="1" si="9"/>
        <v>96</v>
      </c>
      <c r="J38" s="45" t="str">
        <f t="shared" ca="1" si="11"/>
        <v>يستحق</v>
      </c>
      <c r="K38" s="61">
        <f t="shared" si="1"/>
        <v>41878</v>
      </c>
      <c r="L38" s="27">
        <v>21</v>
      </c>
      <c r="N38" s="40">
        <f t="shared" si="2"/>
        <v>0</v>
      </c>
      <c r="O38" s="41">
        <f t="shared" si="3"/>
        <v>0</v>
      </c>
      <c r="P38" s="42">
        <f t="shared" si="4"/>
        <v>0</v>
      </c>
      <c r="Q38" s="43">
        <f t="shared" si="5"/>
        <v>21</v>
      </c>
      <c r="S38" s="40">
        <f t="shared" si="6"/>
        <v>0</v>
      </c>
      <c r="T38" s="41">
        <f t="shared" si="7"/>
        <v>0</v>
      </c>
      <c r="U38" s="42">
        <f t="shared" si="8"/>
        <v>0</v>
      </c>
    </row>
    <row r="39" spans="1:21" ht="21.95" customHeight="1">
      <c r="A39" s="15"/>
      <c r="B39" s="15"/>
      <c r="C39" s="23" t="s">
        <v>64</v>
      </c>
      <c r="D39" s="15" t="s">
        <v>71</v>
      </c>
      <c r="E39" s="58">
        <v>22884</v>
      </c>
      <c r="F39" s="27">
        <f t="shared" ca="1" si="0"/>
        <v>59</v>
      </c>
      <c r="H39" s="59">
        <v>43831</v>
      </c>
      <c r="I39" s="27">
        <f t="shared" ca="1" si="9"/>
        <v>26</v>
      </c>
      <c r="J39" s="45" t="str">
        <f t="shared" ca="1" si="11"/>
        <v>يستحق</v>
      </c>
      <c r="K39" s="61">
        <f t="shared" si="1"/>
        <v>44011</v>
      </c>
      <c r="L39" s="27">
        <v>21</v>
      </c>
      <c r="N39" s="40">
        <f t="shared" si="2"/>
        <v>0</v>
      </c>
      <c r="O39" s="41">
        <f t="shared" si="3"/>
        <v>0</v>
      </c>
      <c r="P39" s="42">
        <f t="shared" si="4"/>
        <v>0</v>
      </c>
      <c r="Q39" s="43">
        <f t="shared" si="5"/>
        <v>21</v>
      </c>
      <c r="S39" s="40">
        <f t="shared" si="6"/>
        <v>0</v>
      </c>
      <c r="T39" s="41">
        <f t="shared" si="7"/>
        <v>0</v>
      </c>
      <c r="U39" s="42">
        <f t="shared" si="8"/>
        <v>0</v>
      </c>
    </row>
    <row r="40" spans="1:21" ht="21.95" customHeight="1">
      <c r="A40" s="15"/>
      <c r="B40" s="15"/>
      <c r="C40" s="23" t="s">
        <v>65</v>
      </c>
      <c r="D40" s="15" t="s">
        <v>71</v>
      </c>
      <c r="E40" s="58">
        <v>31197</v>
      </c>
      <c r="F40" s="27">
        <f t="shared" ca="1" si="0"/>
        <v>36</v>
      </c>
      <c r="G40" s="23">
        <v>5</v>
      </c>
      <c r="H40" s="59">
        <v>42406</v>
      </c>
      <c r="I40" s="27">
        <f t="shared" ca="1" si="9"/>
        <v>72</v>
      </c>
      <c r="J40" s="45" t="str">
        <f t="shared" ca="1" si="11"/>
        <v>يستحق</v>
      </c>
      <c r="K40" s="61">
        <f t="shared" si="1"/>
        <v>42586</v>
      </c>
      <c r="L40" s="27">
        <v>21</v>
      </c>
      <c r="N40" s="40">
        <f t="shared" si="2"/>
        <v>0</v>
      </c>
      <c r="O40" s="41">
        <f t="shared" si="3"/>
        <v>0</v>
      </c>
      <c r="P40" s="42">
        <f t="shared" si="4"/>
        <v>0</v>
      </c>
      <c r="Q40" s="43">
        <f t="shared" si="5"/>
        <v>21</v>
      </c>
      <c r="S40" s="40">
        <f t="shared" si="6"/>
        <v>0</v>
      </c>
      <c r="T40" s="41">
        <f t="shared" si="7"/>
        <v>0</v>
      </c>
      <c r="U40" s="42">
        <f t="shared" si="8"/>
        <v>0</v>
      </c>
    </row>
    <row r="41" spans="1:21" ht="21.95" customHeight="1">
      <c r="A41" s="15"/>
      <c r="B41" s="15"/>
      <c r="C41" s="23" t="s">
        <v>64</v>
      </c>
      <c r="D41" s="15" t="s">
        <v>71</v>
      </c>
      <c r="E41" s="58">
        <v>25426</v>
      </c>
      <c r="F41" s="27">
        <f t="shared" ca="1" si="0"/>
        <v>52</v>
      </c>
      <c r="G41" s="23">
        <v>8</v>
      </c>
      <c r="H41" s="59">
        <v>42381</v>
      </c>
      <c r="I41" s="27">
        <f t="shared" ca="1" si="9"/>
        <v>73</v>
      </c>
      <c r="J41" s="45" t="str">
        <f t="shared" ca="1" si="11"/>
        <v>يستحق</v>
      </c>
      <c r="K41" s="61">
        <f t="shared" si="1"/>
        <v>42561</v>
      </c>
      <c r="L41" s="27">
        <v>21</v>
      </c>
      <c r="N41" s="40">
        <f t="shared" si="2"/>
        <v>0</v>
      </c>
      <c r="O41" s="41">
        <f t="shared" si="3"/>
        <v>0</v>
      </c>
      <c r="P41" s="42">
        <f t="shared" si="4"/>
        <v>0</v>
      </c>
      <c r="Q41" s="43">
        <f t="shared" si="5"/>
        <v>21</v>
      </c>
      <c r="S41" s="40">
        <f t="shared" si="6"/>
        <v>0</v>
      </c>
      <c r="T41" s="41">
        <f t="shared" si="7"/>
        <v>0</v>
      </c>
      <c r="U41" s="42">
        <f t="shared" si="8"/>
        <v>0</v>
      </c>
    </row>
    <row r="42" spans="1:21" ht="21.95" customHeight="1">
      <c r="A42" s="15"/>
      <c r="B42" s="15"/>
      <c r="C42" s="23" t="s">
        <v>64</v>
      </c>
      <c r="D42" s="15" t="s">
        <v>71</v>
      </c>
      <c r="E42" s="58">
        <v>21151</v>
      </c>
      <c r="F42" s="27">
        <f t="shared" ca="1" si="0"/>
        <v>64</v>
      </c>
      <c r="H42" s="59">
        <v>43831</v>
      </c>
      <c r="I42" s="27">
        <f t="shared" ca="1" si="9"/>
        <v>26</v>
      </c>
      <c r="J42" s="45" t="str">
        <f t="shared" ca="1" si="11"/>
        <v>يستحق</v>
      </c>
      <c r="K42" s="61">
        <f t="shared" si="1"/>
        <v>44011</v>
      </c>
      <c r="L42" s="27">
        <v>21</v>
      </c>
      <c r="N42" s="40">
        <f t="shared" si="2"/>
        <v>0</v>
      </c>
      <c r="O42" s="41">
        <f t="shared" si="3"/>
        <v>0</v>
      </c>
      <c r="P42" s="42">
        <f t="shared" si="4"/>
        <v>0</v>
      </c>
      <c r="Q42" s="43">
        <f t="shared" si="5"/>
        <v>21</v>
      </c>
      <c r="S42" s="40">
        <f t="shared" si="6"/>
        <v>0</v>
      </c>
      <c r="T42" s="41">
        <f t="shared" si="7"/>
        <v>0</v>
      </c>
      <c r="U42" s="42">
        <f t="shared" si="8"/>
        <v>0</v>
      </c>
    </row>
    <row r="43" spans="1:21" ht="21.95" customHeight="1">
      <c r="A43" s="15"/>
      <c r="B43" s="15"/>
      <c r="C43" s="23" t="s">
        <v>64</v>
      </c>
      <c r="D43" s="15" t="s">
        <v>71</v>
      </c>
      <c r="E43" s="58">
        <v>26003</v>
      </c>
      <c r="F43" s="27">
        <f t="shared" ca="1" si="0"/>
        <v>50</v>
      </c>
      <c r="G43" s="23">
        <v>4</v>
      </c>
      <c r="H43" s="59">
        <v>44197</v>
      </c>
      <c r="I43" s="27">
        <f t="shared" ca="1" si="9"/>
        <v>14</v>
      </c>
      <c r="J43" s="45" t="str">
        <f t="shared" ca="1" si="11"/>
        <v>يستحق</v>
      </c>
      <c r="K43" s="61">
        <f t="shared" si="1"/>
        <v>44377</v>
      </c>
      <c r="L43" s="27">
        <v>21</v>
      </c>
      <c r="N43" s="40">
        <f t="shared" si="2"/>
        <v>0</v>
      </c>
      <c r="O43" s="41">
        <f t="shared" si="3"/>
        <v>0</v>
      </c>
      <c r="P43" s="42">
        <f t="shared" si="4"/>
        <v>0</v>
      </c>
      <c r="Q43" s="43">
        <f t="shared" si="5"/>
        <v>21</v>
      </c>
      <c r="S43" s="40">
        <f t="shared" si="6"/>
        <v>0</v>
      </c>
      <c r="T43" s="41">
        <f t="shared" si="7"/>
        <v>0</v>
      </c>
      <c r="U43" s="42">
        <f t="shared" si="8"/>
        <v>0</v>
      </c>
    </row>
    <row r="44" spans="1:21" ht="21.95" customHeight="1">
      <c r="A44" s="15"/>
      <c r="B44" s="15"/>
      <c r="C44" s="23" t="s">
        <v>66</v>
      </c>
      <c r="D44" s="15" t="s">
        <v>71</v>
      </c>
      <c r="E44" s="58">
        <v>33762</v>
      </c>
      <c r="F44" s="27">
        <f t="shared" ca="1" si="0"/>
        <v>29</v>
      </c>
      <c r="G44" s="23">
        <v>3</v>
      </c>
      <c r="H44" s="59">
        <v>43104</v>
      </c>
      <c r="I44" s="27">
        <f t="shared" ca="1" si="9"/>
        <v>49</v>
      </c>
      <c r="J44" s="45" t="str">
        <f t="shared" ca="1" si="11"/>
        <v>يستحق</v>
      </c>
      <c r="K44" s="61">
        <f t="shared" si="1"/>
        <v>43284</v>
      </c>
      <c r="L44" s="27">
        <v>21</v>
      </c>
      <c r="N44" s="40">
        <f t="shared" si="2"/>
        <v>0</v>
      </c>
      <c r="O44" s="41">
        <f t="shared" si="3"/>
        <v>0</v>
      </c>
      <c r="P44" s="42">
        <f t="shared" si="4"/>
        <v>0</v>
      </c>
      <c r="Q44" s="43">
        <f t="shared" si="5"/>
        <v>21</v>
      </c>
      <c r="S44" s="40">
        <f t="shared" si="6"/>
        <v>0</v>
      </c>
      <c r="T44" s="41">
        <f t="shared" si="7"/>
        <v>0</v>
      </c>
      <c r="U44" s="42">
        <f t="shared" si="8"/>
        <v>0</v>
      </c>
    </row>
    <row r="45" spans="1:21" ht="21.95" customHeight="1">
      <c r="A45" s="15"/>
      <c r="B45" s="15"/>
      <c r="C45" s="23" t="s">
        <v>64</v>
      </c>
      <c r="D45" s="15" t="s">
        <v>71</v>
      </c>
      <c r="E45" s="58">
        <v>37648</v>
      </c>
      <c r="F45" s="27">
        <f t="shared" ca="1" si="0"/>
        <v>19</v>
      </c>
      <c r="G45" s="23">
        <v>1</v>
      </c>
      <c r="H45" s="59">
        <v>44197</v>
      </c>
      <c r="I45" s="27">
        <f t="shared" ca="1" si="9"/>
        <v>14</v>
      </c>
      <c r="J45" s="45" t="str">
        <f t="shared" ca="1" si="11"/>
        <v>يستحق</v>
      </c>
      <c r="K45" s="61">
        <f t="shared" si="1"/>
        <v>44377</v>
      </c>
      <c r="L45" s="27">
        <v>21</v>
      </c>
      <c r="N45" s="40">
        <f t="shared" si="2"/>
        <v>0</v>
      </c>
      <c r="O45" s="41">
        <f t="shared" si="3"/>
        <v>0</v>
      </c>
      <c r="P45" s="42">
        <f t="shared" si="4"/>
        <v>0</v>
      </c>
      <c r="Q45" s="43">
        <f t="shared" si="5"/>
        <v>21</v>
      </c>
      <c r="S45" s="40">
        <f t="shared" si="6"/>
        <v>0</v>
      </c>
      <c r="T45" s="41">
        <f t="shared" si="7"/>
        <v>0</v>
      </c>
      <c r="U45" s="42">
        <f t="shared" si="8"/>
        <v>0</v>
      </c>
    </row>
    <row r="46" spans="1:21" ht="21.95" customHeight="1">
      <c r="A46" s="15"/>
      <c r="B46" s="15"/>
      <c r="C46" s="23" t="s">
        <v>52</v>
      </c>
      <c r="D46" s="15" t="s">
        <v>71</v>
      </c>
      <c r="E46" s="58">
        <v>32407</v>
      </c>
      <c r="F46" s="27">
        <f t="shared" ca="1" si="0"/>
        <v>33</v>
      </c>
      <c r="G46" s="23">
        <v>1</v>
      </c>
      <c r="H46" s="59">
        <v>44197</v>
      </c>
      <c r="I46" s="27">
        <f t="shared" ca="1" si="9"/>
        <v>14</v>
      </c>
      <c r="J46" s="45" t="str">
        <f t="shared" ca="1" si="11"/>
        <v>يستحق</v>
      </c>
      <c r="K46" s="61">
        <f t="shared" si="1"/>
        <v>44377</v>
      </c>
      <c r="L46" s="27">
        <v>21</v>
      </c>
      <c r="N46" s="40">
        <f t="shared" si="2"/>
        <v>0</v>
      </c>
      <c r="O46" s="41">
        <f t="shared" si="3"/>
        <v>0</v>
      </c>
      <c r="P46" s="42">
        <f t="shared" si="4"/>
        <v>0</v>
      </c>
      <c r="Q46" s="43">
        <f t="shared" si="5"/>
        <v>21</v>
      </c>
      <c r="S46" s="40">
        <f t="shared" si="6"/>
        <v>0</v>
      </c>
      <c r="T46" s="41">
        <f t="shared" si="7"/>
        <v>0</v>
      </c>
      <c r="U46" s="42">
        <f t="shared" si="8"/>
        <v>0</v>
      </c>
    </row>
    <row r="47" spans="1:21" ht="21.95" customHeight="1">
      <c r="A47" s="15"/>
      <c r="B47" s="15"/>
      <c r="C47" s="23" t="s">
        <v>67</v>
      </c>
      <c r="D47" s="15" t="s">
        <v>71</v>
      </c>
      <c r="E47" s="58">
        <v>35423</v>
      </c>
      <c r="F47" s="27">
        <f t="shared" ca="1" si="0"/>
        <v>25</v>
      </c>
      <c r="G47" s="23">
        <v>2</v>
      </c>
      <c r="H47" s="59">
        <v>43971</v>
      </c>
      <c r="I47" s="27">
        <f t="shared" ca="1" si="9"/>
        <v>21</v>
      </c>
      <c r="J47" s="45" t="str">
        <f t="shared" ca="1" si="11"/>
        <v>يستحق</v>
      </c>
      <c r="K47" s="61">
        <f t="shared" si="1"/>
        <v>44151</v>
      </c>
      <c r="L47" s="27">
        <v>21</v>
      </c>
      <c r="N47" s="40">
        <f t="shared" si="2"/>
        <v>0</v>
      </c>
      <c r="O47" s="41">
        <f t="shared" si="3"/>
        <v>0</v>
      </c>
      <c r="P47" s="42">
        <f t="shared" si="4"/>
        <v>0</v>
      </c>
      <c r="Q47" s="43">
        <f t="shared" si="5"/>
        <v>21</v>
      </c>
      <c r="S47" s="40">
        <f t="shared" si="6"/>
        <v>0</v>
      </c>
      <c r="T47" s="41">
        <f t="shared" si="7"/>
        <v>0</v>
      </c>
      <c r="U47" s="42">
        <f t="shared" si="8"/>
        <v>0</v>
      </c>
    </row>
    <row r="48" spans="1:21" ht="21.95" customHeight="1">
      <c r="A48" s="15"/>
      <c r="B48" s="15"/>
      <c r="C48" s="23" t="s">
        <v>64</v>
      </c>
      <c r="D48" s="15" t="s">
        <v>71</v>
      </c>
      <c r="E48" s="58">
        <v>34591</v>
      </c>
      <c r="F48" s="27">
        <f t="shared" ca="1" si="0"/>
        <v>27</v>
      </c>
      <c r="G48" s="23">
        <v>1</v>
      </c>
      <c r="H48" s="59">
        <v>44197</v>
      </c>
      <c r="I48" s="27">
        <f t="shared" ca="1" si="9"/>
        <v>14</v>
      </c>
      <c r="J48" s="45" t="str">
        <f t="shared" ca="1" si="11"/>
        <v>يستحق</v>
      </c>
      <c r="K48" s="61">
        <f t="shared" si="1"/>
        <v>44377</v>
      </c>
      <c r="L48" s="27">
        <v>21</v>
      </c>
      <c r="N48" s="40">
        <f t="shared" si="2"/>
        <v>0</v>
      </c>
      <c r="O48" s="41">
        <f t="shared" si="3"/>
        <v>0</v>
      </c>
      <c r="P48" s="42">
        <f t="shared" si="4"/>
        <v>0</v>
      </c>
      <c r="Q48" s="43">
        <f t="shared" si="5"/>
        <v>21</v>
      </c>
      <c r="S48" s="40">
        <f t="shared" si="6"/>
        <v>0</v>
      </c>
      <c r="T48" s="41">
        <f t="shared" si="7"/>
        <v>0</v>
      </c>
      <c r="U48" s="42">
        <f t="shared" si="8"/>
        <v>0</v>
      </c>
    </row>
    <row r="49" spans="1:21" ht="21.95" customHeight="1">
      <c r="A49" s="15"/>
      <c r="B49" s="15"/>
      <c r="C49" s="23" t="s">
        <v>58</v>
      </c>
      <c r="D49" s="15" t="s">
        <v>71</v>
      </c>
      <c r="E49" s="58">
        <v>36916</v>
      </c>
      <c r="F49" s="27">
        <f t="shared" ca="1" si="0"/>
        <v>21</v>
      </c>
      <c r="G49" s="23">
        <v>1</v>
      </c>
      <c r="H49" s="59">
        <v>44197</v>
      </c>
      <c r="I49" s="27">
        <f t="shared" ca="1" si="9"/>
        <v>14</v>
      </c>
      <c r="J49" s="45" t="str">
        <f t="shared" ca="1" si="11"/>
        <v>يستحق</v>
      </c>
      <c r="K49" s="61">
        <f t="shared" si="1"/>
        <v>44377</v>
      </c>
      <c r="L49" s="27">
        <v>21</v>
      </c>
      <c r="N49" s="40">
        <f t="shared" si="2"/>
        <v>0</v>
      </c>
      <c r="O49" s="41">
        <f t="shared" si="3"/>
        <v>0</v>
      </c>
      <c r="P49" s="42">
        <f t="shared" si="4"/>
        <v>0</v>
      </c>
      <c r="Q49" s="43">
        <f t="shared" si="5"/>
        <v>21</v>
      </c>
      <c r="S49" s="40">
        <f t="shared" si="6"/>
        <v>0</v>
      </c>
      <c r="T49" s="41">
        <f t="shared" si="7"/>
        <v>0</v>
      </c>
      <c r="U49" s="42">
        <f t="shared" si="8"/>
        <v>0</v>
      </c>
    </row>
    <row r="50" spans="1:21" ht="21.95" customHeight="1">
      <c r="A50" s="15"/>
      <c r="B50" s="15"/>
      <c r="C50" s="23" t="s">
        <v>61</v>
      </c>
      <c r="D50" s="15" t="s">
        <v>71</v>
      </c>
      <c r="E50" s="58">
        <v>35317</v>
      </c>
      <c r="F50" s="27">
        <f t="shared" ca="1" si="0"/>
        <v>25</v>
      </c>
      <c r="G50" s="23">
        <v>1</v>
      </c>
      <c r="H50" s="59">
        <v>44228</v>
      </c>
      <c r="I50" s="27">
        <f t="shared" ca="1" si="9"/>
        <v>13</v>
      </c>
      <c r="J50" s="45" t="str">
        <f t="shared" ca="1" si="11"/>
        <v>يستحق</v>
      </c>
      <c r="K50" s="61">
        <f t="shared" si="1"/>
        <v>44408</v>
      </c>
      <c r="L50" s="27">
        <v>21</v>
      </c>
      <c r="N50" s="40">
        <f t="shared" si="2"/>
        <v>0</v>
      </c>
      <c r="O50" s="41">
        <f t="shared" si="3"/>
        <v>0</v>
      </c>
      <c r="P50" s="42">
        <f t="shared" si="4"/>
        <v>0</v>
      </c>
      <c r="Q50" s="43">
        <f t="shared" si="5"/>
        <v>21</v>
      </c>
      <c r="S50" s="40">
        <f t="shared" si="6"/>
        <v>0</v>
      </c>
      <c r="T50" s="41">
        <f t="shared" si="7"/>
        <v>0</v>
      </c>
      <c r="U50" s="42">
        <f t="shared" si="8"/>
        <v>0</v>
      </c>
    </row>
    <row r="51" spans="1:21" ht="21.95" customHeight="1">
      <c r="A51" s="15"/>
      <c r="B51" s="15"/>
      <c r="C51" s="23" t="s">
        <v>67</v>
      </c>
      <c r="D51" s="15" t="s">
        <v>71</v>
      </c>
      <c r="E51" s="58">
        <v>31238</v>
      </c>
      <c r="F51" s="27">
        <f t="shared" ca="1" si="0"/>
        <v>36</v>
      </c>
      <c r="G51" s="23">
        <v>1</v>
      </c>
      <c r="H51" s="59">
        <v>44228</v>
      </c>
      <c r="I51" s="27">
        <f t="shared" ca="1" si="9"/>
        <v>13</v>
      </c>
      <c r="J51" s="45" t="str">
        <f t="shared" ca="1" si="11"/>
        <v>يستحق</v>
      </c>
      <c r="K51" s="61">
        <f t="shared" si="1"/>
        <v>44408</v>
      </c>
      <c r="L51" s="27">
        <v>21</v>
      </c>
      <c r="N51" s="40">
        <f t="shared" si="2"/>
        <v>0</v>
      </c>
      <c r="O51" s="41">
        <f t="shared" si="3"/>
        <v>0</v>
      </c>
      <c r="P51" s="42">
        <f t="shared" si="4"/>
        <v>0</v>
      </c>
      <c r="Q51" s="43">
        <f t="shared" si="5"/>
        <v>21</v>
      </c>
      <c r="S51" s="40">
        <f t="shared" si="6"/>
        <v>0</v>
      </c>
      <c r="T51" s="41">
        <f t="shared" si="7"/>
        <v>0</v>
      </c>
      <c r="U51" s="42">
        <f t="shared" si="8"/>
        <v>0</v>
      </c>
    </row>
    <row r="52" spans="1:21" ht="21.95" customHeight="1">
      <c r="A52" s="15"/>
      <c r="B52" s="15"/>
      <c r="C52" s="23" t="s">
        <v>61</v>
      </c>
      <c r="D52" s="15" t="s">
        <v>71</v>
      </c>
      <c r="E52" s="64"/>
      <c r="F52" s="27">
        <f t="shared" ca="1" si="0"/>
        <v>122</v>
      </c>
      <c r="G52" s="23">
        <v>1</v>
      </c>
      <c r="H52" s="59">
        <v>44228</v>
      </c>
      <c r="I52" s="27">
        <f t="shared" ca="1" si="9"/>
        <v>13</v>
      </c>
      <c r="J52" s="45" t="str">
        <f t="shared" ca="1" si="11"/>
        <v>يستحق</v>
      </c>
      <c r="K52" s="61">
        <f t="shared" si="1"/>
        <v>44408</v>
      </c>
      <c r="L52" s="27">
        <v>21</v>
      </c>
      <c r="N52" s="40">
        <f t="shared" si="2"/>
        <v>0</v>
      </c>
      <c r="O52" s="41">
        <f t="shared" si="3"/>
        <v>0</v>
      </c>
      <c r="P52" s="42">
        <f t="shared" si="4"/>
        <v>0</v>
      </c>
      <c r="Q52" s="43">
        <f t="shared" si="5"/>
        <v>21</v>
      </c>
      <c r="S52" s="40">
        <f t="shared" si="6"/>
        <v>0</v>
      </c>
      <c r="T52" s="41">
        <f t="shared" si="7"/>
        <v>0</v>
      </c>
      <c r="U52" s="42">
        <f t="shared" si="8"/>
        <v>0</v>
      </c>
    </row>
    <row r="53" spans="1:21" ht="21.95" customHeight="1">
      <c r="A53" s="15"/>
      <c r="B53" s="15"/>
      <c r="C53" s="23" t="s">
        <v>67</v>
      </c>
      <c r="D53" s="15" t="s">
        <v>71</v>
      </c>
      <c r="E53" s="64"/>
      <c r="F53" s="27">
        <f t="shared" ca="1" si="0"/>
        <v>122</v>
      </c>
      <c r="G53" s="23">
        <v>1</v>
      </c>
      <c r="H53" s="59">
        <v>43935</v>
      </c>
      <c r="I53" s="27">
        <f t="shared" ca="1" si="9"/>
        <v>22</v>
      </c>
      <c r="J53" s="45" t="str">
        <f t="shared" ca="1" si="11"/>
        <v>يستحق</v>
      </c>
      <c r="K53" s="61">
        <f t="shared" si="1"/>
        <v>44115</v>
      </c>
      <c r="L53" s="27">
        <v>21</v>
      </c>
      <c r="N53" s="40">
        <f t="shared" si="2"/>
        <v>0</v>
      </c>
      <c r="O53" s="41">
        <f t="shared" si="3"/>
        <v>0</v>
      </c>
      <c r="P53" s="42">
        <f t="shared" si="4"/>
        <v>0</v>
      </c>
      <c r="Q53" s="43">
        <f t="shared" si="5"/>
        <v>21</v>
      </c>
      <c r="S53" s="40">
        <f t="shared" si="6"/>
        <v>0</v>
      </c>
      <c r="T53" s="41">
        <f t="shared" si="7"/>
        <v>0</v>
      </c>
      <c r="U53" s="42">
        <f t="shared" si="8"/>
        <v>0</v>
      </c>
    </row>
    <row r="54" spans="1:21" ht="21.95" customHeight="1">
      <c r="A54" s="15"/>
      <c r="B54" s="15"/>
      <c r="C54" s="23" t="s">
        <v>68</v>
      </c>
      <c r="D54" s="23" t="s">
        <v>15</v>
      </c>
      <c r="E54" s="58">
        <v>33130</v>
      </c>
      <c r="F54" s="27">
        <f t="shared" ca="1" si="0"/>
        <v>31</v>
      </c>
      <c r="G54" s="23">
        <v>1</v>
      </c>
      <c r="H54" s="59">
        <v>44109</v>
      </c>
      <c r="I54" s="27">
        <f t="shared" ca="1" si="9"/>
        <v>16</v>
      </c>
      <c r="J54" s="45" t="str">
        <f t="shared" ca="1" si="11"/>
        <v>يستحق</v>
      </c>
      <c r="K54" s="61">
        <f t="shared" si="1"/>
        <v>44289</v>
      </c>
      <c r="L54" s="27">
        <v>21</v>
      </c>
      <c r="N54" s="40">
        <f t="shared" si="2"/>
        <v>0</v>
      </c>
      <c r="O54" s="41">
        <f t="shared" si="3"/>
        <v>0</v>
      </c>
      <c r="P54" s="42">
        <f t="shared" si="4"/>
        <v>0</v>
      </c>
      <c r="Q54" s="43">
        <f t="shared" si="5"/>
        <v>21</v>
      </c>
      <c r="S54" s="40">
        <f t="shared" si="6"/>
        <v>0</v>
      </c>
      <c r="T54" s="41">
        <f t="shared" si="7"/>
        <v>0</v>
      </c>
      <c r="U54" s="42">
        <f t="shared" si="8"/>
        <v>0</v>
      </c>
    </row>
    <row r="55" spans="1:21" ht="21.95" customHeight="1">
      <c r="A55" s="15"/>
      <c r="B55" s="15"/>
      <c r="C55" s="23" t="s">
        <v>69</v>
      </c>
      <c r="D55" s="23" t="s">
        <v>15</v>
      </c>
      <c r="E55" s="58">
        <v>31306</v>
      </c>
      <c r="F55" s="27">
        <f t="shared" ca="1" si="0"/>
        <v>36</v>
      </c>
      <c r="G55" s="23">
        <v>1</v>
      </c>
      <c r="H55" s="59">
        <v>44122</v>
      </c>
      <c r="I55" s="27">
        <f t="shared" ca="1" si="9"/>
        <v>16</v>
      </c>
      <c r="J55" s="45" t="str">
        <f t="shared" ca="1" si="11"/>
        <v>يستحق</v>
      </c>
      <c r="K55" s="61">
        <f t="shared" si="1"/>
        <v>44302</v>
      </c>
      <c r="L55" s="27">
        <v>21</v>
      </c>
      <c r="N55" s="40">
        <f t="shared" si="2"/>
        <v>0</v>
      </c>
      <c r="O55" s="41">
        <f t="shared" si="3"/>
        <v>0</v>
      </c>
      <c r="P55" s="42">
        <f t="shared" si="4"/>
        <v>0</v>
      </c>
      <c r="Q55" s="43">
        <f t="shared" si="5"/>
        <v>21</v>
      </c>
      <c r="S55" s="40">
        <f t="shared" si="6"/>
        <v>0</v>
      </c>
      <c r="T55" s="41">
        <f t="shared" si="7"/>
        <v>0</v>
      </c>
      <c r="U55" s="42">
        <f t="shared" si="8"/>
        <v>0</v>
      </c>
    </row>
    <row r="56" spans="1:21" ht="21.95" customHeight="1">
      <c r="A56" s="15"/>
      <c r="B56" s="15"/>
      <c r="C56" s="23" t="s">
        <v>57</v>
      </c>
      <c r="D56" s="15" t="s">
        <v>71</v>
      </c>
      <c r="E56" s="64"/>
      <c r="F56" s="27">
        <f t="shared" ca="1" si="0"/>
        <v>122</v>
      </c>
      <c r="H56" s="59">
        <v>44084</v>
      </c>
      <c r="I56" s="27">
        <f t="shared" ca="1" si="9"/>
        <v>17</v>
      </c>
      <c r="J56" s="45" t="str">
        <f t="shared" ca="1" si="11"/>
        <v>يستحق</v>
      </c>
      <c r="K56" s="61">
        <f t="shared" si="1"/>
        <v>44264</v>
      </c>
      <c r="L56" s="27">
        <v>21</v>
      </c>
      <c r="N56" s="40">
        <f t="shared" si="2"/>
        <v>0</v>
      </c>
      <c r="O56" s="41">
        <f t="shared" si="3"/>
        <v>0</v>
      </c>
      <c r="P56" s="42">
        <f t="shared" si="4"/>
        <v>0</v>
      </c>
      <c r="Q56" s="43">
        <f t="shared" si="5"/>
        <v>21</v>
      </c>
      <c r="S56" s="40">
        <f t="shared" si="6"/>
        <v>0</v>
      </c>
      <c r="T56" s="41">
        <f t="shared" si="7"/>
        <v>0</v>
      </c>
      <c r="U56" s="42">
        <f t="shared" si="8"/>
        <v>0</v>
      </c>
    </row>
    <row r="57" spans="1:21" ht="21.95" customHeight="1">
      <c r="A57" s="15"/>
      <c r="B57" s="15"/>
      <c r="C57" s="23" t="s">
        <v>70</v>
      </c>
      <c r="D57" s="15" t="s">
        <v>71</v>
      </c>
      <c r="E57" s="59"/>
      <c r="F57" s="27">
        <f t="shared" ca="1" si="0"/>
        <v>122</v>
      </c>
      <c r="G57" s="23">
        <v>1</v>
      </c>
      <c r="H57" s="59">
        <v>43863</v>
      </c>
      <c r="I57" s="27">
        <f t="shared" ca="1" si="9"/>
        <v>24</v>
      </c>
      <c r="J57" s="45" t="str">
        <f t="shared" ca="1" si="11"/>
        <v>يستحق</v>
      </c>
      <c r="K57" s="61">
        <f t="shared" si="1"/>
        <v>44043</v>
      </c>
      <c r="L57" s="27">
        <v>21</v>
      </c>
      <c r="N57" s="40">
        <f t="shared" si="2"/>
        <v>0</v>
      </c>
      <c r="O57" s="41">
        <f t="shared" si="3"/>
        <v>0</v>
      </c>
      <c r="P57" s="42">
        <f t="shared" si="4"/>
        <v>0</v>
      </c>
      <c r="Q57" s="43">
        <f t="shared" si="5"/>
        <v>21</v>
      </c>
      <c r="S57" s="40">
        <f t="shared" si="6"/>
        <v>0</v>
      </c>
      <c r="T57" s="41">
        <f t="shared" si="7"/>
        <v>0</v>
      </c>
      <c r="U57" s="42">
        <f t="shared" si="8"/>
        <v>0</v>
      </c>
    </row>
    <row r="58" spans="1:21" ht="21.95" customHeight="1">
      <c r="A58" s="15"/>
      <c r="E58" s="59"/>
      <c r="F58" s="27">
        <f t="shared" ca="1" si="0"/>
        <v>122</v>
      </c>
      <c r="H58" s="59"/>
      <c r="I58" s="27">
        <f t="shared" ca="1" si="9"/>
        <v>1466</v>
      </c>
      <c r="J58" s="45" t="str">
        <f t="shared" ca="1" si="11"/>
        <v>يستحق</v>
      </c>
      <c r="K58" s="61">
        <f t="shared" si="1"/>
        <v>180</v>
      </c>
      <c r="L58" s="27">
        <v>21</v>
      </c>
      <c r="N58" s="40">
        <f t="shared" si="2"/>
        <v>0</v>
      </c>
      <c r="O58" s="41">
        <f t="shared" si="3"/>
        <v>0</v>
      </c>
      <c r="P58" s="42">
        <f t="shared" si="4"/>
        <v>0</v>
      </c>
      <c r="Q58" s="43">
        <f t="shared" si="5"/>
        <v>21</v>
      </c>
      <c r="S58" s="40">
        <f t="shared" si="6"/>
        <v>0</v>
      </c>
      <c r="T58" s="41">
        <f t="shared" si="7"/>
        <v>0</v>
      </c>
      <c r="U58" s="42">
        <f t="shared" si="8"/>
        <v>0</v>
      </c>
    </row>
    <row r="59" spans="1:21" ht="21.95" customHeight="1">
      <c r="A59" s="15"/>
      <c r="E59" s="59"/>
      <c r="F59" s="27">
        <f t="shared" ca="1" si="0"/>
        <v>122</v>
      </c>
      <c r="H59" s="59"/>
      <c r="I59" s="27">
        <f t="shared" ca="1" si="9"/>
        <v>1466</v>
      </c>
      <c r="J59" s="45" t="str">
        <f t="shared" ca="1" si="11"/>
        <v>يستحق</v>
      </c>
      <c r="K59" s="61">
        <f t="shared" si="1"/>
        <v>180</v>
      </c>
      <c r="L59" s="27">
        <v>21</v>
      </c>
      <c r="N59" s="40">
        <f t="shared" si="2"/>
        <v>0</v>
      </c>
      <c r="O59" s="41">
        <f t="shared" si="3"/>
        <v>0</v>
      </c>
      <c r="P59" s="42">
        <f t="shared" si="4"/>
        <v>0</v>
      </c>
      <c r="Q59" s="43">
        <f t="shared" si="5"/>
        <v>21</v>
      </c>
      <c r="S59" s="40">
        <f t="shared" si="6"/>
        <v>0</v>
      </c>
      <c r="T59" s="41">
        <f t="shared" si="7"/>
        <v>0</v>
      </c>
      <c r="U59" s="42">
        <f t="shared" si="8"/>
        <v>0</v>
      </c>
    </row>
    <row r="60" spans="1:21" ht="21.95" customHeight="1">
      <c r="A60" s="15"/>
      <c r="E60" s="59"/>
      <c r="F60" s="27">
        <f t="shared" ca="1" si="0"/>
        <v>122</v>
      </c>
      <c r="H60" s="59"/>
      <c r="I60" s="27">
        <f t="shared" ca="1" si="9"/>
        <v>1466</v>
      </c>
      <c r="J60" s="45" t="str">
        <f t="shared" ca="1" si="11"/>
        <v>يستحق</v>
      </c>
      <c r="K60" s="61">
        <f t="shared" si="1"/>
        <v>180</v>
      </c>
      <c r="L60" s="27">
        <v>21</v>
      </c>
      <c r="N60" s="40">
        <f t="shared" si="2"/>
        <v>0</v>
      </c>
      <c r="O60" s="41">
        <f t="shared" si="3"/>
        <v>0</v>
      </c>
      <c r="P60" s="42">
        <f t="shared" si="4"/>
        <v>0</v>
      </c>
      <c r="Q60" s="43">
        <f t="shared" si="5"/>
        <v>21</v>
      </c>
      <c r="S60" s="40">
        <f t="shared" si="6"/>
        <v>0</v>
      </c>
      <c r="T60" s="41">
        <f t="shared" si="7"/>
        <v>0</v>
      </c>
      <c r="U60" s="42">
        <f t="shared" si="8"/>
        <v>0</v>
      </c>
    </row>
    <row r="61" spans="1:21" ht="21.95" customHeight="1">
      <c r="A61" s="15"/>
      <c r="E61" s="59"/>
      <c r="F61" s="27">
        <f t="shared" ca="1" si="0"/>
        <v>122</v>
      </c>
      <c r="H61" s="59"/>
      <c r="I61" s="27">
        <f t="shared" ca="1" si="9"/>
        <v>1466</v>
      </c>
      <c r="J61" s="45" t="str">
        <f t="shared" ca="1" si="11"/>
        <v>يستحق</v>
      </c>
      <c r="K61" s="61">
        <f t="shared" si="1"/>
        <v>180</v>
      </c>
      <c r="L61" s="27">
        <v>21</v>
      </c>
      <c r="N61" s="40">
        <f t="shared" si="2"/>
        <v>0</v>
      </c>
      <c r="O61" s="41">
        <f t="shared" si="3"/>
        <v>0</v>
      </c>
      <c r="P61" s="42">
        <f t="shared" si="4"/>
        <v>0</v>
      </c>
      <c r="Q61" s="43">
        <f t="shared" si="5"/>
        <v>21</v>
      </c>
      <c r="S61" s="40">
        <f t="shared" si="6"/>
        <v>0</v>
      </c>
      <c r="T61" s="41">
        <f t="shared" si="7"/>
        <v>0</v>
      </c>
      <c r="U61" s="42">
        <f t="shared" si="8"/>
        <v>0</v>
      </c>
    </row>
    <row r="62" spans="1:21" ht="21.95" customHeight="1">
      <c r="A62" s="15"/>
      <c r="E62" s="59"/>
      <c r="F62" s="27">
        <f t="shared" ca="1" si="0"/>
        <v>122</v>
      </c>
      <c r="H62" s="59"/>
      <c r="I62" s="27">
        <f t="shared" ca="1" si="9"/>
        <v>1466</v>
      </c>
      <c r="J62" s="45" t="str">
        <f t="shared" ca="1" si="11"/>
        <v>يستحق</v>
      </c>
      <c r="K62" s="61">
        <f t="shared" si="1"/>
        <v>180</v>
      </c>
      <c r="L62" s="27">
        <v>21</v>
      </c>
      <c r="N62" s="40">
        <f t="shared" si="2"/>
        <v>0</v>
      </c>
      <c r="O62" s="41">
        <f t="shared" si="3"/>
        <v>0</v>
      </c>
      <c r="P62" s="42">
        <f t="shared" si="4"/>
        <v>0</v>
      </c>
      <c r="Q62" s="43">
        <f t="shared" si="5"/>
        <v>21</v>
      </c>
      <c r="S62" s="40">
        <f t="shared" si="6"/>
        <v>0</v>
      </c>
      <c r="T62" s="41">
        <f t="shared" si="7"/>
        <v>0</v>
      </c>
      <c r="U62" s="42">
        <f t="shared" si="8"/>
        <v>0</v>
      </c>
    </row>
    <row r="63" spans="1:21" ht="21.95" customHeight="1">
      <c r="A63" s="15"/>
      <c r="E63" s="59"/>
      <c r="F63" s="27">
        <f t="shared" ca="1" si="0"/>
        <v>122</v>
      </c>
      <c r="H63" s="59"/>
      <c r="I63" s="27">
        <f t="shared" ca="1" si="9"/>
        <v>1466</v>
      </c>
      <c r="J63" s="45" t="str">
        <f t="shared" ca="1" si="11"/>
        <v>يستحق</v>
      </c>
      <c r="K63" s="61">
        <f t="shared" si="1"/>
        <v>180</v>
      </c>
      <c r="L63" s="27">
        <v>21</v>
      </c>
      <c r="N63" s="40">
        <f t="shared" si="2"/>
        <v>0</v>
      </c>
      <c r="O63" s="41">
        <f t="shared" si="3"/>
        <v>0</v>
      </c>
      <c r="P63" s="42">
        <f t="shared" si="4"/>
        <v>0</v>
      </c>
      <c r="Q63" s="43">
        <f t="shared" si="5"/>
        <v>21</v>
      </c>
      <c r="S63" s="40">
        <f t="shared" si="6"/>
        <v>0</v>
      </c>
      <c r="T63" s="41">
        <f t="shared" si="7"/>
        <v>0</v>
      </c>
      <c r="U63" s="42">
        <f t="shared" si="8"/>
        <v>0</v>
      </c>
    </row>
    <row r="64" spans="1:21" ht="21.95" customHeight="1">
      <c r="A64" s="15"/>
      <c r="E64" s="59"/>
      <c r="F64" s="27">
        <f t="shared" ca="1" si="0"/>
        <v>122</v>
      </c>
      <c r="H64" s="59"/>
      <c r="I64" s="27">
        <f t="shared" ca="1" si="9"/>
        <v>1466</v>
      </c>
      <c r="J64" s="45" t="str">
        <f t="shared" ca="1" si="11"/>
        <v>يستحق</v>
      </c>
      <c r="K64" s="61">
        <f t="shared" si="1"/>
        <v>180</v>
      </c>
      <c r="L64" s="27">
        <v>21</v>
      </c>
      <c r="N64" s="40">
        <f t="shared" si="2"/>
        <v>0</v>
      </c>
      <c r="O64" s="41">
        <f t="shared" si="3"/>
        <v>0</v>
      </c>
      <c r="P64" s="42">
        <f t="shared" si="4"/>
        <v>0</v>
      </c>
      <c r="Q64" s="43">
        <f t="shared" si="5"/>
        <v>21</v>
      </c>
      <c r="S64" s="40">
        <f t="shared" si="6"/>
        <v>0</v>
      </c>
      <c r="T64" s="41">
        <f t="shared" si="7"/>
        <v>0</v>
      </c>
      <c r="U64" s="42">
        <f t="shared" si="8"/>
        <v>0</v>
      </c>
    </row>
    <row r="65" spans="1:21" ht="21.95" customHeight="1">
      <c r="A65" s="15"/>
      <c r="E65" s="59"/>
      <c r="F65" s="27">
        <f t="shared" ca="1" si="0"/>
        <v>122</v>
      </c>
      <c r="H65" s="59"/>
      <c r="I65" s="27">
        <f t="shared" ca="1" si="9"/>
        <v>1466</v>
      </c>
      <c r="J65" s="45" t="str">
        <f t="shared" ca="1" si="11"/>
        <v>يستحق</v>
      </c>
      <c r="K65" s="61">
        <f t="shared" si="1"/>
        <v>180</v>
      </c>
      <c r="L65" s="27">
        <v>21</v>
      </c>
      <c r="N65" s="40">
        <f t="shared" si="2"/>
        <v>0</v>
      </c>
      <c r="O65" s="41">
        <f t="shared" si="3"/>
        <v>0</v>
      </c>
      <c r="P65" s="42">
        <f t="shared" si="4"/>
        <v>0</v>
      </c>
      <c r="Q65" s="43">
        <f t="shared" si="5"/>
        <v>21</v>
      </c>
      <c r="S65" s="40">
        <f t="shared" si="6"/>
        <v>0</v>
      </c>
      <c r="T65" s="41">
        <f t="shared" si="7"/>
        <v>0</v>
      </c>
      <c r="U65" s="42">
        <f t="shared" si="8"/>
        <v>0</v>
      </c>
    </row>
    <row r="66" spans="1:21" ht="21.95" customHeight="1">
      <c r="A66" s="15"/>
      <c r="E66" s="59"/>
      <c r="F66" s="27">
        <f t="shared" ca="1" si="0"/>
        <v>122</v>
      </c>
      <c r="H66" s="59"/>
      <c r="I66" s="27">
        <f t="shared" ca="1" si="9"/>
        <v>1466</v>
      </c>
      <c r="J66" s="45" t="str">
        <f t="shared" ca="1" si="11"/>
        <v>يستحق</v>
      </c>
      <c r="K66" s="61">
        <f t="shared" si="1"/>
        <v>180</v>
      </c>
      <c r="L66" s="27">
        <v>21</v>
      </c>
      <c r="N66" s="40">
        <f t="shared" si="2"/>
        <v>0</v>
      </c>
      <c r="O66" s="41">
        <f t="shared" si="3"/>
        <v>0</v>
      </c>
      <c r="P66" s="42">
        <f t="shared" si="4"/>
        <v>0</v>
      </c>
      <c r="Q66" s="43">
        <f t="shared" si="5"/>
        <v>21</v>
      </c>
      <c r="S66" s="40">
        <f t="shared" si="6"/>
        <v>0</v>
      </c>
      <c r="T66" s="41">
        <f t="shared" si="7"/>
        <v>0</v>
      </c>
      <c r="U66" s="42">
        <f t="shared" si="8"/>
        <v>0</v>
      </c>
    </row>
    <row r="67" spans="1:21" ht="21.95" customHeight="1">
      <c r="A67" s="15"/>
      <c r="E67" s="59"/>
      <c r="F67" s="27">
        <f t="shared" ca="1" si="0"/>
        <v>122</v>
      </c>
      <c r="H67" s="59"/>
      <c r="I67" s="27">
        <f t="shared" ca="1" si="9"/>
        <v>1466</v>
      </c>
      <c r="J67" s="45" t="str">
        <f t="shared" ca="1" si="11"/>
        <v>يستحق</v>
      </c>
      <c r="K67" s="61">
        <f t="shared" si="1"/>
        <v>180</v>
      </c>
      <c r="L67" s="27">
        <v>21</v>
      </c>
      <c r="N67" s="40">
        <f t="shared" si="2"/>
        <v>0</v>
      </c>
      <c r="O67" s="41">
        <f t="shared" si="3"/>
        <v>0</v>
      </c>
      <c r="P67" s="42">
        <f t="shared" si="4"/>
        <v>0</v>
      </c>
      <c r="Q67" s="43">
        <f t="shared" si="5"/>
        <v>21</v>
      </c>
      <c r="S67" s="40">
        <f t="shared" si="6"/>
        <v>0</v>
      </c>
      <c r="T67" s="41">
        <f t="shared" si="7"/>
        <v>0</v>
      </c>
      <c r="U67" s="42">
        <f t="shared" si="8"/>
        <v>0</v>
      </c>
    </row>
    <row r="68" spans="1:21" ht="21.95" customHeight="1">
      <c r="A68" s="15"/>
      <c r="E68" s="59"/>
      <c r="F68" s="27">
        <f t="shared" ca="1" si="0"/>
        <v>122</v>
      </c>
      <c r="H68" s="59"/>
      <c r="I68" s="27">
        <f t="shared" ca="1" si="9"/>
        <v>1466</v>
      </c>
      <c r="J68" s="45" t="str">
        <f t="shared" ca="1" si="11"/>
        <v>يستحق</v>
      </c>
      <c r="K68" s="61">
        <f t="shared" si="1"/>
        <v>180</v>
      </c>
      <c r="L68" s="27">
        <v>21</v>
      </c>
      <c r="N68" s="40">
        <f t="shared" si="2"/>
        <v>0</v>
      </c>
      <c r="O68" s="41">
        <f t="shared" si="3"/>
        <v>0</v>
      </c>
      <c r="P68" s="42">
        <f t="shared" si="4"/>
        <v>0</v>
      </c>
      <c r="Q68" s="43">
        <f t="shared" si="5"/>
        <v>21</v>
      </c>
      <c r="S68" s="40">
        <f t="shared" si="6"/>
        <v>0</v>
      </c>
      <c r="T68" s="41">
        <f t="shared" si="7"/>
        <v>0</v>
      </c>
      <c r="U68" s="42">
        <f t="shared" si="8"/>
        <v>0</v>
      </c>
    </row>
    <row r="69" spans="1:21" ht="21.95" customHeight="1">
      <c r="A69" s="15"/>
      <c r="E69" s="59"/>
      <c r="F69" s="27">
        <f t="shared" ca="1" si="0"/>
        <v>122</v>
      </c>
      <c r="H69" s="59"/>
      <c r="I69" s="27">
        <f t="shared" ca="1" si="9"/>
        <v>1466</v>
      </c>
      <c r="J69" s="45" t="str">
        <f t="shared" ca="1" si="11"/>
        <v>يستحق</v>
      </c>
      <c r="K69" s="61">
        <f t="shared" si="1"/>
        <v>180</v>
      </c>
      <c r="L69" s="27">
        <v>21</v>
      </c>
      <c r="N69" s="40">
        <f t="shared" si="2"/>
        <v>0</v>
      </c>
      <c r="O69" s="41">
        <f t="shared" si="3"/>
        <v>0</v>
      </c>
      <c r="P69" s="42">
        <f t="shared" si="4"/>
        <v>0</v>
      </c>
      <c r="Q69" s="43">
        <f t="shared" si="5"/>
        <v>21</v>
      </c>
      <c r="S69" s="40">
        <f t="shared" si="6"/>
        <v>0</v>
      </c>
      <c r="T69" s="41">
        <f t="shared" si="7"/>
        <v>0</v>
      </c>
      <c r="U69" s="42">
        <f t="shared" si="8"/>
        <v>0</v>
      </c>
    </row>
    <row r="70" spans="1:21" ht="21.95" customHeight="1">
      <c r="A70" s="15"/>
      <c r="E70" s="59"/>
      <c r="F70" s="27">
        <f t="shared" ref="F70:F100" ca="1" si="12">DATEDIF(E70,TODAY(),"Y")</f>
        <v>122</v>
      </c>
      <c r="H70" s="59"/>
      <c r="I70" s="27">
        <f t="shared" ca="1" si="9"/>
        <v>1466</v>
      </c>
      <c r="J70" s="45" t="str">
        <f t="shared" ca="1" si="11"/>
        <v>يستحق</v>
      </c>
      <c r="K70" s="61">
        <f t="shared" ref="K70:K100" si="13">180+H70</f>
        <v>180</v>
      </c>
      <c r="L70" s="27">
        <v>21</v>
      </c>
      <c r="N70" s="40">
        <f t="shared" ref="N70:O100" si="14">W70+AC70+AI70+AO70+AU70+BA70+BG70+BM70+BS70+BY70+CE70+CK70</f>
        <v>0</v>
      </c>
      <c r="O70" s="41">
        <f t="shared" si="14"/>
        <v>0</v>
      </c>
      <c r="P70" s="42">
        <f t="shared" ref="P70:P100" si="15">N70+O70</f>
        <v>0</v>
      </c>
      <c r="Q70" s="43">
        <f t="shared" ref="Q70:Q100" si="16">L70-P70</f>
        <v>21</v>
      </c>
      <c r="S70" s="40">
        <f t="shared" ref="S70:U100" si="17">Y70+AE70+AK70+AQ70+AW70+BC70+BI70+BO70+BU70+CA70+CG70+CM70</f>
        <v>0</v>
      </c>
      <c r="T70" s="41">
        <f t="shared" si="17"/>
        <v>0</v>
      </c>
      <c r="U70" s="42">
        <f t="shared" si="17"/>
        <v>0</v>
      </c>
    </row>
    <row r="71" spans="1:21" ht="21.95" customHeight="1">
      <c r="A71" s="15"/>
      <c r="E71" s="59"/>
      <c r="F71" s="27">
        <f t="shared" ca="1" si="12"/>
        <v>122</v>
      </c>
      <c r="H71" s="59"/>
      <c r="I71" s="27">
        <f t="shared" ref="I71:I100" ca="1" si="18">DATEDIF(H71,TODAY(),"M")</f>
        <v>1466</v>
      </c>
      <c r="J71" s="45" t="str">
        <f t="shared" ca="1" si="11"/>
        <v>يستحق</v>
      </c>
      <c r="K71" s="61">
        <f t="shared" si="13"/>
        <v>180</v>
      </c>
      <c r="L71" s="27">
        <v>21</v>
      </c>
      <c r="N71" s="40">
        <f t="shared" si="14"/>
        <v>0</v>
      </c>
      <c r="O71" s="41">
        <f t="shared" si="14"/>
        <v>0</v>
      </c>
      <c r="P71" s="42">
        <f t="shared" si="15"/>
        <v>0</v>
      </c>
      <c r="Q71" s="43">
        <f t="shared" si="16"/>
        <v>21</v>
      </c>
      <c r="S71" s="40">
        <f t="shared" si="17"/>
        <v>0</v>
      </c>
      <c r="T71" s="41">
        <f t="shared" si="17"/>
        <v>0</v>
      </c>
      <c r="U71" s="42">
        <f t="shared" si="17"/>
        <v>0</v>
      </c>
    </row>
    <row r="72" spans="1:21" ht="21.95" customHeight="1">
      <c r="A72" s="15"/>
      <c r="E72" s="59"/>
      <c r="F72" s="27">
        <f t="shared" ca="1" si="12"/>
        <v>122</v>
      </c>
      <c r="H72" s="59"/>
      <c r="I72" s="27">
        <f t="shared" ca="1" si="18"/>
        <v>1466</v>
      </c>
      <c r="J72" s="45" t="str">
        <f t="shared" ca="1" si="11"/>
        <v>يستحق</v>
      </c>
      <c r="K72" s="61">
        <f t="shared" si="13"/>
        <v>180</v>
      </c>
      <c r="L72" s="27">
        <v>21</v>
      </c>
      <c r="N72" s="40">
        <f t="shared" si="14"/>
        <v>0</v>
      </c>
      <c r="O72" s="41">
        <f t="shared" si="14"/>
        <v>0</v>
      </c>
      <c r="P72" s="42">
        <f t="shared" si="15"/>
        <v>0</v>
      </c>
      <c r="Q72" s="43">
        <f t="shared" si="16"/>
        <v>21</v>
      </c>
      <c r="S72" s="40">
        <f t="shared" si="17"/>
        <v>0</v>
      </c>
      <c r="T72" s="41">
        <f t="shared" si="17"/>
        <v>0</v>
      </c>
      <c r="U72" s="42">
        <f t="shared" si="17"/>
        <v>0</v>
      </c>
    </row>
    <row r="73" spans="1:21" ht="21.95" customHeight="1">
      <c r="A73" s="15"/>
      <c r="E73" s="59"/>
      <c r="F73" s="27">
        <f t="shared" ca="1" si="12"/>
        <v>122</v>
      </c>
      <c r="H73" s="59"/>
      <c r="I73" s="27">
        <f t="shared" ca="1" si="18"/>
        <v>1466</v>
      </c>
      <c r="J73" s="45" t="str">
        <f t="shared" ca="1" si="11"/>
        <v>يستحق</v>
      </c>
      <c r="K73" s="61">
        <f t="shared" si="13"/>
        <v>180</v>
      </c>
      <c r="L73" s="27">
        <v>21</v>
      </c>
      <c r="N73" s="40">
        <f t="shared" si="14"/>
        <v>0</v>
      </c>
      <c r="O73" s="41">
        <f t="shared" si="14"/>
        <v>0</v>
      </c>
      <c r="P73" s="42">
        <f t="shared" si="15"/>
        <v>0</v>
      </c>
      <c r="Q73" s="43">
        <f t="shared" si="16"/>
        <v>21</v>
      </c>
      <c r="S73" s="40">
        <f t="shared" si="17"/>
        <v>0</v>
      </c>
      <c r="T73" s="41">
        <f t="shared" si="17"/>
        <v>0</v>
      </c>
      <c r="U73" s="42">
        <f t="shared" si="17"/>
        <v>0</v>
      </c>
    </row>
    <row r="74" spans="1:21" ht="21.95" customHeight="1">
      <c r="A74" s="15"/>
      <c r="E74" s="59"/>
      <c r="F74" s="27">
        <f t="shared" ca="1" si="12"/>
        <v>122</v>
      </c>
      <c r="H74" s="59"/>
      <c r="I74" s="27">
        <f t="shared" ca="1" si="18"/>
        <v>1466</v>
      </c>
      <c r="J74" s="45" t="str">
        <f t="shared" ca="1" si="11"/>
        <v>يستحق</v>
      </c>
      <c r="K74" s="61">
        <f t="shared" si="13"/>
        <v>180</v>
      </c>
      <c r="L74" s="27">
        <v>21</v>
      </c>
      <c r="N74" s="40">
        <f t="shared" si="14"/>
        <v>0</v>
      </c>
      <c r="O74" s="41">
        <f t="shared" si="14"/>
        <v>0</v>
      </c>
      <c r="P74" s="42">
        <f t="shared" si="15"/>
        <v>0</v>
      </c>
      <c r="Q74" s="43">
        <f t="shared" si="16"/>
        <v>21</v>
      </c>
      <c r="S74" s="40">
        <f t="shared" si="17"/>
        <v>0</v>
      </c>
      <c r="T74" s="41">
        <f t="shared" si="17"/>
        <v>0</v>
      </c>
      <c r="U74" s="42">
        <f t="shared" si="17"/>
        <v>0</v>
      </c>
    </row>
    <row r="75" spans="1:21" ht="21.95" customHeight="1">
      <c r="A75" s="15"/>
      <c r="E75" s="59"/>
      <c r="F75" s="27">
        <f t="shared" ca="1" si="12"/>
        <v>122</v>
      </c>
      <c r="H75" s="59"/>
      <c r="I75" s="27">
        <f t="shared" ca="1" si="18"/>
        <v>1466</v>
      </c>
      <c r="J75" s="45" t="str">
        <f t="shared" ca="1" si="11"/>
        <v>يستحق</v>
      </c>
      <c r="K75" s="61">
        <f t="shared" si="13"/>
        <v>180</v>
      </c>
      <c r="L75" s="27">
        <v>21</v>
      </c>
      <c r="N75" s="40">
        <f t="shared" si="14"/>
        <v>0</v>
      </c>
      <c r="O75" s="41">
        <f t="shared" si="14"/>
        <v>0</v>
      </c>
      <c r="P75" s="42">
        <f t="shared" si="15"/>
        <v>0</v>
      </c>
      <c r="Q75" s="43">
        <f t="shared" si="16"/>
        <v>21</v>
      </c>
      <c r="S75" s="40">
        <f t="shared" si="17"/>
        <v>0</v>
      </c>
      <c r="T75" s="41">
        <f t="shared" si="17"/>
        <v>0</v>
      </c>
      <c r="U75" s="42">
        <f t="shared" si="17"/>
        <v>0</v>
      </c>
    </row>
    <row r="76" spans="1:21" ht="21.95" customHeight="1">
      <c r="A76" s="15"/>
      <c r="E76" s="59"/>
      <c r="F76" s="27">
        <f t="shared" ca="1" si="12"/>
        <v>122</v>
      </c>
      <c r="H76" s="59"/>
      <c r="I76" s="27">
        <f t="shared" ca="1" si="18"/>
        <v>1466</v>
      </c>
      <c r="J76" s="45" t="str">
        <f t="shared" ca="1" si="11"/>
        <v>يستحق</v>
      </c>
      <c r="K76" s="61">
        <f t="shared" si="13"/>
        <v>180</v>
      </c>
      <c r="L76" s="27">
        <v>21</v>
      </c>
      <c r="N76" s="40">
        <f t="shared" si="14"/>
        <v>0</v>
      </c>
      <c r="O76" s="41">
        <f t="shared" si="14"/>
        <v>0</v>
      </c>
      <c r="P76" s="42">
        <f t="shared" si="15"/>
        <v>0</v>
      </c>
      <c r="Q76" s="43">
        <f t="shared" si="16"/>
        <v>21</v>
      </c>
      <c r="S76" s="40">
        <f t="shared" si="17"/>
        <v>0</v>
      </c>
      <c r="T76" s="41">
        <f t="shared" si="17"/>
        <v>0</v>
      </c>
      <c r="U76" s="42">
        <f t="shared" si="17"/>
        <v>0</v>
      </c>
    </row>
    <row r="77" spans="1:21" ht="21.95" customHeight="1">
      <c r="A77" s="15"/>
      <c r="E77" s="59"/>
      <c r="F77" s="27">
        <f t="shared" ca="1" si="12"/>
        <v>122</v>
      </c>
      <c r="H77" s="59"/>
      <c r="I77" s="27">
        <f t="shared" ca="1" si="18"/>
        <v>1466</v>
      </c>
      <c r="J77" s="45" t="str">
        <f t="shared" ca="1" si="11"/>
        <v>يستحق</v>
      </c>
      <c r="K77" s="61">
        <f t="shared" si="13"/>
        <v>180</v>
      </c>
      <c r="L77" s="27">
        <v>21</v>
      </c>
      <c r="N77" s="40">
        <f t="shared" si="14"/>
        <v>0</v>
      </c>
      <c r="O77" s="41">
        <f t="shared" si="14"/>
        <v>0</v>
      </c>
      <c r="P77" s="42">
        <f t="shared" si="15"/>
        <v>0</v>
      </c>
      <c r="Q77" s="43">
        <f t="shared" si="16"/>
        <v>21</v>
      </c>
      <c r="S77" s="40">
        <f t="shared" si="17"/>
        <v>0</v>
      </c>
      <c r="T77" s="41">
        <f t="shared" si="17"/>
        <v>0</v>
      </c>
      <c r="U77" s="42">
        <f t="shared" si="17"/>
        <v>0</v>
      </c>
    </row>
    <row r="78" spans="1:21" ht="21.95" customHeight="1">
      <c r="A78" s="15"/>
      <c r="E78" s="59"/>
      <c r="F78" s="27">
        <f t="shared" ca="1" si="12"/>
        <v>122</v>
      </c>
      <c r="H78" s="59"/>
      <c r="I78" s="27">
        <f t="shared" ca="1" si="18"/>
        <v>1466</v>
      </c>
      <c r="J78" s="45" t="str">
        <f t="shared" ca="1" si="11"/>
        <v>يستحق</v>
      </c>
      <c r="K78" s="61">
        <f t="shared" si="13"/>
        <v>180</v>
      </c>
      <c r="L78" s="27">
        <v>21</v>
      </c>
      <c r="N78" s="40">
        <f t="shared" si="14"/>
        <v>0</v>
      </c>
      <c r="O78" s="41">
        <f t="shared" si="14"/>
        <v>0</v>
      </c>
      <c r="P78" s="42">
        <f t="shared" si="15"/>
        <v>0</v>
      </c>
      <c r="Q78" s="43">
        <f t="shared" si="16"/>
        <v>21</v>
      </c>
      <c r="S78" s="40">
        <f t="shared" si="17"/>
        <v>0</v>
      </c>
      <c r="T78" s="41">
        <f t="shared" si="17"/>
        <v>0</v>
      </c>
      <c r="U78" s="42">
        <f t="shared" si="17"/>
        <v>0</v>
      </c>
    </row>
    <row r="79" spans="1:21" ht="21.95" customHeight="1">
      <c r="A79" s="15"/>
      <c r="E79" s="59"/>
      <c r="F79" s="27">
        <f t="shared" ca="1" si="12"/>
        <v>122</v>
      </c>
      <c r="H79" s="59"/>
      <c r="I79" s="27">
        <f t="shared" ca="1" si="18"/>
        <v>1466</v>
      </c>
      <c r="J79" s="45" t="str">
        <f t="shared" ca="1" si="11"/>
        <v>يستحق</v>
      </c>
      <c r="K79" s="61">
        <f t="shared" si="13"/>
        <v>180</v>
      </c>
      <c r="L79" s="27">
        <v>21</v>
      </c>
      <c r="N79" s="40">
        <f t="shared" si="14"/>
        <v>0</v>
      </c>
      <c r="O79" s="41">
        <f t="shared" si="14"/>
        <v>0</v>
      </c>
      <c r="P79" s="42">
        <f t="shared" si="15"/>
        <v>0</v>
      </c>
      <c r="Q79" s="43">
        <f t="shared" si="16"/>
        <v>21</v>
      </c>
      <c r="S79" s="40">
        <f t="shared" si="17"/>
        <v>0</v>
      </c>
      <c r="T79" s="41">
        <f t="shared" si="17"/>
        <v>0</v>
      </c>
      <c r="U79" s="42">
        <f t="shared" si="17"/>
        <v>0</v>
      </c>
    </row>
    <row r="80" spans="1:21" ht="21.95" customHeight="1">
      <c r="A80" s="15"/>
      <c r="E80" s="59"/>
      <c r="F80" s="27">
        <f t="shared" ca="1" si="12"/>
        <v>122</v>
      </c>
      <c r="H80" s="59"/>
      <c r="I80" s="27">
        <f t="shared" ca="1" si="18"/>
        <v>1466</v>
      </c>
      <c r="J80" s="45" t="str">
        <f t="shared" ca="1" si="11"/>
        <v>يستحق</v>
      </c>
      <c r="K80" s="61">
        <f t="shared" si="13"/>
        <v>180</v>
      </c>
      <c r="L80" s="27">
        <v>21</v>
      </c>
      <c r="N80" s="40">
        <f t="shared" si="14"/>
        <v>0</v>
      </c>
      <c r="O80" s="41">
        <f t="shared" si="14"/>
        <v>0</v>
      </c>
      <c r="P80" s="42">
        <f t="shared" si="15"/>
        <v>0</v>
      </c>
      <c r="Q80" s="43">
        <f t="shared" si="16"/>
        <v>21</v>
      </c>
      <c r="S80" s="40">
        <f t="shared" si="17"/>
        <v>0</v>
      </c>
      <c r="T80" s="41">
        <f t="shared" si="17"/>
        <v>0</v>
      </c>
      <c r="U80" s="42">
        <f t="shared" si="17"/>
        <v>0</v>
      </c>
    </row>
    <row r="81" spans="1:21" ht="21.95" customHeight="1">
      <c r="A81" s="15"/>
      <c r="E81" s="59"/>
      <c r="F81" s="27">
        <f t="shared" ca="1" si="12"/>
        <v>122</v>
      </c>
      <c r="H81" s="59"/>
      <c r="I81" s="27">
        <f t="shared" ca="1" si="18"/>
        <v>1466</v>
      </c>
      <c r="J81" s="45" t="str">
        <f t="shared" ca="1" si="11"/>
        <v>يستحق</v>
      </c>
      <c r="K81" s="61">
        <f t="shared" si="13"/>
        <v>180</v>
      </c>
      <c r="L81" s="27">
        <v>21</v>
      </c>
      <c r="N81" s="40">
        <f t="shared" si="14"/>
        <v>0</v>
      </c>
      <c r="O81" s="41">
        <f t="shared" si="14"/>
        <v>0</v>
      </c>
      <c r="P81" s="42">
        <f t="shared" si="15"/>
        <v>0</v>
      </c>
      <c r="Q81" s="43">
        <f t="shared" si="16"/>
        <v>21</v>
      </c>
      <c r="S81" s="40">
        <f t="shared" si="17"/>
        <v>0</v>
      </c>
      <c r="T81" s="41">
        <f t="shared" si="17"/>
        <v>0</v>
      </c>
      <c r="U81" s="42">
        <f t="shared" si="17"/>
        <v>0</v>
      </c>
    </row>
    <row r="82" spans="1:21" ht="21.95" customHeight="1">
      <c r="A82" s="15"/>
      <c r="E82" s="59"/>
      <c r="F82" s="27">
        <f t="shared" ca="1" si="12"/>
        <v>122</v>
      </c>
      <c r="H82" s="59"/>
      <c r="I82" s="27">
        <f t="shared" ca="1" si="18"/>
        <v>1466</v>
      </c>
      <c r="J82" s="45" t="str">
        <f t="shared" ca="1" si="11"/>
        <v>يستحق</v>
      </c>
      <c r="K82" s="61">
        <f t="shared" si="13"/>
        <v>180</v>
      </c>
      <c r="L82" s="27">
        <v>21</v>
      </c>
      <c r="N82" s="40">
        <f t="shared" si="14"/>
        <v>0</v>
      </c>
      <c r="O82" s="41">
        <f t="shared" si="14"/>
        <v>0</v>
      </c>
      <c r="P82" s="42">
        <f t="shared" si="15"/>
        <v>0</v>
      </c>
      <c r="Q82" s="43">
        <f t="shared" si="16"/>
        <v>21</v>
      </c>
      <c r="S82" s="40">
        <f t="shared" si="17"/>
        <v>0</v>
      </c>
      <c r="T82" s="41">
        <f t="shared" si="17"/>
        <v>0</v>
      </c>
      <c r="U82" s="42">
        <f t="shared" si="17"/>
        <v>0</v>
      </c>
    </row>
    <row r="83" spans="1:21" ht="21.95" customHeight="1">
      <c r="A83" s="15"/>
      <c r="E83" s="59"/>
      <c r="F83" s="27">
        <f t="shared" ca="1" si="12"/>
        <v>122</v>
      </c>
      <c r="H83" s="59"/>
      <c r="I83" s="27">
        <f t="shared" ca="1" si="18"/>
        <v>1466</v>
      </c>
      <c r="J83" s="45" t="str">
        <f t="shared" ca="1" si="11"/>
        <v>يستحق</v>
      </c>
      <c r="K83" s="61">
        <f t="shared" si="13"/>
        <v>180</v>
      </c>
      <c r="L83" s="27">
        <v>21</v>
      </c>
      <c r="N83" s="40">
        <f t="shared" si="14"/>
        <v>0</v>
      </c>
      <c r="O83" s="41">
        <f t="shared" si="14"/>
        <v>0</v>
      </c>
      <c r="P83" s="42">
        <f t="shared" si="15"/>
        <v>0</v>
      </c>
      <c r="Q83" s="43">
        <f t="shared" si="16"/>
        <v>21</v>
      </c>
      <c r="S83" s="40">
        <f t="shared" si="17"/>
        <v>0</v>
      </c>
      <c r="T83" s="41">
        <f t="shared" si="17"/>
        <v>0</v>
      </c>
      <c r="U83" s="42">
        <f t="shared" si="17"/>
        <v>0</v>
      </c>
    </row>
    <row r="84" spans="1:21" ht="21.95" customHeight="1">
      <c r="A84" s="15"/>
      <c r="E84" s="59"/>
      <c r="F84" s="27">
        <f t="shared" ca="1" si="12"/>
        <v>122</v>
      </c>
      <c r="H84" s="59"/>
      <c r="I84" s="27">
        <f t="shared" ca="1" si="18"/>
        <v>1466</v>
      </c>
      <c r="J84" s="45" t="str">
        <f t="shared" ca="1" si="11"/>
        <v>يستحق</v>
      </c>
      <c r="K84" s="61">
        <f t="shared" si="13"/>
        <v>180</v>
      </c>
      <c r="L84" s="27">
        <v>21</v>
      </c>
      <c r="N84" s="40">
        <f t="shared" si="14"/>
        <v>0</v>
      </c>
      <c r="O84" s="41">
        <f t="shared" si="14"/>
        <v>0</v>
      </c>
      <c r="P84" s="42">
        <f t="shared" si="15"/>
        <v>0</v>
      </c>
      <c r="Q84" s="43">
        <f t="shared" si="16"/>
        <v>21</v>
      </c>
      <c r="S84" s="40">
        <f t="shared" si="17"/>
        <v>0</v>
      </c>
      <c r="T84" s="41">
        <f t="shared" si="17"/>
        <v>0</v>
      </c>
      <c r="U84" s="42">
        <f t="shared" si="17"/>
        <v>0</v>
      </c>
    </row>
    <row r="85" spans="1:21" ht="21.95" customHeight="1">
      <c r="A85" s="15"/>
      <c r="E85" s="59"/>
      <c r="F85" s="27">
        <f t="shared" ca="1" si="12"/>
        <v>122</v>
      </c>
      <c r="H85" s="59"/>
      <c r="I85" s="27">
        <f t="shared" ca="1" si="18"/>
        <v>1466</v>
      </c>
      <c r="J85" s="45" t="str">
        <f t="shared" ca="1" si="11"/>
        <v>يستحق</v>
      </c>
      <c r="K85" s="61">
        <f t="shared" si="13"/>
        <v>180</v>
      </c>
      <c r="L85" s="27">
        <v>21</v>
      </c>
      <c r="N85" s="40">
        <f t="shared" si="14"/>
        <v>0</v>
      </c>
      <c r="O85" s="41">
        <f t="shared" si="14"/>
        <v>0</v>
      </c>
      <c r="P85" s="42">
        <f t="shared" si="15"/>
        <v>0</v>
      </c>
      <c r="Q85" s="43">
        <f t="shared" si="16"/>
        <v>21</v>
      </c>
      <c r="S85" s="40">
        <f t="shared" si="17"/>
        <v>0</v>
      </c>
      <c r="T85" s="41">
        <f t="shared" si="17"/>
        <v>0</v>
      </c>
      <c r="U85" s="42">
        <f t="shared" si="17"/>
        <v>0</v>
      </c>
    </row>
    <row r="86" spans="1:21" ht="21.95" customHeight="1">
      <c r="A86" s="15"/>
      <c r="E86" s="59"/>
      <c r="F86" s="27">
        <f t="shared" ca="1" si="12"/>
        <v>122</v>
      </c>
      <c r="H86" s="59"/>
      <c r="I86" s="27">
        <f t="shared" ca="1" si="18"/>
        <v>1466</v>
      </c>
      <c r="J86" s="45" t="str">
        <f t="shared" ref="J86:J100" ca="1" si="19">IF(I86&gt;6,"يستحق","لايستحق")</f>
        <v>يستحق</v>
      </c>
      <c r="K86" s="61">
        <f t="shared" si="13"/>
        <v>180</v>
      </c>
      <c r="L86" s="27">
        <v>21</v>
      </c>
      <c r="N86" s="40">
        <f t="shared" si="14"/>
        <v>0</v>
      </c>
      <c r="O86" s="41">
        <f t="shared" si="14"/>
        <v>0</v>
      </c>
      <c r="P86" s="42">
        <f t="shared" si="15"/>
        <v>0</v>
      </c>
      <c r="Q86" s="43">
        <f t="shared" si="16"/>
        <v>21</v>
      </c>
      <c r="S86" s="40">
        <f t="shared" si="17"/>
        <v>0</v>
      </c>
      <c r="T86" s="41">
        <f t="shared" si="17"/>
        <v>0</v>
      </c>
      <c r="U86" s="42">
        <f t="shared" si="17"/>
        <v>0</v>
      </c>
    </row>
    <row r="87" spans="1:21" ht="21.95" customHeight="1">
      <c r="A87" s="15"/>
      <c r="E87" s="59"/>
      <c r="F87" s="27">
        <f t="shared" ca="1" si="12"/>
        <v>122</v>
      </c>
      <c r="H87" s="59"/>
      <c r="I87" s="27">
        <f t="shared" ca="1" si="18"/>
        <v>1466</v>
      </c>
      <c r="J87" s="45" t="str">
        <f t="shared" ca="1" si="19"/>
        <v>يستحق</v>
      </c>
      <c r="K87" s="61">
        <f t="shared" si="13"/>
        <v>180</v>
      </c>
      <c r="L87" s="27">
        <v>21</v>
      </c>
      <c r="N87" s="40">
        <f t="shared" si="14"/>
        <v>0</v>
      </c>
      <c r="O87" s="41">
        <f t="shared" si="14"/>
        <v>0</v>
      </c>
      <c r="P87" s="42">
        <f t="shared" si="15"/>
        <v>0</v>
      </c>
      <c r="Q87" s="43">
        <f t="shared" si="16"/>
        <v>21</v>
      </c>
      <c r="S87" s="40">
        <f t="shared" si="17"/>
        <v>0</v>
      </c>
      <c r="T87" s="41">
        <f t="shared" si="17"/>
        <v>0</v>
      </c>
      <c r="U87" s="42">
        <f t="shared" si="17"/>
        <v>0</v>
      </c>
    </row>
    <row r="88" spans="1:21" ht="21.95" customHeight="1">
      <c r="A88" s="15"/>
      <c r="E88" s="59"/>
      <c r="F88" s="27">
        <f t="shared" ca="1" si="12"/>
        <v>122</v>
      </c>
      <c r="H88" s="59"/>
      <c r="I88" s="27">
        <f t="shared" ca="1" si="18"/>
        <v>1466</v>
      </c>
      <c r="J88" s="45" t="str">
        <f t="shared" ca="1" si="19"/>
        <v>يستحق</v>
      </c>
      <c r="K88" s="61">
        <f t="shared" si="13"/>
        <v>180</v>
      </c>
      <c r="L88" s="27">
        <v>21</v>
      </c>
      <c r="N88" s="40">
        <f t="shared" si="14"/>
        <v>0</v>
      </c>
      <c r="O88" s="41">
        <f t="shared" si="14"/>
        <v>0</v>
      </c>
      <c r="P88" s="42">
        <f t="shared" si="15"/>
        <v>0</v>
      </c>
      <c r="Q88" s="43">
        <f t="shared" si="16"/>
        <v>21</v>
      </c>
      <c r="S88" s="40">
        <f t="shared" si="17"/>
        <v>0</v>
      </c>
      <c r="T88" s="41">
        <f t="shared" si="17"/>
        <v>0</v>
      </c>
      <c r="U88" s="42">
        <f t="shared" si="17"/>
        <v>0</v>
      </c>
    </row>
    <row r="89" spans="1:21" ht="21.95" customHeight="1">
      <c r="A89" s="15"/>
      <c r="E89" s="59"/>
      <c r="F89" s="27">
        <f t="shared" ca="1" si="12"/>
        <v>122</v>
      </c>
      <c r="H89" s="59"/>
      <c r="I89" s="27">
        <f t="shared" ca="1" si="18"/>
        <v>1466</v>
      </c>
      <c r="J89" s="45" t="str">
        <f t="shared" ca="1" si="19"/>
        <v>يستحق</v>
      </c>
      <c r="K89" s="61">
        <f t="shared" si="13"/>
        <v>180</v>
      </c>
      <c r="L89" s="27">
        <v>21</v>
      </c>
      <c r="N89" s="40">
        <f t="shared" si="14"/>
        <v>0</v>
      </c>
      <c r="O89" s="41">
        <f t="shared" si="14"/>
        <v>0</v>
      </c>
      <c r="P89" s="42">
        <f t="shared" si="15"/>
        <v>0</v>
      </c>
      <c r="Q89" s="43">
        <f t="shared" si="16"/>
        <v>21</v>
      </c>
      <c r="S89" s="40">
        <f t="shared" si="17"/>
        <v>0</v>
      </c>
      <c r="T89" s="41">
        <f t="shared" si="17"/>
        <v>0</v>
      </c>
      <c r="U89" s="42">
        <f t="shared" si="17"/>
        <v>0</v>
      </c>
    </row>
    <row r="90" spans="1:21" ht="21.95" customHeight="1">
      <c r="A90" s="15"/>
      <c r="E90" s="59"/>
      <c r="F90" s="27">
        <f t="shared" ca="1" si="12"/>
        <v>122</v>
      </c>
      <c r="H90" s="59"/>
      <c r="I90" s="27">
        <f t="shared" ca="1" si="18"/>
        <v>1466</v>
      </c>
      <c r="J90" s="45" t="str">
        <f t="shared" ca="1" si="19"/>
        <v>يستحق</v>
      </c>
      <c r="K90" s="61">
        <f t="shared" si="13"/>
        <v>180</v>
      </c>
      <c r="L90" s="27">
        <v>21</v>
      </c>
      <c r="N90" s="40">
        <f t="shared" si="14"/>
        <v>0</v>
      </c>
      <c r="O90" s="41">
        <f t="shared" si="14"/>
        <v>0</v>
      </c>
      <c r="P90" s="42">
        <f t="shared" si="15"/>
        <v>0</v>
      </c>
      <c r="Q90" s="43">
        <f t="shared" si="16"/>
        <v>21</v>
      </c>
      <c r="S90" s="40">
        <f t="shared" si="17"/>
        <v>0</v>
      </c>
      <c r="T90" s="41">
        <f t="shared" si="17"/>
        <v>0</v>
      </c>
      <c r="U90" s="42">
        <f t="shared" si="17"/>
        <v>0</v>
      </c>
    </row>
    <row r="91" spans="1:21" ht="21.95" customHeight="1">
      <c r="A91" s="15"/>
      <c r="E91" s="59"/>
      <c r="F91" s="27">
        <f t="shared" ca="1" si="12"/>
        <v>122</v>
      </c>
      <c r="H91" s="59"/>
      <c r="I91" s="27">
        <f t="shared" ca="1" si="18"/>
        <v>1466</v>
      </c>
      <c r="J91" s="45" t="str">
        <f t="shared" ca="1" si="19"/>
        <v>يستحق</v>
      </c>
      <c r="K91" s="61">
        <f t="shared" si="13"/>
        <v>180</v>
      </c>
      <c r="L91" s="27">
        <v>21</v>
      </c>
      <c r="N91" s="40">
        <f t="shared" si="14"/>
        <v>0</v>
      </c>
      <c r="O91" s="41">
        <f t="shared" si="14"/>
        <v>0</v>
      </c>
      <c r="P91" s="42">
        <f t="shared" si="15"/>
        <v>0</v>
      </c>
      <c r="Q91" s="43">
        <f t="shared" si="16"/>
        <v>21</v>
      </c>
      <c r="S91" s="40">
        <f t="shared" si="17"/>
        <v>0</v>
      </c>
      <c r="T91" s="41">
        <f t="shared" si="17"/>
        <v>0</v>
      </c>
      <c r="U91" s="42">
        <f t="shared" si="17"/>
        <v>0</v>
      </c>
    </row>
    <row r="92" spans="1:21" ht="21.95" customHeight="1">
      <c r="A92" s="15"/>
      <c r="E92" s="59"/>
      <c r="F92" s="27">
        <f t="shared" ca="1" si="12"/>
        <v>122</v>
      </c>
      <c r="H92" s="59"/>
      <c r="I92" s="27">
        <f t="shared" ca="1" si="18"/>
        <v>1466</v>
      </c>
      <c r="J92" s="45" t="str">
        <f t="shared" ca="1" si="19"/>
        <v>يستحق</v>
      </c>
      <c r="K92" s="61">
        <f t="shared" si="13"/>
        <v>180</v>
      </c>
      <c r="L92" s="27">
        <v>21</v>
      </c>
      <c r="N92" s="40">
        <f t="shared" si="14"/>
        <v>0</v>
      </c>
      <c r="O92" s="41">
        <f t="shared" si="14"/>
        <v>0</v>
      </c>
      <c r="P92" s="42">
        <f t="shared" si="15"/>
        <v>0</v>
      </c>
      <c r="Q92" s="43">
        <f t="shared" si="16"/>
        <v>21</v>
      </c>
      <c r="S92" s="40">
        <f t="shared" si="17"/>
        <v>0</v>
      </c>
      <c r="T92" s="41">
        <f t="shared" si="17"/>
        <v>0</v>
      </c>
      <c r="U92" s="42">
        <f t="shared" si="17"/>
        <v>0</v>
      </c>
    </row>
    <row r="93" spans="1:21" ht="21.95" customHeight="1">
      <c r="A93" s="15"/>
      <c r="E93" s="59"/>
      <c r="F93" s="27">
        <f t="shared" ca="1" si="12"/>
        <v>122</v>
      </c>
      <c r="H93" s="59"/>
      <c r="I93" s="27">
        <f t="shared" ca="1" si="18"/>
        <v>1466</v>
      </c>
      <c r="J93" s="45" t="str">
        <f t="shared" ca="1" si="19"/>
        <v>يستحق</v>
      </c>
      <c r="K93" s="61">
        <f t="shared" si="13"/>
        <v>180</v>
      </c>
      <c r="L93" s="27">
        <v>21</v>
      </c>
      <c r="N93" s="40">
        <f t="shared" si="14"/>
        <v>0</v>
      </c>
      <c r="O93" s="41">
        <f t="shared" si="14"/>
        <v>0</v>
      </c>
      <c r="P93" s="42">
        <f t="shared" si="15"/>
        <v>0</v>
      </c>
      <c r="Q93" s="43">
        <f t="shared" si="16"/>
        <v>21</v>
      </c>
      <c r="S93" s="40">
        <f t="shared" si="17"/>
        <v>0</v>
      </c>
      <c r="T93" s="41">
        <f t="shared" si="17"/>
        <v>0</v>
      </c>
      <c r="U93" s="42">
        <f t="shared" si="17"/>
        <v>0</v>
      </c>
    </row>
    <row r="94" spans="1:21" ht="21.95" customHeight="1">
      <c r="A94" s="15"/>
      <c r="E94" s="59"/>
      <c r="F94" s="27">
        <f t="shared" ca="1" si="12"/>
        <v>122</v>
      </c>
      <c r="H94" s="59"/>
      <c r="I94" s="27">
        <f t="shared" ca="1" si="18"/>
        <v>1466</v>
      </c>
      <c r="J94" s="45" t="str">
        <f t="shared" ca="1" si="19"/>
        <v>يستحق</v>
      </c>
      <c r="K94" s="61">
        <f t="shared" si="13"/>
        <v>180</v>
      </c>
      <c r="L94" s="27">
        <v>21</v>
      </c>
      <c r="N94" s="40">
        <f t="shared" si="14"/>
        <v>0</v>
      </c>
      <c r="O94" s="41">
        <f t="shared" si="14"/>
        <v>0</v>
      </c>
      <c r="P94" s="42">
        <f t="shared" si="15"/>
        <v>0</v>
      </c>
      <c r="Q94" s="43">
        <f t="shared" si="16"/>
        <v>21</v>
      </c>
      <c r="S94" s="40">
        <f t="shared" si="17"/>
        <v>0</v>
      </c>
      <c r="T94" s="41">
        <f t="shared" si="17"/>
        <v>0</v>
      </c>
      <c r="U94" s="42">
        <f t="shared" si="17"/>
        <v>0</v>
      </c>
    </row>
    <row r="95" spans="1:21" ht="21.95" customHeight="1">
      <c r="A95" s="15"/>
      <c r="E95" s="59"/>
      <c r="F95" s="27">
        <f t="shared" ca="1" si="12"/>
        <v>122</v>
      </c>
      <c r="H95" s="59"/>
      <c r="I95" s="27">
        <f t="shared" ca="1" si="18"/>
        <v>1466</v>
      </c>
      <c r="J95" s="45" t="str">
        <f t="shared" ca="1" si="19"/>
        <v>يستحق</v>
      </c>
      <c r="K95" s="61">
        <f t="shared" si="13"/>
        <v>180</v>
      </c>
      <c r="L95" s="27">
        <v>21</v>
      </c>
      <c r="N95" s="40">
        <f t="shared" si="14"/>
        <v>0</v>
      </c>
      <c r="O95" s="41">
        <f t="shared" si="14"/>
        <v>0</v>
      </c>
      <c r="P95" s="42">
        <f t="shared" si="15"/>
        <v>0</v>
      </c>
      <c r="Q95" s="43">
        <f t="shared" si="16"/>
        <v>21</v>
      </c>
      <c r="S95" s="40">
        <f t="shared" si="17"/>
        <v>0</v>
      </c>
      <c r="T95" s="41">
        <f t="shared" si="17"/>
        <v>0</v>
      </c>
      <c r="U95" s="42">
        <f t="shared" si="17"/>
        <v>0</v>
      </c>
    </row>
    <row r="96" spans="1:21" ht="21.95" customHeight="1">
      <c r="A96" s="15"/>
      <c r="E96" s="59"/>
      <c r="F96" s="27">
        <f t="shared" ca="1" si="12"/>
        <v>122</v>
      </c>
      <c r="H96" s="59"/>
      <c r="I96" s="27">
        <f t="shared" ca="1" si="18"/>
        <v>1466</v>
      </c>
      <c r="J96" s="45" t="str">
        <f t="shared" ca="1" si="19"/>
        <v>يستحق</v>
      </c>
      <c r="K96" s="61">
        <f t="shared" si="13"/>
        <v>180</v>
      </c>
      <c r="L96" s="27">
        <v>21</v>
      </c>
      <c r="N96" s="40">
        <f t="shared" si="14"/>
        <v>0</v>
      </c>
      <c r="O96" s="41">
        <f t="shared" si="14"/>
        <v>0</v>
      </c>
      <c r="P96" s="42">
        <f t="shared" si="15"/>
        <v>0</v>
      </c>
      <c r="Q96" s="43">
        <f t="shared" si="16"/>
        <v>21</v>
      </c>
      <c r="S96" s="40">
        <f t="shared" si="17"/>
        <v>0</v>
      </c>
      <c r="T96" s="41">
        <f t="shared" si="17"/>
        <v>0</v>
      </c>
      <c r="U96" s="42">
        <f t="shared" si="17"/>
        <v>0</v>
      </c>
    </row>
    <row r="97" spans="1:21" ht="21.95" customHeight="1">
      <c r="A97" s="15"/>
      <c r="E97" s="59"/>
      <c r="F97" s="27">
        <f t="shared" ca="1" si="12"/>
        <v>122</v>
      </c>
      <c r="H97" s="59"/>
      <c r="I97" s="27">
        <f t="shared" ca="1" si="18"/>
        <v>1466</v>
      </c>
      <c r="J97" s="45" t="str">
        <f t="shared" ca="1" si="19"/>
        <v>يستحق</v>
      </c>
      <c r="K97" s="61">
        <f t="shared" si="13"/>
        <v>180</v>
      </c>
      <c r="L97" s="27">
        <v>21</v>
      </c>
      <c r="N97" s="40">
        <f t="shared" si="14"/>
        <v>0</v>
      </c>
      <c r="O97" s="41">
        <f t="shared" si="14"/>
        <v>0</v>
      </c>
      <c r="P97" s="42">
        <f t="shared" si="15"/>
        <v>0</v>
      </c>
      <c r="Q97" s="43">
        <f t="shared" si="16"/>
        <v>21</v>
      </c>
      <c r="S97" s="40">
        <f t="shared" si="17"/>
        <v>0</v>
      </c>
      <c r="T97" s="41">
        <f t="shared" si="17"/>
        <v>0</v>
      </c>
      <c r="U97" s="42">
        <f t="shared" si="17"/>
        <v>0</v>
      </c>
    </row>
    <row r="98" spans="1:21" ht="21.95" customHeight="1">
      <c r="A98" s="15"/>
      <c r="E98" s="59"/>
      <c r="F98" s="27">
        <f t="shared" ca="1" si="12"/>
        <v>122</v>
      </c>
      <c r="H98" s="59"/>
      <c r="I98" s="27">
        <f t="shared" ca="1" si="18"/>
        <v>1466</v>
      </c>
      <c r="J98" s="45" t="str">
        <f t="shared" ca="1" si="19"/>
        <v>يستحق</v>
      </c>
      <c r="K98" s="61">
        <f t="shared" si="13"/>
        <v>180</v>
      </c>
      <c r="L98" s="27">
        <v>21</v>
      </c>
      <c r="N98" s="40">
        <f t="shared" si="14"/>
        <v>0</v>
      </c>
      <c r="O98" s="41">
        <f t="shared" si="14"/>
        <v>0</v>
      </c>
      <c r="P98" s="42">
        <f t="shared" si="15"/>
        <v>0</v>
      </c>
      <c r="Q98" s="43">
        <f t="shared" si="16"/>
        <v>21</v>
      </c>
      <c r="S98" s="40">
        <f t="shared" si="17"/>
        <v>0</v>
      </c>
      <c r="T98" s="41">
        <f t="shared" si="17"/>
        <v>0</v>
      </c>
      <c r="U98" s="42">
        <f t="shared" si="17"/>
        <v>0</v>
      </c>
    </row>
    <row r="99" spans="1:21" ht="21.95" customHeight="1">
      <c r="A99" s="15"/>
      <c r="E99" s="59"/>
      <c r="F99" s="27">
        <f t="shared" ca="1" si="12"/>
        <v>122</v>
      </c>
      <c r="H99" s="59"/>
      <c r="I99" s="27">
        <f t="shared" ca="1" si="18"/>
        <v>1466</v>
      </c>
      <c r="J99" s="45" t="str">
        <f t="shared" ca="1" si="19"/>
        <v>يستحق</v>
      </c>
      <c r="K99" s="61">
        <f t="shared" si="13"/>
        <v>180</v>
      </c>
      <c r="L99" s="27">
        <v>21</v>
      </c>
      <c r="N99" s="40">
        <f t="shared" si="14"/>
        <v>0</v>
      </c>
      <c r="O99" s="41">
        <f t="shared" si="14"/>
        <v>0</v>
      </c>
      <c r="P99" s="42">
        <f t="shared" si="15"/>
        <v>0</v>
      </c>
      <c r="Q99" s="43">
        <f t="shared" si="16"/>
        <v>21</v>
      </c>
      <c r="S99" s="40">
        <f t="shared" si="17"/>
        <v>0</v>
      </c>
      <c r="T99" s="41">
        <f t="shared" si="17"/>
        <v>0</v>
      </c>
      <c r="U99" s="42">
        <f t="shared" si="17"/>
        <v>0</v>
      </c>
    </row>
    <row r="100" spans="1:21" ht="21.95" customHeight="1">
      <c r="A100" s="15"/>
      <c r="E100" s="59"/>
      <c r="F100" s="27">
        <f t="shared" ca="1" si="12"/>
        <v>122</v>
      </c>
      <c r="H100" s="59"/>
      <c r="I100" s="27">
        <f t="shared" ca="1" si="18"/>
        <v>1466</v>
      </c>
      <c r="J100" s="45" t="str">
        <f t="shared" ca="1" si="19"/>
        <v>يستحق</v>
      </c>
      <c r="K100" s="61">
        <f t="shared" si="13"/>
        <v>180</v>
      </c>
      <c r="L100" s="27">
        <v>21</v>
      </c>
      <c r="N100" s="40">
        <f t="shared" si="14"/>
        <v>0</v>
      </c>
      <c r="O100" s="41">
        <f t="shared" si="14"/>
        <v>0</v>
      </c>
      <c r="P100" s="42">
        <f t="shared" si="15"/>
        <v>0</v>
      </c>
      <c r="Q100" s="43">
        <f t="shared" si="16"/>
        <v>21</v>
      </c>
      <c r="S100" s="40">
        <f t="shared" si="17"/>
        <v>0</v>
      </c>
      <c r="T100" s="41">
        <f t="shared" si="17"/>
        <v>0</v>
      </c>
      <c r="U100" s="42">
        <f t="shared" si="17"/>
        <v>0</v>
      </c>
    </row>
    <row r="101" spans="1:21" ht="21.95" customHeight="1">
      <c r="H101" s="59"/>
      <c r="K101" s="62"/>
    </row>
    <row r="102" spans="1:21" ht="21.95" customHeight="1">
      <c r="H102" s="59"/>
      <c r="K102" s="62"/>
    </row>
    <row r="103" spans="1:21" ht="21.95" customHeight="1">
      <c r="H103" s="59"/>
    </row>
    <row r="104" spans="1:21" ht="21.95" customHeight="1">
      <c r="H104" s="59"/>
    </row>
    <row r="105" spans="1:21" ht="21.95" customHeight="1">
      <c r="H105" s="59"/>
    </row>
  </sheetData>
  <mergeCells count="15">
    <mergeCell ref="BY2:CC3"/>
    <mergeCell ref="CE2:CI3"/>
    <mergeCell ref="CK2:CO3"/>
    <mergeCell ref="AO2:AS3"/>
    <mergeCell ref="AU2:AY3"/>
    <mergeCell ref="BA2:BE3"/>
    <mergeCell ref="BG2:BK3"/>
    <mergeCell ref="BM2:BQ3"/>
    <mergeCell ref="BS2:BW3"/>
    <mergeCell ref="B1:B3"/>
    <mergeCell ref="N2:Q3"/>
    <mergeCell ref="W2:AA3"/>
    <mergeCell ref="AC2:AG3"/>
    <mergeCell ref="AI2:AM3"/>
    <mergeCell ref="S2:U3"/>
  </mergeCells>
  <conditionalFormatting sqref="J5:J100">
    <cfRule type="containsText" dxfId="1" priority="1" operator="containsText" text="لايستحق">
      <formula>NOT(ISERROR(SEARCH("لايستحق",J5)))</formula>
    </cfRule>
    <cfRule type="containsText" dxfId="0" priority="4" operator="containsText" text="يستحق">
      <formula>NOT(ISERROR(SEARCH("يستحق",J5)))</formula>
    </cfRule>
  </conditionalFormatting>
  <hyperlinks>
    <hyperlink ref="B1:B3" location="'الصفحة الرئيسية'!A1" display="عودة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topLeftCell="A4" zoomScale="80" zoomScaleNormal="80" workbookViewId="0">
      <selection activeCell="B26" sqref="B26"/>
    </sheetView>
  </sheetViews>
  <sheetFormatPr defaultColWidth="9.42578125" defaultRowHeight="16.7" customHeight="1"/>
  <cols>
    <col min="1" max="3" width="9.42578125" style="46"/>
    <col min="4" max="4" width="5.42578125" style="46" customWidth="1"/>
    <col min="5" max="5" width="12.140625" style="46" customWidth="1"/>
    <col min="6" max="6" width="6.5703125" style="46" customWidth="1"/>
    <col min="7" max="7" width="8" style="47" customWidth="1"/>
    <col min="8" max="8" width="1" style="46" customWidth="1"/>
    <col min="9" max="9" width="27.28515625" style="46" customWidth="1"/>
    <col min="10" max="16384" width="9.42578125" style="46"/>
  </cols>
  <sheetData>
    <row r="1" spans="1:12" ht="16.7" customHeight="1">
      <c r="A1" s="109"/>
      <c r="B1" s="109"/>
      <c r="C1" s="109"/>
      <c r="D1" s="109"/>
      <c r="E1" s="109"/>
    </row>
    <row r="2" spans="1:12" ht="16.7" customHeight="1">
      <c r="A2" s="109"/>
      <c r="B2" s="109"/>
      <c r="C2" s="109"/>
      <c r="D2" s="109"/>
      <c r="E2" s="109"/>
    </row>
    <row r="3" spans="1:12" ht="16.7" customHeight="1">
      <c r="A3" s="48"/>
      <c r="B3" s="48"/>
      <c r="C3" s="48"/>
      <c r="D3" s="48"/>
      <c r="E3" s="48"/>
    </row>
    <row r="4" spans="1:12" ht="16.7" customHeight="1">
      <c r="C4" s="134" t="s">
        <v>6</v>
      </c>
      <c r="D4" s="134"/>
      <c r="E4" s="134"/>
      <c r="F4" s="134"/>
      <c r="G4" s="134"/>
    </row>
    <row r="5" spans="1:12" ht="16.7" customHeight="1">
      <c r="C5" s="134"/>
      <c r="D5" s="134"/>
      <c r="E5" s="134"/>
      <c r="F5" s="134"/>
      <c r="G5" s="134"/>
      <c r="K5" s="108" t="s">
        <v>22</v>
      </c>
      <c r="L5" s="108"/>
    </row>
    <row r="6" spans="1:12" ht="16.7" customHeight="1">
      <c r="C6" s="134"/>
      <c r="D6" s="134"/>
      <c r="E6" s="134"/>
      <c r="F6" s="134"/>
      <c r="G6" s="134"/>
      <c r="K6" s="108"/>
      <c r="L6" s="108"/>
    </row>
    <row r="7" spans="1:12" ht="16.7" customHeight="1" thickBot="1">
      <c r="C7" s="49"/>
      <c r="D7" s="49"/>
      <c r="E7" s="49"/>
      <c r="F7" s="49"/>
      <c r="G7" s="49"/>
    </row>
    <row r="8" spans="1:12" ht="16.7" customHeight="1">
      <c r="A8" s="86" t="s">
        <v>2</v>
      </c>
      <c r="B8" s="87"/>
      <c r="C8" s="122">
        <v>1008</v>
      </c>
      <c r="D8" s="123"/>
      <c r="E8" s="124"/>
      <c r="F8" s="50"/>
      <c r="G8" s="51"/>
    </row>
    <row r="9" spans="1:12" ht="16.7" customHeight="1" thickBot="1">
      <c r="A9" s="88"/>
      <c r="B9" s="89"/>
      <c r="C9" s="125"/>
      <c r="D9" s="126"/>
      <c r="E9" s="127"/>
      <c r="F9" s="50"/>
      <c r="G9" s="51"/>
    </row>
    <row r="10" spans="1:12" ht="16.7" customHeight="1">
      <c r="A10" s="86" t="s">
        <v>3</v>
      </c>
      <c r="B10" s="87"/>
      <c r="C10" s="128" t="e">
        <f>VLOOKUP(C8,'برنامج الاجازات '!A5:B100,2,0)</f>
        <v>#N/A</v>
      </c>
      <c r="D10" s="129"/>
      <c r="E10" s="129"/>
      <c r="F10" s="129"/>
      <c r="G10" s="130"/>
    </row>
    <row r="11" spans="1:12" ht="19.5" customHeight="1" thickBot="1">
      <c r="A11" s="88"/>
      <c r="B11" s="89"/>
      <c r="C11" s="131"/>
      <c r="D11" s="132"/>
      <c r="E11" s="132"/>
      <c r="F11" s="132"/>
      <c r="G11" s="133"/>
    </row>
    <row r="12" spans="1:12" ht="16.7" customHeight="1">
      <c r="A12" s="149" t="s">
        <v>4</v>
      </c>
      <c r="B12" s="150"/>
      <c r="C12" s="90" t="e">
        <f>VLOOKUP(C8,'برنامج الاجازات '!A5:C100,3,0)</f>
        <v>#N/A</v>
      </c>
      <c r="D12" s="91"/>
      <c r="E12" s="92"/>
      <c r="F12" s="86" t="s">
        <v>5</v>
      </c>
      <c r="G12" s="87"/>
      <c r="H12" s="118" t="e">
        <f>VLOOKUP(C8,'برنامج الاجازات '!A5:D100,4,0)</f>
        <v>#N/A</v>
      </c>
      <c r="I12" s="119"/>
    </row>
    <row r="13" spans="1:12" ht="13.5" customHeight="1" thickBot="1">
      <c r="A13" s="151"/>
      <c r="B13" s="152"/>
      <c r="C13" s="93"/>
      <c r="D13" s="94"/>
      <c r="E13" s="95"/>
      <c r="F13" s="88"/>
      <c r="G13" s="89"/>
      <c r="H13" s="120"/>
      <c r="I13" s="121"/>
    </row>
    <row r="14" spans="1:12" ht="16.7" customHeight="1">
      <c r="A14" s="149" t="s">
        <v>0</v>
      </c>
      <c r="B14" s="150"/>
      <c r="C14" s="143" t="e">
        <f>VLOOKUP(C8,'برنامج الاجازات '!A5:H100,8,0)</f>
        <v>#N/A</v>
      </c>
      <c r="D14" s="144"/>
      <c r="E14" s="145"/>
      <c r="F14" s="135" t="s">
        <v>7</v>
      </c>
      <c r="G14" s="136"/>
      <c r="H14" s="139" t="e">
        <f>VLOOKUP(C8,'برنامج الاجازات '!A5:K100,11,0)</f>
        <v>#N/A</v>
      </c>
      <c r="I14" s="140"/>
    </row>
    <row r="15" spans="1:12" ht="13.5" customHeight="1" thickBot="1">
      <c r="A15" s="151"/>
      <c r="B15" s="152"/>
      <c r="C15" s="146"/>
      <c r="D15" s="147"/>
      <c r="E15" s="148"/>
      <c r="F15" s="137"/>
      <c r="G15" s="138"/>
      <c r="H15" s="141"/>
      <c r="I15" s="142"/>
    </row>
    <row r="16" spans="1:12" ht="16.7" customHeight="1">
      <c r="A16" s="86" t="s">
        <v>41</v>
      </c>
      <c r="B16" s="87"/>
      <c r="C16" s="112" t="e">
        <f>VLOOKUP(C8,'برنامج الاجازات '!A5:L100,12,0)</f>
        <v>#N/A</v>
      </c>
      <c r="D16" s="113"/>
      <c r="E16" s="114"/>
    </row>
    <row r="17" spans="1:9" ht="17.25" customHeight="1" thickBot="1">
      <c r="A17" s="110"/>
      <c r="B17" s="111"/>
      <c r="C17" s="115"/>
      <c r="D17" s="116"/>
      <c r="E17" s="117"/>
    </row>
    <row r="18" spans="1:9" ht="27" thickTop="1">
      <c r="A18" s="105" t="s">
        <v>9</v>
      </c>
      <c r="B18" s="106"/>
      <c r="C18" s="106"/>
      <c r="D18" s="106"/>
      <c r="E18" s="106"/>
      <c r="F18" s="106"/>
      <c r="G18" s="107"/>
      <c r="H18" s="52"/>
      <c r="I18" s="53" t="e">
        <f>VLOOKUP(C8,'برنامج الاجازات '!A5:N100,14,0)</f>
        <v>#N/A</v>
      </c>
    </row>
    <row r="19" spans="1:9" ht="26.25">
      <c r="A19" s="96" t="s">
        <v>10</v>
      </c>
      <c r="B19" s="97"/>
      <c r="C19" s="97"/>
      <c r="D19" s="97"/>
      <c r="E19" s="97"/>
      <c r="F19" s="97"/>
      <c r="G19" s="98"/>
      <c r="H19" s="52"/>
      <c r="I19" s="54" t="e">
        <f>VLOOKUP(C8,'برنامج الاجازات '!A5:O100,15,0)</f>
        <v>#N/A</v>
      </c>
    </row>
    <row r="20" spans="1:9" ht="28.35" customHeight="1">
      <c r="A20" s="96" t="s">
        <v>23</v>
      </c>
      <c r="B20" s="97"/>
      <c r="C20" s="97"/>
      <c r="D20" s="97"/>
      <c r="E20" s="97"/>
      <c r="F20" s="97"/>
      <c r="G20" s="98"/>
      <c r="H20" s="52"/>
      <c r="I20" s="54" t="e">
        <f>VLOOKUP(C8,'برنامج الاجازات '!A5:T100,20,0)</f>
        <v>#N/A</v>
      </c>
    </row>
    <row r="21" spans="1:9" ht="28.35" customHeight="1">
      <c r="A21" s="96" t="s">
        <v>11</v>
      </c>
      <c r="B21" s="97"/>
      <c r="C21" s="97"/>
      <c r="D21" s="97"/>
      <c r="E21" s="97"/>
      <c r="F21" s="97"/>
      <c r="G21" s="98"/>
      <c r="H21" s="52"/>
      <c r="I21" s="54" t="e">
        <f>VLOOKUP(C8,'برنامج الاجازات '!A5:S100,19,0)</f>
        <v>#N/A</v>
      </c>
    </row>
    <row r="22" spans="1:9" ht="28.35" customHeight="1" thickBot="1">
      <c r="A22" s="99" t="s">
        <v>12</v>
      </c>
      <c r="B22" s="100"/>
      <c r="C22" s="100"/>
      <c r="D22" s="100"/>
      <c r="E22" s="100"/>
      <c r="F22" s="100"/>
      <c r="G22" s="101"/>
      <c r="H22" s="52"/>
      <c r="I22" s="55" t="e">
        <f>VLOOKUP(C8,'برنامج الاجازات '!A5:U100,21,0)</f>
        <v>#N/A</v>
      </c>
    </row>
    <row r="23" spans="1:9" ht="28.35" customHeight="1" thickTop="1" thickBot="1"/>
    <row r="24" spans="1:9" ht="28.35" customHeight="1" thickTop="1" thickBot="1">
      <c r="C24" s="102" t="s">
        <v>13</v>
      </c>
      <c r="D24" s="103"/>
      <c r="E24" s="103"/>
      <c r="F24" s="103"/>
      <c r="G24" s="104"/>
      <c r="I24" s="56" t="e">
        <f>C16-(SUM(I18:I19))</f>
        <v>#N/A</v>
      </c>
    </row>
    <row r="25" spans="1:9" ht="28.35" customHeight="1" thickTop="1"/>
    <row r="26" spans="1:9" ht="28.35" customHeight="1"/>
    <row r="27" spans="1:9" ht="28.35" customHeight="1"/>
    <row r="28" spans="1:9" ht="28.35" customHeight="1"/>
    <row r="29" spans="1:9" ht="28.35" customHeight="1"/>
  </sheetData>
  <mergeCells count="23">
    <mergeCell ref="K5:L6"/>
    <mergeCell ref="A20:G20"/>
    <mergeCell ref="A1:E2"/>
    <mergeCell ref="A16:B17"/>
    <mergeCell ref="C16:E17"/>
    <mergeCell ref="H12:I13"/>
    <mergeCell ref="C8:E9"/>
    <mergeCell ref="C10:G11"/>
    <mergeCell ref="C4:G6"/>
    <mergeCell ref="F14:G15"/>
    <mergeCell ref="H14:I15"/>
    <mergeCell ref="C14:E15"/>
    <mergeCell ref="A8:B9"/>
    <mergeCell ref="A10:B11"/>
    <mergeCell ref="A12:B13"/>
    <mergeCell ref="A14:B15"/>
    <mergeCell ref="F12:G13"/>
    <mergeCell ref="C12:E13"/>
    <mergeCell ref="A21:G21"/>
    <mergeCell ref="A22:G22"/>
    <mergeCell ref="C24:G24"/>
    <mergeCell ref="A18:G18"/>
    <mergeCell ref="A19:G19"/>
  </mergeCells>
  <hyperlinks>
    <hyperlink ref="K6:L6" location="'الصفحة الرئيسية'!A1" display="عودة"/>
  </hyperlinks>
  <pageMargins left="0.7" right="1" top="0.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الصفحة الرئيسية</vt:lpstr>
      <vt:lpstr>برنامج الاجازات </vt:lpstr>
      <vt:lpstr>كارت رصيد الاجازات </vt:lpstr>
      <vt:lpstr>'كارت رصيد الاجازات '!Print_Area</vt:lpstr>
    </vt:vector>
  </TitlesOfParts>
  <Company>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pc7</cp:lastModifiedBy>
  <cp:lastPrinted>2019-11-09T10:21:03Z</cp:lastPrinted>
  <dcterms:created xsi:type="dcterms:W3CDTF">2019-11-07T11:35:46Z</dcterms:created>
  <dcterms:modified xsi:type="dcterms:W3CDTF">2022-03-01T07:34:48Z</dcterms:modified>
</cp:coreProperties>
</file>